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48BCF60-A116-4263-96C8-23E6691FB382}" xr6:coauthVersionLast="47" xr6:coauthVersionMax="47" xr10:uidLastSave="{00000000-0000-0000-0000-000000000000}"/>
  <bookViews>
    <workbookView xWindow="-108" yWindow="-108" windowWidth="23256" windowHeight="12456" firstSheet="12" activeTab="21" xr2:uid="{00000000-000D-0000-FFFF-FFFF00000000}"/>
  </bookViews>
  <sheets>
    <sheet name="25.12.25" sheetId="6" r:id="rId1"/>
    <sheet name="Sheet1" sheetId="1" r:id="rId2"/>
    <sheet name="C2 Gabrian Study Analysis" sheetId="2" r:id="rId3"/>
    <sheet name="14.02.26" sheetId="3" r:id="rId4"/>
    <sheet name="15.02.26.." sheetId="7" r:id="rId5"/>
    <sheet name="16.02.26" sheetId="8" r:id="rId6"/>
    <sheet name="17.02.26" sheetId="9" r:id="rId7"/>
    <sheet name="18.02.26" sheetId="10" r:id="rId8"/>
    <sheet name="19-2-26" sheetId="11" r:id="rId9"/>
    <sheet name="20.2.26" sheetId="12" r:id="rId10"/>
    <sheet name="21.02.26" sheetId="13" r:id="rId11"/>
    <sheet name="23.02.26" sheetId="14" r:id="rId12"/>
    <sheet name="24.02.26" sheetId="15" r:id="rId13"/>
    <sheet name="25.02.26" sheetId="16" r:id="rId14"/>
    <sheet name="26.2.26" sheetId="18" r:id="rId15"/>
    <sheet name="27.2.26" sheetId="19" r:id="rId16"/>
    <sheet name="28.2.26" sheetId="20" r:id="rId17"/>
    <sheet name="plan 28th" sheetId="21" r:id="rId18"/>
    <sheet name="01.3.26" sheetId="22" r:id="rId19"/>
    <sheet name="03.3.26" sheetId="25" r:id="rId20"/>
    <sheet name="plan 2nd" sheetId="23" r:id="rId21"/>
    <sheet name="plan 3rd" sheetId="26" r:id="rId22"/>
    <sheet name="05.2.26" sheetId="27" r:id="rId23"/>
    <sheet name="plan 5th" sheetId="28" r:id="rId24"/>
    <sheet name="sheet 6" sheetId="5" r:id="rId25"/>
    <sheet name="sheet 5" sheetId="4" r:id="rId26"/>
  </sheets>
  <definedNames>
    <definedName name="_xlnm._FilterDatabase" localSheetId="3" hidden="1">'14.02.26'!$B$8:$S$51</definedName>
    <definedName name="_xlnm._FilterDatabase" localSheetId="5" hidden="1">'16.02.26'!$B$15:$S$15</definedName>
    <definedName name="_xlnm._FilterDatabase" localSheetId="7" hidden="1">'18.02.26'!$A$7:$R$7</definedName>
    <definedName name="_xlnm._FilterDatabase" localSheetId="9" hidden="1">'20.2.26'!$A$6:$R$51</definedName>
    <definedName name="_xlnm._FilterDatabase" localSheetId="10" hidden="1">'21.02.26'!$A$1:$R$49</definedName>
    <definedName name="_xlnm._FilterDatabase" localSheetId="12" hidden="1">'24.02.26'!$A$1:$R$49</definedName>
    <definedName name="_xlnm._FilterDatabase" localSheetId="0" hidden="1">'25.12.25'!$B$8:$S$48</definedName>
    <definedName name="_xlnm._FilterDatabase" localSheetId="14" hidden="1">'26.2.26'!$C$6:$R$48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0" i="28" l="1"/>
  <c r="Q20" i="28"/>
  <c r="R19" i="28"/>
  <c r="Q19" i="28"/>
  <c r="R18" i="28"/>
  <c r="Q18" i="28"/>
  <c r="R17" i="28"/>
  <c r="Q17" i="28"/>
  <c r="R16" i="28"/>
  <c r="Q16" i="28"/>
  <c r="R15" i="28"/>
  <c r="Q15" i="28"/>
  <c r="R14" i="28"/>
  <c r="Q14" i="28"/>
  <c r="R13" i="28"/>
  <c r="Q13" i="28"/>
  <c r="R12" i="28"/>
  <c r="Q12" i="28"/>
  <c r="R11" i="28"/>
  <c r="Q11" i="28"/>
  <c r="R10" i="28"/>
  <c r="Q10" i="28"/>
  <c r="R9" i="28"/>
  <c r="Q9" i="28"/>
  <c r="R8" i="28"/>
  <c r="Q8" i="28"/>
  <c r="R31" i="27" l="1"/>
  <c r="Q31" i="27"/>
  <c r="R30" i="27"/>
  <c r="Q30" i="27"/>
  <c r="R29" i="27"/>
  <c r="Q29" i="27"/>
  <c r="R28" i="27"/>
  <c r="Q28" i="27"/>
  <c r="R27" i="27"/>
  <c r="Q27" i="27"/>
  <c r="R26" i="27"/>
  <c r="Q26" i="27"/>
  <c r="R25" i="27"/>
  <c r="Q25" i="27"/>
  <c r="R24" i="27"/>
  <c r="Q24" i="27"/>
  <c r="R23" i="27"/>
  <c r="Q23" i="27"/>
  <c r="R22" i="27"/>
  <c r="Q22" i="27"/>
  <c r="R21" i="27"/>
  <c r="Q21" i="27"/>
  <c r="R20" i="27"/>
  <c r="Q20" i="27"/>
  <c r="R19" i="27"/>
  <c r="Q19" i="27"/>
  <c r="R18" i="27"/>
  <c r="Q18" i="27"/>
  <c r="R17" i="27"/>
  <c r="Q17" i="27"/>
  <c r="R16" i="27"/>
  <c r="Q16" i="27"/>
  <c r="R15" i="27"/>
  <c r="Q15" i="27"/>
  <c r="R14" i="27"/>
  <c r="Q14" i="27"/>
  <c r="R13" i="27"/>
  <c r="Q13" i="27"/>
  <c r="R12" i="27"/>
  <c r="Q12" i="27"/>
  <c r="R11" i="27"/>
  <c r="Q11" i="27"/>
  <c r="R10" i="27"/>
  <c r="Q10" i="27"/>
  <c r="R9" i="27"/>
  <c r="Q9" i="27"/>
  <c r="R8" i="27"/>
  <c r="Q8" i="27"/>
  <c r="R21" i="26"/>
  <c r="Q21" i="26"/>
  <c r="R20" i="26"/>
  <c r="Q20" i="26"/>
  <c r="R19" i="26"/>
  <c r="Q19" i="26"/>
  <c r="R18" i="26"/>
  <c r="Q18" i="26"/>
  <c r="R17" i="26"/>
  <c r="Q17" i="26"/>
  <c r="R16" i="26"/>
  <c r="Q16" i="26"/>
  <c r="R15" i="26"/>
  <c r="Q15" i="26"/>
  <c r="R14" i="26"/>
  <c r="Q14" i="26"/>
  <c r="R13" i="26"/>
  <c r="Q13" i="26"/>
  <c r="R12" i="26"/>
  <c r="Q12" i="26"/>
  <c r="R11" i="26"/>
  <c r="Q11" i="26"/>
  <c r="R10" i="26"/>
  <c r="Q10" i="26"/>
  <c r="R9" i="26"/>
  <c r="Q9" i="26"/>
  <c r="R8" i="26"/>
  <c r="Q8" i="26"/>
  <c r="R29" i="25"/>
  <c r="Q29" i="25"/>
  <c r="R28" i="25"/>
  <c r="Q28" i="25"/>
  <c r="R27" i="25"/>
  <c r="Q27" i="25"/>
  <c r="R26" i="25"/>
  <c r="Q26" i="25"/>
  <c r="R25" i="25"/>
  <c r="Q25" i="25"/>
  <c r="R24" i="25"/>
  <c r="Q24" i="25"/>
  <c r="R23" i="25"/>
  <c r="Q23" i="25"/>
  <c r="R22" i="25"/>
  <c r="Q22" i="25"/>
  <c r="R21" i="25"/>
  <c r="Q21" i="25"/>
  <c r="R20" i="25"/>
  <c r="Q20" i="25"/>
  <c r="R19" i="25"/>
  <c r="Q19" i="25"/>
  <c r="R18" i="25"/>
  <c r="Q18" i="25"/>
  <c r="R17" i="25"/>
  <c r="Q17" i="25"/>
  <c r="R16" i="25"/>
  <c r="Q16" i="25"/>
  <c r="R15" i="25"/>
  <c r="Q15" i="25"/>
  <c r="R14" i="25"/>
  <c r="Q14" i="25"/>
  <c r="R13" i="25"/>
  <c r="Q13" i="25"/>
  <c r="R12" i="25"/>
  <c r="Q12" i="25"/>
  <c r="R11" i="25"/>
  <c r="Q11" i="25"/>
  <c r="R10" i="25"/>
  <c r="Q10" i="25"/>
  <c r="R9" i="25"/>
  <c r="Q9" i="25"/>
  <c r="R8" i="25"/>
  <c r="Q8" i="25"/>
  <c r="R23" i="23"/>
  <c r="Q23" i="23"/>
  <c r="R22" i="23"/>
  <c r="Q22" i="23"/>
  <c r="R21" i="23"/>
  <c r="Q21" i="23"/>
  <c r="R20" i="23"/>
  <c r="Q20" i="23"/>
  <c r="R19" i="23"/>
  <c r="Q19" i="23"/>
  <c r="R18" i="23"/>
  <c r="Q18" i="23"/>
  <c r="R17" i="23"/>
  <c r="Q17" i="23"/>
  <c r="R16" i="23"/>
  <c r="Q16" i="23"/>
  <c r="R15" i="23"/>
  <c r="Q15" i="23"/>
  <c r="R14" i="23"/>
  <c r="Q14" i="23"/>
  <c r="R13" i="23"/>
  <c r="Q13" i="23"/>
  <c r="R12" i="23"/>
  <c r="Q12" i="23"/>
  <c r="R11" i="23"/>
  <c r="Q11" i="23"/>
  <c r="R10" i="23"/>
  <c r="Q10" i="23"/>
  <c r="R9" i="23"/>
  <c r="Q9" i="23"/>
  <c r="R8" i="23"/>
  <c r="Q8" i="23"/>
  <c r="R25" i="22"/>
  <c r="Q25" i="22"/>
  <c r="R24" i="22"/>
  <c r="Q24" i="22"/>
  <c r="R23" i="22"/>
  <c r="Q23" i="22"/>
  <c r="R22" i="22"/>
  <c r="Q22" i="22"/>
  <c r="R21" i="22"/>
  <c r="Q21" i="22"/>
  <c r="R20" i="22"/>
  <c r="Q20" i="22"/>
  <c r="R19" i="22"/>
  <c r="Q19" i="22"/>
  <c r="R18" i="22"/>
  <c r="Q18" i="22"/>
  <c r="R17" i="22"/>
  <c r="Q17" i="22"/>
  <c r="R16" i="22"/>
  <c r="Q16" i="22"/>
  <c r="R15" i="22"/>
  <c r="Q15" i="22"/>
  <c r="R14" i="22"/>
  <c r="Q14" i="22"/>
  <c r="R13" i="22"/>
  <c r="Q13" i="22"/>
  <c r="R12" i="22"/>
  <c r="Q12" i="22"/>
  <c r="R11" i="22"/>
  <c r="Q11" i="22"/>
  <c r="R10" i="22"/>
  <c r="Q10" i="22"/>
  <c r="R9" i="22"/>
  <c r="Q9" i="22"/>
  <c r="R8" i="22"/>
  <c r="Q8" i="22"/>
  <c r="R29" i="21"/>
  <c r="Q29" i="21"/>
  <c r="R28" i="21"/>
  <c r="Q28" i="21"/>
  <c r="R27" i="21"/>
  <c r="Q27" i="21"/>
  <c r="R26" i="21"/>
  <c r="Q26" i="21"/>
  <c r="R25" i="21"/>
  <c r="Q25" i="21"/>
  <c r="R24" i="21"/>
  <c r="Q24" i="21"/>
  <c r="R23" i="21"/>
  <c r="Q23" i="21"/>
  <c r="R22" i="21"/>
  <c r="Q22" i="21"/>
  <c r="R21" i="21"/>
  <c r="Q21" i="21"/>
  <c r="R20" i="21"/>
  <c r="Q20" i="21"/>
  <c r="R19" i="21"/>
  <c r="Q19" i="21"/>
  <c r="R18" i="21"/>
  <c r="Q18" i="21"/>
  <c r="R17" i="21"/>
  <c r="Q17" i="21"/>
  <c r="R16" i="21"/>
  <c r="Q16" i="21"/>
  <c r="R15" i="21"/>
  <c r="Q15" i="21"/>
  <c r="R14" i="21"/>
  <c r="Q14" i="21"/>
  <c r="R13" i="21"/>
  <c r="Q13" i="21"/>
  <c r="R12" i="21"/>
  <c r="Q12" i="21"/>
  <c r="R11" i="21"/>
  <c r="Q11" i="21"/>
  <c r="R10" i="21"/>
  <c r="Q10" i="21"/>
  <c r="R9" i="21"/>
  <c r="Q9" i="21"/>
  <c r="R8" i="21"/>
  <c r="Q8" i="21"/>
  <c r="R33" i="20"/>
  <c r="Q33" i="20"/>
  <c r="R32" i="20"/>
  <c r="Q32" i="20"/>
  <c r="R31" i="20"/>
  <c r="Q31" i="20"/>
  <c r="R30" i="20"/>
  <c r="Q30" i="20"/>
  <c r="R29" i="20"/>
  <c r="Q29" i="20"/>
  <c r="R28" i="20"/>
  <c r="Q28" i="20"/>
  <c r="R27" i="20"/>
  <c r="Q27" i="20"/>
  <c r="R26" i="20"/>
  <c r="Q26" i="20"/>
  <c r="R25" i="20"/>
  <c r="Q25" i="20"/>
  <c r="R24" i="20"/>
  <c r="Q24" i="20"/>
  <c r="R23" i="20"/>
  <c r="Q23" i="20"/>
  <c r="R22" i="20"/>
  <c r="Q22" i="20"/>
  <c r="R21" i="20"/>
  <c r="Q21" i="20"/>
  <c r="R20" i="20"/>
  <c r="Q20" i="20"/>
  <c r="R19" i="20"/>
  <c r="Q19" i="20"/>
  <c r="R18" i="20"/>
  <c r="Q18" i="20"/>
  <c r="R17" i="20"/>
  <c r="Q17" i="20"/>
  <c r="R16" i="20"/>
  <c r="Q16" i="20"/>
  <c r="R15" i="20"/>
  <c r="Q15" i="20"/>
  <c r="R14" i="20"/>
  <c r="Q14" i="20"/>
  <c r="R13" i="20"/>
  <c r="Q13" i="20"/>
  <c r="R12" i="20"/>
  <c r="Q12" i="20"/>
  <c r="R11" i="20"/>
  <c r="Q11" i="20"/>
  <c r="R10" i="20"/>
  <c r="Q10" i="20"/>
  <c r="R9" i="20"/>
  <c r="Q9" i="20"/>
  <c r="R8" i="20"/>
  <c r="Q8" i="20"/>
  <c r="R47" i="19" l="1"/>
  <c r="Q47" i="19"/>
  <c r="R46" i="19"/>
  <c r="Q46" i="19"/>
  <c r="R45" i="19"/>
  <c r="Q45" i="19"/>
  <c r="R44" i="19"/>
  <c r="Q44" i="19"/>
  <c r="R43" i="19"/>
  <c r="Q43" i="19"/>
  <c r="R42" i="19"/>
  <c r="Q42" i="19"/>
  <c r="R41" i="19"/>
  <c r="Q41" i="19"/>
  <c r="R40" i="19"/>
  <c r="Q40" i="19"/>
  <c r="R39" i="19"/>
  <c r="Q39" i="19"/>
  <c r="R38" i="19"/>
  <c r="Q38" i="19"/>
  <c r="R37" i="19"/>
  <c r="Q37" i="19"/>
  <c r="R36" i="19"/>
  <c r="Q36" i="19"/>
  <c r="R35" i="19"/>
  <c r="Q35" i="19"/>
  <c r="R34" i="19"/>
  <c r="Q34" i="19"/>
  <c r="R33" i="19"/>
  <c r="Q33" i="19"/>
  <c r="R32" i="19"/>
  <c r="Q32" i="19"/>
  <c r="R31" i="19"/>
  <c r="Q31" i="19"/>
  <c r="R30" i="19"/>
  <c r="Q30" i="19"/>
  <c r="R29" i="19"/>
  <c r="Q29" i="19"/>
  <c r="R28" i="19"/>
  <c r="Q28" i="19"/>
  <c r="R27" i="19"/>
  <c r="Q27" i="19"/>
  <c r="R26" i="19"/>
  <c r="Q26" i="19"/>
  <c r="R25" i="19"/>
  <c r="Q25" i="19"/>
  <c r="R24" i="19"/>
  <c r="Q24" i="19"/>
  <c r="R23" i="19"/>
  <c r="Q23" i="19"/>
  <c r="R22" i="19"/>
  <c r="Q22" i="19"/>
  <c r="R21" i="19"/>
  <c r="Q21" i="19"/>
  <c r="R20" i="19"/>
  <c r="Q20" i="19"/>
  <c r="R19" i="19"/>
  <c r="Q19" i="19"/>
  <c r="R18" i="19"/>
  <c r="Q18" i="19"/>
  <c r="R17" i="19"/>
  <c r="Q17" i="19"/>
  <c r="R16" i="19"/>
  <c r="Q16" i="19"/>
  <c r="R15" i="19"/>
  <c r="Q15" i="19"/>
  <c r="R14" i="19"/>
  <c r="Q14" i="19"/>
  <c r="R13" i="19"/>
  <c r="Q13" i="19"/>
  <c r="R12" i="19"/>
  <c r="Q12" i="19"/>
  <c r="R11" i="19"/>
  <c r="Q11" i="19"/>
  <c r="R10" i="19"/>
  <c r="Q10" i="19"/>
  <c r="R9" i="19"/>
  <c r="Q9" i="19"/>
  <c r="R8" i="19"/>
  <c r="Q8" i="19"/>
  <c r="R48" i="18" l="1"/>
  <c r="Q48" i="18"/>
  <c r="R47" i="18"/>
  <c r="Q47" i="18"/>
  <c r="R46" i="18"/>
  <c r="Q46" i="18"/>
  <c r="R45" i="18"/>
  <c r="Q45" i="18"/>
  <c r="R44" i="18"/>
  <c r="Q44" i="18"/>
  <c r="R43" i="18"/>
  <c r="Q43" i="18"/>
  <c r="R42" i="18"/>
  <c r="Q42" i="18"/>
  <c r="R41" i="18"/>
  <c r="Q41" i="18"/>
  <c r="R40" i="18"/>
  <c r="Q40" i="18"/>
  <c r="R39" i="18"/>
  <c r="Q39" i="18"/>
  <c r="R38" i="18"/>
  <c r="Q38" i="18"/>
  <c r="R37" i="18"/>
  <c r="Q37" i="18"/>
  <c r="R36" i="18"/>
  <c r="Q36" i="18"/>
  <c r="R35" i="18"/>
  <c r="Q35" i="18"/>
  <c r="R34" i="18"/>
  <c r="Q34" i="18"/>
  <c r="R33" i="18"/>
  <c r="Q33" i="18"/>
  <c r="R32" i="18"/>
  <c r="Q32" i="18"/>
  <c r="R31" i="18"/>
  <c r="Q31" i="18"/>
  <c r="R30" i="18"/>
  <c r="Q30" i="18"/>
  <c r="R29" i="18"/>
  <c r="Q29" i="18"/>
  <c r="R28" i="18"/>
  <c r="Q28" i="18"/>
  <c r="R27" i="18"/>
  <c r="Q27" i="18"/>
  <c r="R26" i="18"/>
  <c r="Q26" i="18"/>
  <c r="R25" i="18"/>
  <c r="Q25" i="18"/>
  <c r="R24" i="18"/>
  <c r="Q24" i="18"/>
  <c r="R23" i="18"/>
  <c r="Q23" i="18"/>
  <c r="R22" i="18"/>
  <c r="Q22" i="18"/>
  <c r="R21" i="18"/>
  <c r="Q21" i="18"/>
  <c r="R20" i="18"/>
  <c r="Q20" i="18"/>
  <c r="R19" i="18"/>
  <c r="Q19" i="18"/>
  <c r="R18" i="18"/>
  <c r="Q18" i="18"/>
  <c r="R17" i="18"/>
  <c r="Q17" i="18"/>
  <c r="R16" i="18"/>
  <c r="Q16" i="18"/>
  <c r="R15" i="18"/>
  <c r="Q15" i="18"/>
  <c r="R14" i="18"/>
  <c r="Q14" i="18"/>
  <c r="R13" i="18"/>
  <c r="Q13" i="18"/>
  <c r="R12" i="18"/>
  <c r="Q12" i="18"/>
  <c r="R11" i="18"/>
  <c r="Q11" i="18"/>
  <c r="R10" i="18"/>
  <c r="Q10" i="18"/>
  <c r="R9" i="18"/>
  <c r="Q9" i="18"/>
  <c r="R8" i="18"/>
  <c r="Q8" i="18"/>
  <c r="Q8" i="16" l="1"/>
  <c r="R8" i="16"/>
  <c r="R23" i="16"/>
  <c r="Q23" i="16"/>
  <c r="R22" i="16"/>
  <c r="Q22" i="16"/>
  <c r="R21" i="16"/>
  <c r="Q21" i="16"/>
  <c r="R20" i="16"/>
  <c r="Q20" i="16"/>
  <c r="R19" i="16"/>
  <c r="Q19" i="16"/>
  <c r="R18" i="16"/>
  <c r="Q18" i="16"/>
  <c r="R17" i="16"/>
  <c r="Q17" i="16"/>
  <c r="R16" i="16"/>
  <c r="Q16" i="16"/>
  <c r="R14" i="16"/>
  <c r="Q14" i="16"/>
  <c r="R13" i="16"/>
  <c r="Q13" i="16"/>
  <c r="R12" i="16"/>
  <c r="Q12" i="16"/>
  <c r="R11" i="16"/>
  <c r="Q11" i="16"/>
  <c r="R10" i="16"/>
  <c r="Q10" i="16"/>
  <c r="R49" i="15"/>
  <c r="Q49" i="15"/>
  <c r="R48" i="15"/>
  <c r="Q48" i="15"/>
  <c r="R47" i="15"/>
  <c r="Q47" i="15"/>
  <c r="R46" i="15"/>
  <c r="Q46" i="15"/>
  <c r="R45" i="15"/>
  <c r="Q45" i="15"/>
  <c r="R44" i="15"/>
  <c r="Q44" i="15"/>
  <c r="R43" i="15"/>
  <c r="Q43" i="15"/>
  <c r="R42" i="15"/>
  <c r="Q42" i="15"/>
  <c r="R41" i="15"/>
  <c r="Q41" i="15"/>
  <c r="R40" i="15"/>
  <c r="Q40" i="15"/>
  <c r="R39" i="15"/>
  <c r="Q39" i="15"/>
  <c r="R38" i="15"/>
  <c r="Q38" i="15"/>
  <c r="R37" i="15"/>
  <c r="Q37" i="15"/>
  <c r="R36" i="15"/>
  <c r="Q36" i="15"/>
  <c r="R35" i="15"/>
  <c r="Q35" i="15"/>
  <c r="R34" i="15"/>
  <c r="Q34" i="15"/>
  <c r="R33" i="15"/>
  <c r="Q33" i="15"/>
  <c r="R32" i="15"/>
  <c r="Q32" i="15"/>
  <c r="R31" i="15"/>
  <c r="Q31" i="15"/>
  <c r="R30" i="15"/>
  <c r="Q30" i="15"/>
  <c r="R29" i="15"/>
  <c r="Q29" i="15"/>
  <c r="R28" i="15"/>
  <c r="Q28" i="15"/>
  <c r="R27" i="15"/>
  <c r="Q27" i="15"/>
  <c r="R26" i="15"/>
  <c r="Q26" i="15"/>
  <c r="R25" i="15"/>
  <c r="Q25" i="15"/>
  <c r="R24" i="15"/>
  <c r="Q24" i="15"/>
  <c r="R23" i="15"/>
  <c r="Q23" i="15"/>
  <c r="R22" i="15"/>
  <c r="Q22" i="15"/>
  <c r="R21" i="15"/>
  <c r="Q21" i="15"/>
  <c r="R20" i="15"/>
  <c r="Q20" i="15"/>
  <c r="R19" i="15"/>
  <c r="Q19" i="15"/>
  <c r="R18" i="15"/>
  <c r="Q18" i="15"/>
  <c r="R17" i="15"/>
  <c r="Q17" i="15"/>
  <c r="R16" i="15"/>
  <c r="Q16" i="15"/>
  <c r="R15" i="15"/>
  <c r="Q15" i="15"/>
  <c r="R14" i="15"/>
  <c r="Q14" i="15"/>
  <c r="R13" i="15"/>
  <c r="Q13" i="15"/>
  <c r="R12" i="15"/>
  <c r="Q12" i="15"/>
  <c r="R10" i="15"/>
  <c r="Q10" i="15"/>
  <c r="R9" i="15"/>
  <c r="Q9" i="15"/>
  <c r="R8" i="15"/>
  <c r="Q8" i="15"/>
  <c r="R49" i="14" l="1"/>
  <c r="Q49" i="14"/>
  <c r="R48" i="14"/>
  <c r="Q48" i="14"/>
  <c r="R47" i="14"/>
  <c r="Q47" i="14"/>
  <c r="R46" i="14"/>
  <c r="Q46" i="14"/>
  <c r="R45" i="14"/>
  <c r="Q45" i="14"/>
  <c r="R44" i="14"/>
  <c r="Q44" i="14"/>
  <c r="R43" i="14"/>
  <c r="Q43" i="14"/>
  <c r="R42" i="14"/>
  <c r="Q42" i="14"/>
  <c r="R41" i="14"/>
  <c r="Q41" i="14"/>
  <c r="R40" i="14"/>
  <c r="Q40" i="14"/>
  <c r="R39" i="14"/>
  <c r="Q39" i="14"/>
  <c r="R38" i="14"/>
  <c r="Q38" i="14"/>
  <c r="R37" i="14"/>
  <c r="Q37" i="14"/>
  <c r="R36" i="14"/>
  <c r="Q36" i="14"/>
  <c r="R35" i="14"/>
  <c r="Q35" i="14"/>
  <c r="R34" i="14"/>
  <c r="Q34" i="14"/>
  <c r="R33" i="14"/>
  <c r="Q33" i="14"/>
  <c r="R32" i="14"/>
  <c r="Q32" i="14"/>
  <c r="R31" i="14"/>
  <c r="Q31" i="14"/>
  <c r="R30" i="14"/>
  <c r="Q30" i="14"/>
  <c r="R29" i="14"/>
  <c r="Q29" i="14"/>
  <c r="R28" i="14"/>
  <c r="Q28" i="14"/>
  <c r="R27" i="14"/>
  <c r="Q27" i="14"/>
  <c r="R26" i="14"/>
  <c r="Q26" i="14"/>
  <c r="R25" i="14"/>
  <c r="Q25" i="14"/>
  <c r="R24" i="14"/>
  <c r="Q24" i="14"/>
  <c r="R23" i="14"/>
  <c r="Q23" i="14"/>
  <c r="R22" i="14"/>
  <c r="Q22" i="14"/>
  <c r="R21" i="14"/>
  <c r="Q21" i="14"/>
  <c r="R20" i="14"/>
  <c r="Q20" i="14"/>
  <c r="R19" i="14"/>
  <c r="Q19" i="14"/>
  <c r="R18" i="14"/>
  <c r="Q18" i="14"/>
  <c r="R17" i="14"/>
  <c r="Q17" i="14"/>
  <c r="R16" i="14"/>
  <c r="Q16" i="14"/>
  <c r="R15" i="14"/>
  <c r="Q15" i="14"/>
  <c r="R14" i="14"/>
  <c r="Q14" i="14"/>
  <c r="R13" i="14"/>
  <c r="Q13" i="14"/>
  <c r="R12" i="14"/>
  <c r="Q12" i="14"/>
  <c r="R10" i="14"/>
  <c r="Q10" i="14"/>
  <c r="R9" i="14"/>
  <c r="Q9" i="14"/>
  <c r="R8" i="14"/>
  <c r="Q8" i="14"/>
  <c r="R49" i="13" l="1"/>
  <c r="Q49" i="13"/>
  <c r="R48" i="13"/>
  <c r="Q48" i="13"/>
  <c r="R47" i="13"/>
  <c r="Q47" i="13"/>
  <c r="R46" i="13"/>
  <c r="Q46" i="13"/>
  <c r="R45" i="13"/>
  <c r="Q45" i="13"/>
  <c r="R44" i="13"/>
  <c r="Q44" i="13"/>
  <c r="R43" i="13"/>
  <c r="Q43" i="13"/>
  <c r="R42" i="13"/>
  <c r="Q42" i="13"/>
  <c r="R41" i="13"/>
  <c r="Q41" i="13"/>
  <c r="R40" i="13"/>
  <c r="Q40" i="13"/>
  <c r="R39" i="13"/>
  <c r="Q39" i="13"/>
  <c r="R38" i="13"/>
  <c r="Q38" i="13"/>
  <c r="R37" i="13"/>
  <c r="Q37" i="13"/>
  <c r="R36" i="13"/>
  <c r="Q36" i="13"/>
  <c r="R35" i="13"/>
  <c r="Q35" i="13"/>
  <c r="R34" i="13"/>
  <c r="Q34" i="13"/>
  <c r="R33" i="13"/>
  <c r="Q33" i="13"/>
  <c r="R32" i="13"/>
  <c r="Q32" i="13"/>
  <c r="R31" i="13"/>
  <c r="Q31" i="13"/>
  <c r="R30" i="13"/>
  <c r="Q30" i="13"/>
  <c r="R29" i="13"/>
  <c r="Q29" i="13"/>
  <c r="R28" i="13"/>
  <c r="Q28" i="13"/>
  <c r="R27" i="13"/>
  <c r="Q27" i="13"/>
  <c r="R26" i="13"/>
  <c r="Q26" i="13"/>
  <c r="R25" i="13"/>
  <c r="Q25" i="13"/>
  <c r="R24" i="13"/>
  <c r="Q24" i="13"/>
  <c r="R23" i="13"/>
  <c r="Q23" i="13"/>
  <c r="R22" i="13"/>
  <c r="Q22" i="13"/>
  <c r="R21" i="13"/>
  <c r="Q21" i="13"/>
  <c r="R20" i="13"/>
  <c r="Q20" i="13"/>
  <c r="R19" i="13"/>
  <c r="Q19" i="13"/>
  <c r="R18" i="13"/>
  <c r="Q18" i="13"/>
  <c r="R17" i="13"/>
  <c r="Q17" i="13"/>
  <c r="R16" i="13"/>
  <c r="Q16" i="13"/>
  <c r="R15" i="13"/>
  <c r="Q15" i="13"/>
  <c r="R14" i="13"/>
  <c r="Q14" i="13"/>
  <c r="R13" i="13"/>
  <c r="Q13" i="13"/>
  <c r="R12" i="13"/>
  <c r="Q12" i="13"/>
  <c r="R10" i="13"/>
  <c r="Q10" i="13"/>
  <c r="R9" i="13"/>
  <c r="Q9" i="13"/>
  <c r="R8" i="13"/>
  <c r="Q8" i="13"/>
  <c r="R17" i="12" l="1"/>
  <c r="Q17" i="12"/>
  <c r="R18" i="12"/>
  <c r="Q18" i="12"/>
  <c r="I36" i="12"/>
  <c r="Q27" i="12" l="1"/>
  <c r="Q39" i="12"/>
  <c r="Q9" i="12"/>
  <c r="Q10" i="12"/>
  <c r="Q11" i="12"/>
  <c r="Q12" i="12"/>
  <c r="Q13" i="12"/>
  <c r="Q14" i="12"/>
  <c r="Q15" i="12"/>
  <c r="Q16" i="12"/>
  <c r="Q19" i="12"/>
  <c r="Q20" i="12"/>
  <c r="Q21" i="12"/>
  <c r="Q22" i="12"/>
  <c r="Q23" i="12"/>
  <c r="Q24" i="12"/>
  <c r="Q25" i="12"/>
  <c r="Q26" i="12"/>
  <c r="Q28" i="12"/>
  <c r="Q29" i="12"/>
  <c r="Q30" i="12"/>
  <c r="Q31" i="12"/>
  <c r="Q32" i="12"/>
  <c r="Q33" i="12"/>
  <c r="Q34" i="12"/>
  <c r="Q35" i="12"/>
  <c r="Q36" i="12"/>
  <c r="Q37" i="12"/>
  <c r="Q38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R51" i="12"/>
  <c r="R50" i="12"/>
  <c r="R49" i="12"/>
  <c r="R48" i="12"/>
  <c r="R47" i="12"/>
  <c r="R46" i="12"/>
  <c r="R45" i="12"/>
  <c r="R44" i="12"/>
  <c r="R43" i="12"/>
  <c r="R42" i="12"/>
  <c r="R41" i="12"/>
  <c r="R40" i="12"/>
  <c r="R39" i="12"/>
  <c r="R38" i="12"/>
  <c r="R37" i="12"/>
  <c r="R36" i="12"/>
  <c r="R35" i="12"/>
  <c r="R34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R16" i="12"/>
  <c r="R15" i="12"/>
  <c r="R14" i="12"/>
  <c r="R13" i="12"/>
  <c r="R12" i="12"/>
  <c r="R10" i="12"/>
  <c r="R9" i="12"/>
  <c r="R8" i="12"/>
  <c r="Q8" i="12"/>
  <c r="R8" i="11" l="1"/>
  <c r="Q8" i="11"/>
  <c r="R49" i="11"/>
  <c r="Q49" i="11"/>
  <c r="R48" i="11"/>
  <c r="Q48" i="11"/>
  <c r="R47" i="11"/>
  <c r="Q47" i="11"/>
  <c r="R46" i="11"/>
  <c r="Q46" i="11"/>
  <c r="R45" i="11"/>
  <c r="Q45" i="11"/>
  <c r="R44" i="11"/>
  <c r="Q44" i="11"/>
  <c r="R43" i="11"/>
  <c r="Q43" i="11"/>
  <c r="R42" i="11"/>
  <c r="Q42" i="11"/>
  <c r="R41" i="11"/>
  <c r="Q41" i="11"/>
  <c r="R40" i="11"/>
  <c r="Q40" i="11"/>
  <c r="R39" i="11"/>
  <c r="Q39" i="11"/>
  <c r="R38" i="11"/>
  <c r="Q38" i="11"/>
  <c r="R37" i="11"/>
  <c r="Q37" i="11"/>
  <c r="R36" i="11"/>
  <c r="Q36" i="11"/>
  <c r="R35" i="11"/>
  <c r="Q35" i="11"/>
  <c r="R34" i="11"/>
  <c r="Q34" i="11"/>
  <c r="R33" i="11"/>
  <c r="Q33" i="11"/>
  <c r="R32" i="11"/>
  <c r="Q32" i="11"/>
  <c r="R31" i="11"/>
  <c r="Q31" i="11"/>
  <c r="R30" i="11"/>
  <c r="Q30" i="11"/>
  <c r="R29" i="11"/>
  <c r="Q29" i="11"/>
  <c r="R28" i="11"/>
  <c r="Q28" i="11"/>
  <c r="R27" i="11"/>
  <c r="Q27" i="11"/>
  <c r="R26" i="11"/>
  <c r="Q26" i="11"/>
  <c r="R25" i="11"/>
  <c r="Q25" i="11"/>
  <c r="R24" i="11"/>
  <c r="Q24" i="11"/>
  <c r="R23" i="11"/>
  <c r="Q23" i="11"/>
  <c r="R22" i="11"/>
  <c r="Q22" i="11"/>
  <c r="R21" i="11"/>
  <c r="Q21" i="11"/>
  <c r="R20" i="11"/>
  <c r="Q20" i="11"/>
  <c r="R19" i="11"/>
  <c r="Q19" i="11"/>
  <c r="R18" i="11"/>
  <c r="Q18" i="11"/>
  <c r="R17" i="11"/>
  <c r="Q17" i="11"/>
  <c r="R16" i="11"/>
  <c r="Q16" i="11"/>
  <c r="R15" i="11"/>
  <c r="Q15" i="11"/>
  <c r="R14" i="11"/>
  <c r="Q14" i="11"/>
  <c r="R13" i="11"/>
  <c r="Q13" i="11"/>
  <c r="R12" i="11"/>
  <c r="Q12" i="11"/>
  <c r="R10" i="11"/>
  <c r="Q10" i="11"/>
  <c r="R9" i="11"/>
  <c r="Q9" i="11"/>
  <c r="R48" i="10" l="1"/>
  <c r="Q48" i="10"/>
  <c r="R47" i="10"/>
  <c r="Q47" i="10"/>
  <c r="R46" i="10"/>
  <c r="Q46" i="10"/>
  <c r="R45" i="10"/>
  <c r="Q45" i="10"/>
  <c r="R44" i="10"/>
  <c r="Q44" i="10"/>
  <c r="R43" i="10"/>
  <c r="Q43" i="10"/>
  <c r="R42" i="10"/>
  <c r="Q42" i="10"/>
  <c r="R41" i="10"/>
  <c r="Q41" i="10"/>
  <c r="R40" i="10"/>
  <c r="Q40" i="10"/>
  <c r="R39" i="10"/>
  <c r="Q39" i="10"/>
  <c r="R38" i="10"/>
  <c r="Q38" i="10"/>
  <c r="R37" i="10"/>
  <c r="Q37" i="10"/>
  <c r="R36" i="10"/>
  <c r="Q36" i="10"/>
  <c r="R35" i="10"/>
  <c r="Q35" i="10"/>
  <c r="R34" i="10"/>
  <c r="Q34" i="10"/>
  <c r="R33" i="10"/>
  <c r="Q33" i="10"/>
  <c r="R32" i="10"/>
  <c r="Q32" i="10"/>
  <c r="R31" i="10"/>
  <c r="Q31" i="10"/>
  <c r="R30" i="10"/>
  <c r="Q30" i="10"/>
  <c r="R29" i="10"/>
  <c r="Q29" i="10"/>
  <c r="R28" i="10"/>
  <c r="Q28" i="10"/>
  <c r="R27" i="10"/>
  <c r="Q27" i="10"/>
  <c r="R26" i="10"/>
  <c r="Q26" i="10"/>
  <c r="R25" i="10"/>
  <c r="Q25" i="10"/>
  <c r="R24" i="10"/>
  <c r="Q24" i="10"/>
  <c r="R23" i="10"/>
  <c r="Q23" i="10"/>
  <c r="R22" i="10"/>
  <c r="Q22" i="10"/>
  <c r="R21" i="10"/>
  <c r="Q21" i="10"/>
  <c r="R20" i="10"/>
  <c r="Q20" i="10"/>
  <c r="R19" i="10"/>
  <c r="Q19" i="10"/>
  <c r="R18" i="10"/>
  <c r="Q18" i="10"/>
  <c r="R17" i="10"/>
  <c r="Q17" i="10"/>
  <c r="R16" i="10"/>
  <c r="Q16" i="10"/>
  <c r="R15" i="10"/>
  <c r="Q15" i="10"/>
  <c r="R14" i="10"/>
  <c r="Q14" i="10"/>
  <c r="R13" i="10"/>
  <c r="Q13" i="10"/>
  <c r="R12" i="10"/>
  <c r="Q12" i="10"/>
  <c r="R11" i="10"/>
  <c r="Q11" i="10"/>
  <c r="R10" i="10"/>
  <c r="Q10" i="10"/>
  <c r="R9" i="10"/>
  <c r="Q9" i="10"/>
  <c r="R8" i="10"/>
  <c r="Q8" i="10"/>
  <c r="R48" i="9" l="1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S56" i="8"/>
  <c r="R56" i="8"/>
  <c r="S55" i="8"/>
  <c r="R55" i="8"/>
  <c r="S54" i="8"/>
  <c r="R54" i="8"/>
  <c r="S53" i="8"/>
  <c r="R53" i="8"/>
  <c r="S52" i="8"/>
  <c r="R52" i="8"/>
  <c r="S51" i="8"/>
  <c r="R51" i="8"/>
  <c r="S50" i="8"/>
  <c r="R50" i="8"/>
  <c r="S49" i="8"/>
  <c r="R49" i="8"/>
  <c r="S48" i="8"/>
  <c r="R48" i="8"/>
  <c r="S47" i="8"/>
  <c r="R47" i="8"/>
  <c r="S46" i="8"/>
  <c r="R46" i="8"/>
  <c r="S45" i="8"/>
  <c r="R45" i="8"/>
  <c r="S44" i="8"/>
  <c r="R44" i="8"/>
  <c r="S43" i="8"/>
  <c r="R43" i="8"/>
  <c r="S42" i="8"/>
  <c r="R42" i="8"/>
  <c r="S41" i="8"/>
  <c r="R41" i="8"/>
  <c r="S40" i="8"/>
  <c r="R40" i="8"/>
  <c r="S39" i="8"/>
  <c r="R39" i="8"/>
  <c r="S38" i="8"/>
  <c r="R38" i="8"/>
  <c r="S37" i="8"/>
  <c r="R37" i="8"/>
  <c r="S36" i="8"/>
  <c r="R36" i="8"/>
  <c r="S35" i="8"/>
  <c r="R35" i="8"/>
  <c r="S34" i="8"/>
  <c r="R34" i="8"/>
  <c r="S33" i="8"/>
  <c r="R33" i="8"/>
  <c r="S32" i="8"/>
  <c r="R32" i="8"/>
  <c r="S31" i="8"/>
  <c r="R31" i="8"/>
  <c r="S30" i="8"/>
  <c r="R30" i="8"/>
  <c r="S29" i="8"/>
  <c r="R29" i="8"/>
  <c r="S28" i="8"/>
  <c r="R28" i="8"/>
  <c r="S27" i="8"/>
  <c r="R27" i="8"/>
  <c r="S26" i="8"/>
  <c r="R26" i="8"/>
  <c r="S25" i="8"/>
  <c r="R25" i="8"/>
  <c r="S24" i="8"/>
  <c r="R24" i="8"/>
  <c r="S23" i="8"/>
  <c r="R23" i="8"/>
  <c r="S22" i="8"/>
  <c r="R22" i="8"/>
  <c r="S21" i="8"/>
  <c r="R21" i="8"/>
  <c r="S20" i="8"/>
  <c r="R20" i="8"/>
  <c r="S19" i="8"/>
  <c r="R19" i="8"/>
  <c r="S18" i="8"/>
  <c r="R18" i="8"/>
  <c r="S17" i="8"/>
  <c r="R17" i="8"/>
  <c r="S16" i="8"/>
  <c r="R16" i="8"/>
  <c r="R48" i="7"/>
  <c r="Q48" i="7"/>
  <c r="R47" i="7"/>
  <c r="Q47" i="7"/>
  <c r="R46" i="7"/>
  <c r="Q46" i="7"/>
  <c r="R45" i="7"/>
  <c r="Q45" i="7"/>
  <c r="R44" i="7"/>
  <c r="Q44" i="7"/>
  <c r="R43" i="7"/>
  <c r="Q43" i="7"/>
  <c r="R42" i="7"/>
  <c r="Q42" i="7"/>
  <c r="R41" i="7"/>
  <c r="Q41" i="7"/>
  <c r="R40" i="7"/>
  <c r="Q40" i="7"/>
  <c r="R39" i="7"/>
  <c r="Q39" i="7"/>
  <c r="R38" i="7"/>
  <c r="Q38" i="7"/>
  <c r="R37" i="7"/>
  <c r="Q37" i="7"/>
  <c r="R36" i="7"/>
  <c r="Q36" i="7"/>
  <c r="R35" i="7"/>
  <c r="Q35" i="7"/>
  <c r="R34" i="7"/>
  <c r="Q34" i="7"/>
  <c r="R33" i="7"/>
  <c r="Q33" i="7"/>
  <c r="R32" i="7"/>
  <c r="Q32" i="7"/>
  <c r="R31" i="7"/>
  <c r="Q31" i="7"/>
  <c r="R30" i="7"/>
  <c r="Q30" i="7"/>
  <c r="R29" i="7"/>
  <c r="Q29" i="7"/>
  <c r="R28" i="7"/>
  <c r="Q28" i="7"/>
  <c r="R27" i="7"/>
  <c r="Q27" i="7"/>
  <c r="R26" i="7"/>
  <c r="Q26" i="7"/>
  <c r="R25" i="7"/>
  <c r="Q25" i="7"/>
  <c r="R24" i="7"/>
  <c r="Q24" i="7"/>
  <c r="R23" i="7"/>
  <c r="Q23" i="7"/>
  <c r="R22" i="7"/>
  <c r="Q22" i="7"/>
  <c r="R21" i="7"/>
  <c r="Q21" i="7"/>
  <c r="R20" i="7"/>
  <c r="Q20" i="7"/>
  <c r="R19" i="7"/>
  <c r="Q19" i="7"/>
  <c r="R18" i="7"/>
  <c r="Q18" i="7"/>
  <c r="R17" i="7"/>
  <c r="Q17" i="7"/>
  <c r="R16" i="7"/>
  <c r="Q16" i="7"/>
  <c r="R15" i="7"/>
  <c r="Q15" i="7"/>
  <c r="R14" i="7"/>
  <c r="Q14" i="7"/>
  <c r="R13" i="7"/>
  <c r="Q13" i="7"/>
  <c r="R12" i="7"/>
  <c r="Q12" i="7"/>
  <c r="R11" i="7"/>
  <c r="Q11" i="7"/>
  <c r="R10" i="7"/>
  <c r="Q10" i="7"/>
  <c r="R9" i="7"/>
  <c r="Q9" i="7"/>
  <c r="R8" i="7"/>
  <c r="Q8" i="7"/>
  <c r="S46" i="3"/>
  <c r="S40" i="3"/>
  <c r="S41" i="3"/>
  <c r="S42" i="3"/>
  <c r="S43" i="3"/>
  <c r="S44" i="3"/>
  <c r="S45" i="3"/>
  <c r="S47" i="3"/>
  <c r="S48" i="3"/>
  <c r="S4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R4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9" i="3"/>
  <c r="B50" i="3" l="1"/>
  <c r="S9" i="3" l="1"/>
  <c r="S45" i="6" l="1"/>
  <c r="R45" i="6"/>
  <c r="S44" i="6"/>
  <c r="R44" i="6"/>
  <c r="S43" i="6"/>
  <c r="R43" i="6"/>
  <c r="S42" i="6"/>
  <c r="R42" i="6"/>
  <c r="S41" i="6"/>
  <c r="R41" i="6"/>
  <c r="S40" i="6"/>
  <c r="R40" i="6"/>
  <c r="S39" i="6"/>
  <c r="R39" i="6"/>
  <c r="S38" i="6"/>
  <c r="R38" i="6"/>
  <c r="S37" i="6"/>
  <c r="R37" i="6"/>
  <c r="S36" i="6"/>
  <c r="R36" i="6"/>
  <c r="S35" i="6"/>
  <c r="R35" i="6"/>
  <c r="S34" i="6"/>
  <c r="R34" i="6"/>
  <c r="S33" i="6"/>
  <c r="R33" i="6"/>
  <c r="S32" i="6"/>
  <c r="R32" i="6"/>
  <c r="S31" i="6"/>
  <c r="R31" i="6"/>
  <c r="S30" i="6"/>
  <c r="R30" i="6"/>
  <c r="S29" i="6"/>
  <c r="R29" i="6"/>
  <c r="S28" i="6"/>
  <c r="R28" i="6"/>
  <c r="S27" i="6"/>
  <c r="R27" i="6"/>
  <c r="S26" i="6"/>
  <c r="R26" i="6"/>
  <c r="S25" i="6"/>
  <c r="R25" i="6"/>
  <c r="S24" i="6"/>
  <c r="R24" i="6"/>
  <c r="S23" i="6"/>
  <c r="R23" i="6"/>
  <c r="S22" i="6"/>
  <c r="R22" i="6"/>
  <c r="S20" i="6"/>
  <c r="R20" i="6"/>
  <c r="S19" i="6"/>
  <c r="R19" i="6"/>
  <c r="S18" i="6"/>
  <c r="R18" i="6"/>
  <c r="S17" i="6"/>
  <c r="R17" i="6"/>
  <c r="S16" i="6"/>
  <c r="R16" i="6"/>
  <c r="S15" i="6"/>
  <c r="R15" i="6"/>
  <c r="S14" i="6"/>
  <c r="R14" i="6"/>
  <c r="S13" i="6"/>
  <c r="R13" i="6"/>
  <c r="S12" i="6"/>
  <c r="R12" i="6"/>
  <c r="S11" i="6"/>
  <c r="R11" i="6"/>
  <c r="S10" i="6"/>
  <c r="R10" i="6"/>
  <c r="S9" i="6"/>
  <c r="R9" i="6"/>
  <c r="AT16" i="2" l="1"/>
  <c r="AS15" i="2"/>
  <c r="AS12" i="2"/>
  <c r="AW16" i="2"/>
  <c r="AW15" i="2"/>
  <c r="AW14" i="2"/>
  <c r="AW13" i="2"/>
  <c r="AW12" i="2"/>
  <c r="AW11" i="2"/>
  <c r="AW10" i="2"/>
  <c r="AW9" i="2"/>
  <c r="AW8" i="2"/>
  <c r="AW7" i="2"/>
  <c r="AW6" i="2"/>
  <c r="AW4" i="2"/>
  <c r="AQ5" i="2"/>
  <c r="AP16" i="2"/>
  <c r="AP15" i="2"/>
  <c r="AP14" i="2"/>
  <c r="AP13" i="2"/>
  <c r="AP12" i="2"/>
  <c r="AP11" i="2"/>
  <c r="AP10" i="2"/>
  <c r="AP9" i="2"/>
  <c r="AQ9" i="2" s="1"/>
  <c r="AP8" i="2"/>
  <c r="AP7" i="2"/>
  <c r="AP6" i="2"/>
  <c r="AP4" i="2"/>
  <c r="AQ4" i="2" s="1"/>
  <c r="AG12" i="2"/>
  <c r="AK16" i="2"/>
  <c r="AK15" i="2"/>
  <c r="AK12" i="2"/>
  <c r="AK9" i="2"/>
  <c r="AK4" i="2"/>
  <c r="AA12" i="2"/>
  <c r="AA9" i="2"/>
  <c r="AE16" i="2"/>
  <c r="AE15" i="2"/>
  <c r="AE14" i="2"/>
  <c r="AE13" i="2"/>
  <c r="AE12" i="2"/>
  <c r="AE11" i="2"/>
  <c r="AE10" i="2"/>
  <c r="AE9" i="2"/>
  <c r="AE8" i="2"/>
  <c r="AE7" i="2"/>
  <c r="AE6" i="2"/>
  <c r="AE5" i="2"/>
  <c r="AE4" i="2"/>
  <c r="Y16" i="2"/>
  <c r="Z16" i="2" s="1"/>
  <c r="Y15" i="2"/>
  <c r="Y14" i="2"/>
  <c r="Y13" i="2"/>
  <c r="Y12" i="2"/>
  <c r="Y11" i="2"/>
  <c r="Y10" i="2"/>
  <c r="Y9" i="2"/>
  <c r="Y8" i="2"/>
  <c r="Y7" i="2"/>
  <c r="Y6" i="2"/>
  <c r="Y5" i="2"/>
  <c r="Y4" i="2"/>
  <c r="V15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G4" i="2"/>
  <c r="G5" i="2"/>
  <c r="G6" i="2"/>
  <c r="G7" i="2"/>
  <c r="G8" i="2"/>
  <c r="G9" i="2"/>
  <c r="G10" i="2"/>
  <c r="G11" i="2"/>
  <c r="G13" i="2"/>
  <c r="G14" i="2"/>
  <c r="G15" i="2"/>
  <c r="G16" i="2"/>
  <c r="G12" i="2"/>
  <c r="AX16" i="2" l="1"/>
  <c r="AQ17" i="2"/>
  <c r="AQ18" i="2" s="1"/>
  <c r="AQ19" i="2" s="1"/>
  <c r="Z15" i="2"/>
  <c r="P16" i="2"/>
  <c r="T16" i="2" s="1"/>
  <c r="T17" i="2" s="1"/>
  <c r="T18" i="2" s="1"/>
  <c r="T19" i="2" s="1"/>
  <c r="D16" i="2"/>
  <c r="H16" i="2" s="1"/>
  <c r="AT15" i="2"/>
  <c r="AX15" i="2" s="1"/>
  <c r="J15" i="2"/>
  <c r="N15" i="2" s="1"/>
  <c r="D15" i="2"/>
  <c r="H15" i="2" s="1"/>
  <c r="D14" i="2"/>
  <c r="H14" i="2" s="1"/>
  <c r="D13" i="2"/>
  <c r="H13" i="2" s="1"/>
  <c r="AT12" i="2"/>
  <c r="AX12" i="2" s="1"/>
  <c r="AH12" i="2"/>
  <c r="AL12" i="2" s="1"/>
  <c r="AB12" i="2"/>
  <c r="AF12" i="2" s="1"/>
  <c r="J12" i="2"/>
  <c r="N12" i="2" s="1"/>
  <c r="D12" i="2"/>
  <c r="H12" i="2" s="1"/>
  <c r="V11" i="2"/>
  <c r="Z11" i="2" s="1"/>
  <c r="D11" i="2"/>
  <c r="H11" i="2" s="1"/>
  <c r="D10" i="2"/>
  <c r="H10" i="2" s="1"/>
  <c r="AS9" i="2"/>
  <c r="AT9" i="2" s="1"/>
  <c r="AX9" i="2" s="1"/>
  <c r="AR9" i="2"/>
  <c r="AH9" i="2"/>
  <c r="AL9" i="2" s="1"/>
  <c r="AB9" i="2"/>
  <c r="AF9" i="2" s="1"/>
  <c r="V9" i="2"/>
  <c r="Z9" i="2" s="1"/>
  <c r="D9" i="2"/>
  <c r="H9" i="2" s="1"/>
  <c r="D8" i="2"/>
  <c r="H8" i="2" s="1"/>
  <c r="V7" i="2"/>
  <c r="Z7" i="2" s="1"/>
  <c r="D7" i="2"/>
  <c r="H7" i="2" s="1"/>
  <c r="V6" i="2"/>
  <c r="Z6" i="2" s="1"/>
  <c r="D6" i="2"/>
  <c r="H6" i="2" s="1"/>
  <c r="AB5" i="2"/>
  <c r="AF5" i="2" s="1"/>
  <c r="V5" i="2"/>
  <c r="Z5" i="2" s="1"/>
  <c r="D5" i="2"/>
  <c r="H5" i="2" s="1"/>
  <c r="AS4" i="2"/>
  <c r="AT4" i="2" s="1"/>
  <c r="AX5" i="2" s="1"/>
  <c r="AH4" i="2"/>
  <c r="AL4" i="2" s="1"/>
  <c r="AB4" i="2"/>
  <c r="AF4" i="2" s="1"/>
  <c r="V4" i="2"/>
  <c r="Z4" i="2" s="1"/>
  <c r="D4" i="2"/>
  <c r="H4" i="2" s="1"/>
  <c r="AL17" i="2" l="1"/>
  <c r="AL18" i="2" s="1"/>
  <c r="AL19" i="2" s="1"/>
  <c r="AL20" i="2" s="1"/>
  <c r="AX4" i="2"/>
  <c r="AX17" i="2" s="1"/>
  <c r="AX18" i="2" s="1"/>
  <c r="AX20" i="2" s="1"/>
  <c r="AF17" i="2"/>
  <c r="AF18" i="2" s="1"/>
  <c r="AF19" i="2" s="1"/>
  <c r="AF20" i="2" s="1"/>
  <c r="Z17" i="2"/>
  <c r="Z18" i="2" s="1"/>
  <c r="Z19" i="2" s="1"/>
  <c r="N17" i="2"/>
  <c r="N18" i="2" s="1"/>
  <c r="N19" i="2" s="1"/>
  <c r="H17" i="2"/>
  <c r="H18" i="2" s="1"/>
  <c r="H19" i="2" s="1"/>
</calcChain>
</file>

<file path=xl/sharedStrings.xml><?xml version="1.0" encoding="utf-8"?>
<sst xmlns="http://schemas.openxmlformats.org/spreadsheetml/2006/main" count="3495" uniqueCount="238">
  <si>
    <t>s</t>
  </si>
  <si>
    <t>Drawing No.</t>
  </si>
  <si>
    <t>Section No.</t>
  </si>
  <si>
    <t>Required Bar(No.)</t>
  </si>
  <si>
    <t>Bar Length(MM)</t>
  </si>
  <si>
    <t>Per Bar Part Quantity(No.)</t>
  </si>
  <si>
    <t>Available Bars(No.)</t>
  </si>
  <si>
    <t>C/L(MM)</t>
  </si>
  <si>
    <t>Order Quantity(No.)</t>
  </si>
  <si>
    <t>Cutting</t>
  </si>
  <si>
    <t>Punching</t>
  </si>
  <si>
    <t>Drilling</t>
  </si>
  <si>
    <t>Tapping</t>
  </si>
  <si>
    <t>Ready for Welding</t>
  </si>
  <si>
    <t>VMC/SPM Silitting</t>
  </si>
  <si>
    <t>Total</t>
  </si>
  <si>
    <t>Remarks</t>
  </si>
  <si>
    <t>98808(Cup)</t>
  </si>
  <si>
    <t>3380/4100</t>
  </si>
  <si>
    <t>N\A</t>
  </si>
  <si>
    <t>98811(D-Nub)</t>
  </si>
  <si>
    <t>98815(Sleeve)</t>
  </si>
  <si>
    <t>98808(Leg)</t>
  </si>
  <si>
    <t>4100/4260</t>
  </si>
  <si>
    <t>397/0</t>
  </si>
  <si>
    <t>98812(Bracket)</t>
  </si>
  <si>
    <t>98808(Upper)</t>
  </si>
  <si>
    <t>98808(Lower)</t>
  </si>
  <si>
    <t>98809(Bracket)</t>
  </si>
  <si>
    <t>98810(Mid-Plate)</t>
  </si>
  <si>
    <t>C2 Cutting Punching</t>
  </si>
  <si>
    <t>CONCEPT -2 CYCLE TIME(IN SECONDS)</t>
  </si>
  <si>
    <t>PART NAME</t>
  </si>
  <si>
    <t>SECTION NUMBER</t>
  </si>
  <si>
    <t>OPERATIONS</t>
  </si>
  <si>
    <t>C2</t>
  </si>
  <si>
    <t>CUTTING</t>
  </si>
  <si>
    <t>HOURLY TARGET</t>
  </si>
  <si>
    <t>DRILL/TAP</t>
  </si>
  <si>
    <t>SLITTING</t>
  </si>
  <si>
    <t>PUNCHING</t>
  </si>
  <si>
    <t>VMC</t>
  </si>
  <si>
    <t>WELDING</t>
  </si>
  <si>
    <t xml:space="preserve">FACE CUTTING </t>
  </si>
  <si>
    <t xml:space="preserve">CLEANING </t>
  </si>
  <si>
    <t>98808 (Cup)</t>
  </si>
  <si>
    <t>Qty Required</t>
  </si>
  <si>
    <t>Bal Qty</t>
  </si>
  <si>
    <t>ASC-2 New (Hrs Req.)</t>
  </si>
  <si>
    <t>98811 (D-Nub)</t>
  </si>
  <si>
    <t>98815 (Sleeve)</t>
  </si>
  <si>
    <t>Cutting Done</t>
  </si>
  <si>
    <t>98808 (Leg)</t>
  </si>
  <si>
    <t>98812 (Bracket)</t>
  </si>
  <si>
    <t>Total Hrs</t>
  </si>
  <si>
    <t>Total Shifts</t>
  </si>
  <si>
    <t>Total Day</t>
  </si>
  <si>
    <t>Drill/Tap Done</t>
  </si>
  <si>
    <t>Drill/Tap Machine (Hrs Req.)</t>
  </si>
  <si>
    <t>Slitting Done</t>
  </si>
  <si>
    <t>Slitting Machine (Hrs Req.)</t>
  </si>
  <si>
    <t>Punching Done</t>
  </si>
  <si>
    <t>Power Press Machine (Hrs Req.)</t>
  </si>
  <si>
    <t>VMC Done</t>
  </si>
  <si>
    <t>VMC Machine (Hrs Req.)</t>
  </si>
  <si>
    <t>VMC-5</t>
  </si>
  <si>
    <t>Welding Done</t>
  </si>
  <si>
    <t>Welder Req (Hrs Req.)</t>
  </si>
  <si>
    <t>Welding M/c-4</t>
  </si>
  <si>
    <t>Cuttng Done</t>
  </si>
  <si>
    <t>ASC-1 Machine (Hrs Req.)</t>
  </si>
  <si>
    <t>Manpower Count (Hrs Req.)</t>
  </si>
  <si>
    <t>Deburring/Buffing Done</t>
  </si>
  <si>
    <t>Per Day-16</t>
  </si>
  <si>
    <t>Daily production planning SPM (Machine Shop)</t>
  </si>
  <si>
    <t>Doc No.</t>
  </si>
  <si>
    <t>Date</t>
  </si>
  <si>
    <t>Sr. No.</t>
  </si>
  <si>
    <t>Name of Machine</t>
  </si>
  <si>
    <t>Name of the customer</t>
  </si>
  <si>
    <t>Sec.no</t>
  </si>
  <si>
    <t>Cutlength (mm)</t>
  </si>
  <si>
    <t>OperationDescription</t>
  </si>
  <si>
    <t>B Shift</t>
  </si>
  <si>
    <t>C Shift</t>
  </si>
  <si>
    <t>A Shift</t>
  </si>
  <si>
    <t>Total Plan</t>
  </si>
  <si>
    <t>Total Actual</t>
  </si>
  <si>
    <t>C/T</t>
  </si>
  <si>
    <t>Plan</t>
  </si>
  <si>
    <t>Actual</t>
  </si>
  <si>
    <t>SC1</t>
  </si>
  <si>
    <t>90*</t>
  </si>
  <si>
    <t>60 sec</t>
  </si>
  <si>
    <t>SC2</t>
  </si>
  <si>
    <t>GAME CHANGER</t>
  </si>
  <si>
    <t>2 Min</t>
  </si>
  <si>
    <t>GCS</t>
  </si>
  <si>
    <t>2MIN</t>
  </si>
  <si>
    <t xml:space="preserve">R fix </t>
  </si>
  <si>
    <t xml:space="preserve">45* </t>
  </si>
  <si>
    <t>4 Min</t>
  </si>
  <si>
    <t>Asc2</t>
  </si>
  <si>
    <t>GREENTECH</t>
  </si>
  <si>
    <t>6 sec</t>
  </si>
  <si>
    <t>Asc5</t>
  </si>
  <si>
    <t>Asc6</t>
  </si>
  <si>
    <t>4min</t>
  </si>
  <si>
    <t>Asc7</t>
  </si>
  <si>
    <t>Asc4</t>
  </si>
  <si>
    <t>1Min</t>
  </si>
  <si>
    <t>Asc1</t>
  </si>
  <si>
    <t>D-NUB CUTTING</t>
  </si>
  <si>
    <t>6SEC</t>
  </si>
  <si>
    <t>FACE CUTTING</t>
  </si>
  <si>
    <t>16 sec</t>
  </si>
  <si>
    <t>PP 60 T</t>
  </si>
  <si>
    <t>HOLE PUNCH</t>
  </si>
  <si>
    <t>30sec</t>
  </si>
  <si>
    <t>PP 80 T-1</t>
  </si>
  <si>
    <t>30 sec</t>
  </si>
  <si>
    <t>PP 80 T-2</t>
  </si>
  <si>
    <t>RADIUS CUTTING</t>
  </si>
  <si>
    <t>LINE PUNCH</t>
  </si>
  <si>
    <t>Welding</t>
  </si>
  <si>
    <t>FULL SLEEVE Welding</t>
  </si>
  <si>
    <t>DNUB WELDING</t>
  </si>
  <si>
    <t>D-NUB</t>
  </si>
  <si>
    <t>Full Welding</t>
  </si>
  <si>
    <t>REWORK</t>
  </si>
  <si>
    <t>R FIX</t>
  </si>
  <si>
    <t>Robotic</t>
  </si>
  <si>
    <t>Tapping-1</t>
  </si>
  <si>
    <t>1 Min</t>
  </si>
  <si>
    <t>Miiling-4</t>
  </si>
  <si>
    <t>DRILL</t>
  </si>
  <si>
    <t>3 Min</t>
  </si>
  <si>
    <t>Tapping 1</t>
  </si>
  <si>
    <t>(M3) Tapping</t>
  </si>
  <si>
    <t>4Min</t>
  </si>
  <si>
    <t>Tapping-2</t>
  </si>
  <si>
    <t>SLEEKA</t>
  </si>
  <si>
    <t>(M5) Tapping</t>
  </si>
  <si>
    <t>Miiling-3</t>
  </si>
  <si>
    <t>SAIVAN TOOL</t>
  </si>
  <si>
    <t>1st &amp; 2nd OP Drilling</t>
  </si>
  <si>
    <t>Miiling-2</t>
  </si>
  <si>
    <t>3rd OP Drilling</t>
  </si>
  <si>
    <t>SOLAR LONG FRAME</t>
  </si>
  <si>
    <t>GREEN SOLAR</t>
  </si>
  <si>
    <t>M/C</t>
  </si>
  <si>
    <t>SOLAR SHORT FRAME</t>
  </si>
  <si>
    <t>CHAMFER</t>
  </si>
  <si>
    <t>4MIN</t>
  </si>
  <si>
    <t>30Sec</t>
  </si>
  <si>
    <t>16 Sec</t>
  </si>
  <si>
    <t>CONCEPT-2 SUMMARY REPORT (CO NO - 4875)14/2/26</t>
  </si>
  <si>
    <t>54 Sec</t>
  </si>
  <si>
    <t>Miiling-1</t>
  </si>
  <si>
    <t xml:space="preserve"> Tapping</t>
  </si>
  <si>
    <t>Welding planning in 12 hrs shift</t>
  </si>
  <si>
    <t>Line Punch (PP)</t>
  </si>
  <si>
    <t>Punching (PP)</t>
  </si>
  <si>
    <t>2min</t>
  </si>
  <si>
    <t>B/D</t>
  </si>
  <si>
    <t>N/P</t>
  </si>
  <si>
    <t>Chamfer</t>
  </si>
  <si>
    <t>Future solar</t>
  </si>
  <si>
    <t>R/M/S</t>
  </si>
  <si>
    <t>90 Degree</t>
  </si>
  <si>
    <t>Tapping 2</t>
  </si>
  <si>
    <t>Tapping-3</t>
  </si>
  <si>
    <t>Q railing</t>
  </si>
  <si>
    <t>5 Min</t>
  </si>
  <si>
    <t>Sleeve</t>
  </si>
  <si>
    <t>60sec</t>
  </si>
  <si>
    <t>80ton 1</t>
  </si>
  <si>
    <t>16.02.26</t>
  </si>
  <si>
    <t xml:space="preserve">U FLOW </t>
  </si>
  <si>
    <t>4 MIN</t>
  </si>
  <si>
    <t>PP 150 T</t>
  </si>
  <si>
    <t>Chamfer 1</t>
  </si>
  <si>
    <t>Chamfer 2</t>
  </si>
  <si>
    <t>ANGLE CUTTING</t>
  </si>
  <si>
    <t>ATLAS</t>
  </si>
  <si>
    <t>LASER</t>
  </si>
  <si>
    <t>LASER MARKING</t>
  </si>
  <si>
    <t>30 Sec</t>
  </si>
  <si>
    <t>17.02.26</t>
  </si>
  <si>
    <t>18.02.26</t>
  </si>
  <si>
    <t>HOLE PUNCHING</t>
  </si>
  <si>
    <t>45* &amp; 90*</t>
  </si>
  <si>
    <t xml:space="preserve">Cutting </t>
  </si>
  <si>
    <t xml:space="preserve">45* &amp; </t>
  </si>
  <si>
    <t>45*</t>
  </si>
  <si>
    <t>2Min</t>
  </si>
  <si>
    <t>BALL PRESING</t>
  </si>
  <si>
    <t>20sec</t>
  </si>
  <si>
    <t>Chamfer 3</t>
  </si>
  <si>
    <t>1.5min</t>
  </si>
  <si>
    <t>V TEL</t>
  </si>
  <si>
    <t>21.02.26</t>
  </si>
  <si>
    <t>VTL</t>
  </si>
  <si>
    <t>90sec</t>
  </si>
  <si>
    <t>23.02.26</t>
  </si>
  <si>
    <t>24.02.26</t>
  </si>
  <si>
    <t>saivon</t>
  </si>
  <si>
    <t>1min</t>
  </si>
  <si>
    <t>25.02.26</t>
  </si>
  <si>
    <t>26.02.26</t>
  </si>
  <si>
    <t>27.02.26</t>
  </si>
  <si>
    <t>28.02.26</t>
  </si>
  <si>
    <t>PP 60TON</t>
  </si>
  <si>
    <t>ASC-4</t>
  </si>
  <si>
    <t>D NUB Welding</t>
  </si>
  <si>
    <t xml:space="preserve"> 3rd setup DRILL</t>
  </si>
  <si>
    <t>Sleeve(full welding)</t>
  </si>
  <si>
    <t>ASC 2</t>
  </si>
  <si>
    <t>1 MIN</t>
  </si>
  <si>
    <t>SLOT PUNCH</t>
  </si>
  <si>
    <t>HP 60TON 2</t>
  </si>
  <si>
    <t>BALL PRESS</t>
  </si>
  <si>
    <t>02.3.26</t>
  </si>
  <si>
    <t>SLOT PUNCHING</t>
  </si>
  <si>
    <t>40 sec</t>
  </si>
  <si>
    <t xml:space="preserve">HP 60 TON </t>
  </si>
  <si>
    <t>03.3.26</t>
  </si>
  <si>
    <t>50 Sec</t>
  </si>
  <si>
    <t>50sec</t>
  </si>
  <si>
    <t>60ton 1</t>
  </si>
  <si>
    <t xml:space="preserve">HP 60TON </t>
  </si>
  <si>
    <t>60 Sec</t>
  </si>
  <si>
    <t>05.3.26</t>
  </si>
  <si>
    <t>90* Operation</t>
  </si>
  <si>
    <t>Sleeve welding</t>
  </si>
  <si>
    <t>Welding Machine</t>
  </si>
  <si>
    <t>SLITTING machine</t>
  </si>
  <si>
    <t>Welding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</si>
</sst>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6"/>
      <color theme="1"/>
      <name val="Algerian"/>
      <family val="5"/>
    </font>
    <font>
      <sz val="14"/>
      <color theme="1"/>
      <name val="Calibri"/>
      <family val="2"/>
      <scheme val="minor"/>
    </font>
    <font>
      <b/>
      <sz val="14"/>
      <color theme="1"/>
      <name val="Footlight MT Light"/>
      <family val="1"/>
    </font>
    <font>
      <sz val="14"/>
      <color theme="1"/>
      <name val="Footlight MT Light"/>
      <family val="1"/>
    </font>
    <font>
      <sz val="14"/>
      <color theme="1"/>
      <name val="Baskerville Old Face"/>
      <family val="1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vertic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0" xfId="0" applyAlignment="1">
      <alignment wrapText="1"/>
    </xf>
    <xf numFmtId="0" fontId="5" fillId="8" borderId="0" xfId="0" applyFont="1" applyFill="1" applyAlignment="1">
      <alignment horizontal="center" vertical="center"/>
    </xf>
    <xf numFmtId="0" fontId="8" fillId="0" borderId="4" xfId="0" applyFont="1" applyBorder="1"/>
    <xf numFmtId="0" fontId="9" fillId="0" borderId="4" xfId="0" applyFont="1" applyBorder="1"/>
    <xf numFmtId="0" fontId="9" fillId="10" borderId="4" xfId="0" applyFont="1" applyFill="1" applyBorder="1"/>
    <xf numFmtId="14" fontId="9" fillId="6" borderId="4" xfId="0" applyNumberFormat="1" applyFont="1" applyFill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8" fillId="14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8" fillId="5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0" fontId="1" fillId="0" borderId="0" xfId="0" applyNumberFormat="1" applyFont="1"/>
    <xf numFmtId="0" fontId="8" fillId="0" borderId="4" xfId="0" applyFont="1" applyBorder="1" applyAlignment="1">
      <alignment horizontal="center" vertical="center" wrapText="1"/>
    </xf>
    <xf numFmtId="0" fontId="9" fillId="17" borderId="4" xfId="0" applyFont="1" applyFill="1" applyBorder="1"/>
    <xf numFmtId="14" fontId="9" fillId="17" borderId="4" xfId="0" applyNumberFormat="1" applyFont="1" applyFill="1" applyBorder="1" applyAlignment="1">
      <alignment horizontal="center"/>
    </xf>
    <xf numFmtId="0" fontId="9" fillId="15" borderId="4" xfId="0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/>
    </xf>
    <xf numFmtId="0" fontId="9" fillId="11" borderId="4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0" fontId="4" fillId="7" borderId="12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0" fontId="7" fillId="9" borderId="13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0" fontId="7" fillId="9" borderId="15" xfId="0" applyFont="1" applyFill="1" applyBorder="1" applyAlignment="1">
      <alignment horizontal="center"/>
    </xf>
    <xf numFmtId="0" fontId="7" fillId="9" borderId="16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7" fillId="9" borderId="17" xfId="0" applyFont="1" applyFill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0" fontId="7" fillId="9" borderId="19" xfId="0" applyFont="1" applyFill="1" applyBorder="1" applyAlignment="1">
      <alignment horizontal="center"/>
    </xf>
    <xf numFmtId="0" fontId="7" fillId="9" borderId="20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S48"/>
  <sheetViews>
    <sheetView topLeftCell="E1" workbookViewId="0">
      <selection activeCell="L25" sqref="L25"/>
    </sheetView>
  </sheetViews>
  <sheetFormatPr defaultRowHeight="14.4" x14ac:dyDescent="0.3"/>
  <cols>
    <col min="4" max="4" width="15" customWidth="1"/>
    <col min="5" max="5" width="13.44140625" customWidth="1"/>
    <col min="7" max="7" width="28.33203125" customWidth="1"/>
    <col min="12" max="12" width="14.6640625" customWidth="1"/>
    <col min="13" max="13" width="14.109375" customWidth="1"/>
    <col min="14" max="14" width="14.88671875" customWidth="1"/>
    <col min="17" max="17" width="20.109375" customWidth="1"/>
    <col min="18" max="18" width="16" customWidth="1"/>
    <col min="19" max="19" width="10.6640625" customWidth="1"/>
  </cols>
  <sheetData>
    <row r="2" spans="2:19" x14ac:dyDescent="0.3">
      <c r="B2" s="52" t="s">
        <v>74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3" spans="2:19" x14ac:dyDescent="0.3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</row>
    <row r="4" spans="2:19" x14ac:dyDescent="0.3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</row>
    <row r="5" spans="2:19" ht="15" customHeight="1" x14ac:dyDescent="0.35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7" t="s">
        <v>75</v>
      </c>
      <c r="Q5" s="27"/>
      <c r="R5" s="23"/>
      <c r="S5" s="23"/>
    </row>
    <row r="6" spans="2:19" ht="15" customHeight="1" x14ac:dyDescent="0.35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8" t="s">
        <v>76</v>
      </c>
      <c r="Q6" s="29">
        <v>46016</v>
      </c>
      <c r="R6" s="23"/>
      <c r="S6" s="23"/>
    </row>
    <row r="7" spans="2:19" ht="15.75" customHeight="1" x14ac:dyDescent="0.3">
      <c r="B7" s="53" t="s">
        <v>77</v>
      </c>
      <c r="C7" s="53" t="s">
        <v>78</v>
      </c>
      <c r="D7" s="53" t="s">
        <v>79</v>
      </c>
      <c r="E7" s="54" t="s">
        <v>80</v>
      </c>
      <c r="F7" s="53" t="s">
        <v>81</v>
      </c>
      <c r="G7" s="53" t="s">
        <v>82</v>
      </c>
      <c r="H7" s="30"/>
      <c r="I7" s="55" t="s">
        <v>85</v>
      </c>
      <c r="J7" s="55"/>
      <c r="K7" s="55"/>
      <c r="L7" s="56" t="s">
        <v>83</v>
      </c>
      <c r="M7" s="56"/>
      <c r="N7" s="56"/>
      <c r="O7" s="57" t="s">
        <v>84</v>
      </c>
      <c r="P7" s="57"/>
      <c r="Q7" s="57"/>
      <c r="R7" s="50" t="s">
        <v>86</v>
      </c>
      <c r="S7" s="51" t="s">
        <v>87</v>
      </c>
    </row>
    <row r="8" spans="2:19" ht="17.399999999999999" x14ac:dyDescent="0.3">
      <c r="B8" s="53"/>
      <c r="C8" s="53"/>
      <c r="D8" s="53"/>
      <c r="E8" s="54"/>
      <c r="F8" s="53"/>
      <c r="G8" s="53"/>
      <c r="H8" s="30" t="s">
        <v>88</v>
      </c>
      <c r="I8" s="31" t="s">
        <v>89</v>
      </c>
      <c r="J8" s="32" t="s">
        <v>90</v>
      </c>
      <c r="K8" s="33" t="s">
        <v>16</v>
      </c>
      <c r="L8" s="31" t="s">
        <v>89</v>
      </c>
      <c r="M8" s="32" t="s">
        <v>90</v>
      </c>
      <c r="N8" s="30" t="s">
        <v>16</v>
      </c>
      <c r="O8" s="31" t="s">
        <v>89</v>
      </c>
      <c r="P8" s="32" t="s">
        <v>90</v>
      </c>
      <c r="Q8" s="33" t="s">
        <v>16</v>
      </c>
      <c r="R8" s="50"/>
      <c r="S8" s="51"/>
    </row>
    <row r="9" spans="2:19" ht="18" x14ac:dyDescent="0.35">
      <c r="B9" s="34">
        <v>1</v>
      </c>
      <c r="C9" s="35" t="s">
        <v>91</v>
      </c>
      <c r="D9" s="36" t="s">
        <v>35</v>
      </c>
      <c r="E9" s="35">
        <v>98812</v>
      </c>
      <c r="F9" s="35">
        <v>292.10000000000002</v>
      </c>
      <c r="G9" s="35" t="s">
        <v>92</v>
      </c>
      <c r="H9" s="35" t="s">
        <v>93</v>
      </c>
      <c r="I9" s="35"/>
      <c r="J9" s="35"/>
      <c r="K9" s="35"/>
      <c r="L9" s="35">
        <v>0</v>
      </c>
      <c r="M9" s="35">
        <v>0</v>
      </c>
      <c r="N9" s="35"/>
      <c r="O9" s="35">
        <v>0</v>
      </c>
      <c r="P9" s="35">
        <v>0</v>
      </c>
      <c r="Q9" s="35"/>
      <c r="R9" s="37" t="e">
        <f>+L9+O9+#REF!</f>
        <v>#REF!</v>
      </c>
      <c r="S9" s="38" t="e">
        <f>+M9+P9+#REF!</f>
        <v>#REF!</v>
      </c>
    </row>
    <row r="10" spans="2:19" ht="34.799999999999997" hidden="1" x14ac:dyDescent="0.35">
      <c r="B10" s="34">
        <v>2</v>
      </c>
      <c r="C10" s="35" t="s">
        <v>94</v>
      </c>
      <c r="D10" s="39" t="s">
        <v>95</v>
      </c>
      <c r="E10" s="35">
        <v>86298</v>
      </c>
      <c r="F10" s="35">
        <v>45.72</v>
      </c>
      <c r="G10" s="35" t="s">
        <v>92</v>
      </c>
      <c r="H10" s="35" t="s">
        <v>96</v>
      </c>
      <c r="I10" s="35"/>
      <c r="J10" s="35"/>
      <c r="K10" s="35"/>
      <c r="L10" s="35">
        <v>0</v>
      </c>
      <c r="M10" s="35">
        <v>0</v>
      </c>
      <c r="N10" s="35"/>
      <c r="O10" s="35">
        <v>0</v>
      </c>
      <c r="P10" s="35">
        <v>0</v>
      </c>
      <c r="Q10" s="35"/>
      <c r="R10" s="37" t="e">
        <f>+L10+O10+#REF!</f>
        <v>#REF!</v>
      </c>
      <c r="S10" s="38" t="e">
        <f>+M10+P10+#REF!</f>
        <v>#REF!</v>
      </c>
    </row>
    <row r="11" spans="2:19" ht="18" hidden="1" x14ac:dyDescent="0.35">
      <c r="B11" s="34">
        <v>3</v>
      </c>
      <c r="C11" s="35" t="s">
        <v>94</v>
      </c>
      <c r="D11" s="36" t="s">
        <v>95</v>
      </c>
      <c r="E11" s="35">
        <v>86298</v>
      </c>
      <c r="F11" s="35">
        <v>86.36</v>
      </c>
      <c r="G11" s="35" t="s">
        <v>92</v>
      </c>
      <c r="H11" s="35" t="s">
        <v>96</v>
      </c>
      <c r="I11" s="35"/>
      <c r="J11" s="35"/>
      <c r="K11" s="35"/>
      <c r="L11" s="35">
        <v>0</v>
      </c>
      <c r="M11" s="35">
        <v>0</v>
      </c>
      <c r="N11" s="35"/>
      <c r="O11" s="35">
        <v>0</v>
      </c>
      <c r="P11" s="35">
        <v>0</v>
      </c>
      <c r="Q11" s="35"/>
      <c r="R11" s="37" t="e">
        <f>+L11+O11+#REF!</f>
        <v>#REF!</v>
      </c>
      <c r="S11" s="38" t="e">
        <f>+M11+P11+#REF!</f>
        <v>#REF!</v>
      </c>
    </row>
    <row r="12" spans="2:19" ht="18" hidden="1" x14ac:dyDescent="0.35">
      <c r="B12" s="34">
        <v>4</v>
      </c>
      <c r="C12" s="35" t="s">
        <v>94</v>
      </c>
      <c r="D12" s="36" t="s">
        <v>97</v>
      </c>
      <c r="E12" s="35">
        <v>86298</v>
      </c>
      <c r="F12" s="35">
        <v>86.36</v>
      </c>
      <c r="G12" s="35" t="s">
        <v>92</v>
      </c>
      <c r="H12" s="35" t="s">
        <v>98</v>
      </c>
      <c r="I12" s="35"/>
      <c r="J12" s="35"/>
      <c r="K12" s="35"/>
      <c r="L12" s="35"/>
      <c r="M12" s="35"/>
      <c r="N12" s="35"/>
      <c r="O12" s="35"/>
      <c r="P12" s="35"/>
      <c r="Q12" s="35"/>
      <c r="R12" s="37" t="e">
        <f>+L12+O12+#REF!</f>
        <v>#REF!</v>
      </c>
      <c r="S12" s="38" t="e">
        <f>+M12+P12+#REF!</f>
        <v>#REF!</v>
      </c>
    </row>
    <row r="13" spans="2:19" ht="18" x14ac:dyDescent="0.35">
      <c r="B13" s="34">
        <v>5</v>
      </c>
      <c r="C13" s="35" t="s">
        <v>94</v>
      </c>
      <c r="D13" s="36" t="s">
        <v>35</v>
      </c>
      <c r="E13" s="35">
        <v>98809</v>
      </c>
      <c r="F13" s="35">
        <v>152.4</v>
      </c>
      <c r="G13" s="35" t="s">
        <v>92</v>
      </c>
      <c r="H13" s="35" t="s">
        <v>154</v>
      </c>
      <c r="I13" s="35"/>
      <c r="J13" s="35"/>
      <c r="K13" s="35"/>
      <c r="L13" s="35"/>
      <c r="M13" s="35"/>
      <c r="N13" s="35"/>
      <c r="O13" s="35"/>
      <c r="P13" s="35"/>
      <c r="Q13" s="35"/>
      <c r="R13" s="37" t="e">
        <f>+L13+O13+#REF!</f>
        <v>#REF!</v>
      </c>
      <c r="S13" s="38" t="e">
        <f>+M13+P13+#REF!</f>
        <v>#REF!</v>
      </c>
    </row>
    <row r="14" spans="2:19" ht="18" hidden="1" x14ac:dyDescent="0.35">
      <c r="B14" s="34">
        <v>6</v>
      </c>
      <c r="C14" s="35" t="s">
        <v>94</v>
      </c>
      <c r="D14" s="36" t="s">
        <v>99</v>
      </c>
      <c r="E14" s="35">
        <v>86621</v>
      </c>
      <c r="F14" s="35">
        <v>235</v>
      </c>
      <c r="G14" s="35" t="s">
        <v>92</v>
      </c>
      <c r="H14" s="35" t="s">
        <v>98</v>
      </c>
      <c r="I14" s="35"/>
      <c r="J14" s="35"/>
      <c r="K14" s="35"/>
      <c r="L14" s="35"/>
      <c r="M14" s="35"/>
      <c r="N14" s="35"/>
      <c r="O14" s="35"/>
      <c r="P14" s="35"/>
      <c r="Q14" s="35"/>
      <c r="R14" s="37" t="e">
        <f>+L14+O14+#REF!</f>
        <v>#REF!</v>
      </c>
      <c r="S14" s="38" t="e">
        <f>+M14+P14+#REF!</f>
        <v>#REF!</v>
      </c>
    </row>
    <row r="15" spans="2:19" ht="18" hidden="1" x14ac:dyDescent="0.35">
      <c r="B15" s="34">
        <v>7</v>
      </c>
      <c r="C15" s="35" t="s">
        <v>94</v>
      </c>
      <c r="D15" s="36" t="s">
        <v>99</v>
      </c>
      <c r="E15" s="35">
        <v>86221</v>
      </c>
      <c r="F15" s="35">
        <v>265</v>
      </c>
      <c r="G15" s="35" t="s">
        <v>100</v>
      </c>
      <c r="H15" s="35" t="s">
        <v>101</v>
      </c>
      <c r="I15" s="35"/>
      <c r="J15" s="35"/>
      <c r="K15" s="35"/>
      <c r="L15" s="35"/>
      <c r="M15" s="35"/>
      <c r="N15" s="35"/>
      <c r="O15" s="35"/>
      <c r="P15" s="35"/>
      <c r="Q15" s="35"/>
      <c r="R15" s="37" t="e">
        <f>+L15+O15+#REF!</f>
        <v>#REF!</v>
      </c>
      <c r="S15" s="38" t="e">
        <f>+M15+P15+#REF!</f>
        <v>#REF!</v>
      </c>
    </row>
    <row r="16" spans="2:19" ht="18" hidden="1" x14ac:dyDescent="0.35">
      <c r="B16" s="34">
        <v>8</v>
      </c>
      <c r="C16" s="35" t="s">
        <v>102</v>
      </c>
      <c r="D16" s="36" t="s">
        <v>103</v>
      </c>
      <c r="E16" s="35">
        <v>93258</v>
      </c>
      <c r="F16" s="35">
        <v>22.5</v>
      </c>
      <c r="G16" s="35" t="s">
        <v>92</v>
      </c>
      <c r="H16" s="35" t="s">
        <v>104</v>
      </c>
      <c r="I16" s="35"/>
      <c r="J16" s="35"/>
      <c r="K16" s="35"/>
      <c r="L16" s="35"/>
      <c r="M16" s="35"/>
      <c r="N16" s="35"/>
      <c r="O16" s="35"/>
      <c r="P16" s="35"/>
      <c r="Q16" s="35"/>
      <c r="R16" s="37" t="e">
        <f>+L16+O16+#REF!</f>
        <v>#REF!</v>
      </c>
      <c r="S16" s="38" t="e">
        <f>+M16+P16+#REF!</f>
        <v>#REF!</v>
      </c>
    </row>
    <row r="17" spans="2:19" ht="18" x14ac:dyDescent="0.35">
      <c r="B17" s="34">
        <v>9</v>
      </c>
      <c r="C17" s="35" t="s">
        <v>102</v>
      </c>
      <c r="D17" s="36" t="s">
        <v>35</v>
      </c>
      <c r="E17" s="35">
        <v>98808</v>
      </c>
      <c r="F17" s="35">
        <v>76.2</v>
      </c>
      <c r="G17" s="35" t="s">
        <v>92</v>
      </c>
      <c r="H17" s="35" t="s">
        <v>154</v>
      </c>
      <c r="I17" s="35"/>
      <c r="J17" s="35"/>
      <c r="K17" s="35"/>
      <c r="L17" s="35"/>
      <c r="M17" s="35"/>
      <c r="N17" s="35"/>
      <c r="O17" s="35"/>
      <c r="P17" s="35"/>
      <c r="Q17" s="35"/>
      <c r="R17" s="37" t="e">
        <f>+L17+O17+#REF!</f>
        <v>#REF!</v>
      </c>
      <c r="S17" s="38" t="e">
        <f>+M17+P17+#REF!</f>
        <v>#REF!</v>
      </c>
    </row>
    <row r="18" spans="2:19" ht="18" hidden="1" x14ac:dyDescent="0.35">
      <c r="B18" s="34">
        <v>10</v>
      </c>
      <c r="C18" s="35" t="s">
        <v>105</v>
      </c>
      <c r="D18" s="36" t="s">
        <v>95</v>
      </c>
      <c r="E18" s="35">
        <v>86298</v>
      </c>
      <c r="F18" s="35">
        <v>86.36</v>
      </c>
      <c r="G18" s="35" t="s">
        <v>92</v>
      </c>
      <c r="H18" s="35" t="s">
        <v>101</v>
      </c>
      <c r="I18" s="35"/>
      <c r="J18" s="35"/>
      <c r="K18" s="35"/>
      <c r="L18" s="35"/>
      <c r="M18" s="35"/>
      <c r="N18" s="35"/>
      <c r="O18" s="35"/>
      <c r="P18" s="35"/>
      <c r="Q18" s="35"/>
      <c r="R18" s="37" t="e">
        <f>+L18+O18+#REF!</f>
        <v>#REF!</v>
      </c>
      <c r="S18" s="38" t="e">
        <f>+M18+P18+#REF!</f>
        <v>#REF!</v>
      </c>
    </row>
    <row r="19" spans="2:19" ht="18" hidden="1" x14ac:dyDescent="0.35">
      <c r="B19" s="34">
        <v>11</v>
      </c>
      <c r="C19" s="35" t="s">
        <v>106</v>
      </c>
      <c r="D19" s="36" t="s">
        <v>95</v>
      </c>
      <c r="E19" s="35">
        <v>86298</v>
      </c>
      <c r="F19" s="35">
        <v>86.36</v>
      </c>
      <c r="G19" s="35" t="s">
        <v>92</v>
      </c>
      <c r="H19" s="35" t="s">
        <v>107</v>
      </c>
      <c r="I19" s="35"/>
      <c r="J19" s="35"/>
      <c r="K19" s="35"/>
      <c r="L19" s="35"/>
      <c r="M19" s="35"/>
      <c r="N19" s="35"/>
      <c r="O19" s="35"/>
      <c r="P19" s="35"/>
      <c r="Q19" s="35"/>
      <c r="R19" s="37" t="e">
        <f>+L19+O19+#REF!</f>
        <v>#REF!</v>
      </c>
      <c r="S19" s="38" t="e">
        <f>+M19+P19+#REF!</f>
        <v>#REF!</v>
      </c>
    </row>
    <row r="20" spans="2:19" ht="18" hidden="1" x14ac:dyDescent="0.35">
      <c r="B20" s="34">
        <v>12</v>
      </c>
      <c r="C20" s="35" t="s">
        <v>108</v>
      </c>
      <c r="D20" s="36" t="s">
        <v>95</v>
      </c>
      <c r="E20" s="35">
        <v>86298</v>
      </c>
      <c r="F20" s="35">
        <v>86.36</v>
      </c>
      <c r="G20" s="35" t="s">
        <v>92</v>
      </c>
      <c r="H20" s="35" t="s">
        <v>101</v>
      </c>
      <c r="I20" s="35"/>
      <c r="J20" s="35"/>
      <c r="K20" s="35"/>
      <c r="L20" s="35"/>
      <c r="M20" s="35"/>
      <c r="N20" s="35"/>
      <c r="O20" s="35"/>
      <c r="P20" s="35"/>
      <c r="Q20" s="35"/>
      <c r="R20" s="37" t="e">
        <f>+L20+O20+#REF!</f>
        <v>#REF!</v>
      </c>
      <c r="S20" s="38" t="e">
        <f>+M20+P20+#REF!</f>
        <v>#REF!</v>
      </c>
    </row>
    <row r="21" spans="2:19" ht="18" x14ac:dyDescent="0.35">
      <c r="B21" s="34"/>
      <c r="C21" s="35"/>
      <c r="D21" s="36"/>
      <c r="E21" s="8" t="s">
        <v>26</v>
      </c>
      <c r="F21" s="35">
        <v>418.2</v>
      </c>
      <c r="G21" s="35">
        <v>90</v>
      </c>
      <c r="H21" s="35" t="s">
        <v>157</v>
      </c>
      <c r="I21" s="35">
        <v>420</v>
      </c>
      <c r="J21" s="35"/>
      <c r="K21" s="35"/>
      <c r="L21" s="35"/>
      <c r="M21" s="35"/>
      <c r="N21" s="35"/>
      <c r="O21" s="35"/>
      <c r="P21" s="35"/>
      <c r="Q21" s="35"/>
      <c r="R21" s="37"/>
      <c r="S21" s="38"/>
    </row>
    <row r="22" spans="2:19" ht="18" x14ac:dyDescent="0.35">
      <c r="B22" s="34">
        <v>13</v>
      </c>
      <c r="C22" s="35" t="s">
        <v>109</v>
      </c>
      <c r="D22" s="36" t="s">
        <v>35</v>
      </c>
      <c r="E22" s="35">
        <v>98812</v>
      </c>
      <c r="F22" s="35">
        <v>292.10000000000002</v>
      </c>
      <c r="G22" s="35">
        <v>90</v>
      </c>
      <c r="H22" s="35" t="s">
        <v>110</v>
      </c>
      <c r="I22" s="35"/>
      <c r="J22" s="35"/>
      <c r="K22" s="35"/>
      <c r="L22" s="35"/>
      <c r="M22" s="35"/>
      <c r="N22" s="35"/>
      <c r="O22" s="35"/>
      <c r="P22" s="35"/>
      <c r="Q22" s="35"/>
      <c r="R22" s="37" t="e">
        <f>+L22+O22+#REF!</f>
        <v>#REF!</v>
      </c>
      <c r="S22" s="38" t="e">
        <f>+M22+P22+#REF!</f>
        <v>#REF!</v>
      </c>
    </row>
    <row r="23" spans="2:19" ht="18" x14ac:dyDescent="0.35">
      <c r="B23" s="34">
        <v>14</v>
      </c>
      <c r="C23" s="35" t="s">
        <v>111</v>
      </c>
      <c r="D23" s="36" t="s">
        <v>35</v>
      </c>
      <c r="E23" s="35">
        <v>98811</v>
      </c>
      <c r="F23" s="35">
        <v>63.5</v>
      </c>
      <c r="G23" s="40" t="s">
        <v>112</v>
      </c>
      <c r="H23" s="35" t="s">
        <v>155</v>
      </c>
      <c r="I23" s="35"/>
      <c r="J23" s="35"/>
      <c r="K23" s="35"/>
      <c r="L23" s="35"/>
      <c r="M23" s="35"/>
      <c r="N23" s="35"/>
      <c r="O23" s="35"/>
      <c r="P23" s="35"/>
      <c r="Q23" s="35"/>
      <c r="R23" s="37" t="e">
        <f>+L23+O23+#REF!</f>
        <v>#REF!</v>
      </c>
      <c r="S23" s="38" t="e">
        <f>+M23+P23+#REF!</f>
        <v>#REF!</v>
      </c>
    </row>
    <row r="24" spans="2:19" ht="18" hidden="1" x14ac:dyDescent="0.35">
      <c r="B24" s="34">
        <v>15</v>
      </c>
      <c r="C24" s="35" t="s">
        <v>111</v>
      </c>
      <c r="D24" s="36" t="s">
        <v>103</v>
      </c>
      <c r="E24" s="35">
        <v>93258</v>
      </c>
      <c r="F24" s="35">
        <v>22.5</v>
      </c>
      <c r="G24" s="35" t="s">
        <v>92</v>
      </c>
      <c r="H24" s="35" t="s">
        <v>113</v>
      </c>
      <c r="I24" s="35"/>
      <c r="J24" s="35"/>
      <c r="K24" s="35"/>
      <c r="L24" s="35"/>
      <c r="M24" s="35"/>
      <c r="N24" s="26"/>
      <c r="O24" s="35"/>
      <c r="P24" s="35"/>
      <c r="Q24" s="26"/>
      <c r="R24" s="37" t="e">
        <f>+L24+O24+#REF!</f>
        <v>#REF!</v>
      </c>
      <c r="S24" s="38" t="e">
        <f>+M24+P24+#REF!</f>
        <v>#REF!</v>
      </c>
    </row>
    <row r="25" spans="2:19" ht="18" x14ac:dyDescent="0.35">
      <c r="B25" s="34">
        <v>16</v>
      </c>
      <c r="C25" s="35" t="s">
        <v>111</v>
      </c>
      <c r="D25" s="36" t="s">
        <v>35</v>
      </c>
      <c r="E25" s="35">
        <v>2123</v>
      </c>
      <c r="F25" s="35" t="s">
        <v>92</v>
      </c>
      <c r="G25" s="40" t="s">
        <v>114</v>
      </c>
      <c r="H25" s="35" t="s">
        <v>115</v>
      </c>
      <c r="I25" s="35"/>
      <c r="J25" s="35"/>
      <c r="K25" s="35"/>
      <c r="L25" s="35"/>
      <c r="M25" s="35"/>
      <c r="N25" s="26"/>
      <c r="O25" s="35"/>
      <c r="P25" s="35"/>
      <c r="Q25" s="26"/>
      <c r="R25" s="37" t="e">
        <f>+L25+O25+#REF!</f>
        <v>#REF!</v>
      </c>
      <c r="S25" s="38" t="e">
        <f>+M25+P25+#REF!</f>
        <v>#REF!</v>
      </c>
    </row>
    <row r="26" spans="2:19" ht="18" x14ac:dyDescent="0.35">
      <c r="B26" s="34">
        <v>17</v>
      </c>
      <c r="C26" s="35" t="s">
        <v>116</v>
      </c>
      <c r="D26" s="36" t="s">
        <v>35</v>
      </c>
      <c r="E26" s="35">
        <v>98814</v>
      </c>
      <c r="F26" s="35">
        <v>304.8</v>
      </c>
      <c r="G26" s="40" t="s">
        <v>40</v>
      </c>
      <c r="H26" s="35" t="s">
        <v>154</v>
      </c>
      <c r="I26" s="35"/>
      <c r="J26" s="35"/>
      <c r="K26" s="35"/>
      <c r="L26" s="35"/>
      <c r="M26" s="35"/>
      <c r="N26" s="26"/>
      <c r="O26" s="35"/>
      <c r="P26" s="35"/>
      <c r="Q26" s="26"/>
      <c r="R26" s="37" t="e">
        <f>+L26+O26+#REF!</f>
        <v>#REF!</v>
      </c>
      <c r="S26" s="38" t="e">
        <f>+M26+P26+#REF!</f>
        <v>#REF!</v>
      </c>
    </row>
    <row r="27" spans="2:19" ht="18" x14ac:dyDescent="0.35">
      <c r="B27" s="34">
        <v>18</v>
      </c>
      <c r="C27" s="35" t="s">
        <v>116</v>
      </c>
      <c r="D27" s="36" t="s">
        <v>35</v>
      </c>
      <c r="E27" s="35">
        <v>98812</v>
      </c>
      <c r="F27" s="35">
        <v>292.10000000000002</v>
      </c>
      <c r="G27" s="40" t="s">
        <v>117</v>
      </c>
      <c r="H27" s="35" t="s">
        <v>118</v>
      </c>
      <c r="I27" s="35"/>
      <c r="J27" s="35"/>
      <c r="K27" s="35"/>
      <c r="L27" s="35"/>
      <c r="M27" s="35"/>
      <c r="N27" s="26"/>
      <c r="O27" s="35"/>
      <c r="P27" s="35"/>
      <c r="Q27" s="26"/>
      <c r="R27" s="37" t="e">
        <f>+L27+O27+#REF!</f>
        <v>#REF!</v>
      </c>
      <c r="S27" s="38" t="e">
        <f>+M27+P27+#REF!</f>
        <v>#REF!</v>
      </c>
    </row>
    <row r="28" spans="2:19" ht="18" x14ac:dyDescent="0.35">
      <c r="B28" s="34">
        <v>19</v>
      </c>
      <c r="C28" s="35" t="s">
        <v>119</v>
      </c>
      <c r="D28" s="36" t="s">
        <v>35</v>
      </c>
      <c r="E28" s="35">
        <v>98809</v>
      </c>
      <c r="F28" s="35">
        <v>152.4</v>
      </c>
      <c r="G28" s="40" t="s">
        <v>117</v>
      </c>
      <c r="H28" s="35" t="s">
        <v>120</v>
      </c>
      <c r="I28" s="35"/>
      <c r="J28" s="35"/>
      <c r="K28" s="35"/>
      <c r="L28" s="35"/>
      <c r="M28" s="35"/>
      <c r="N28" s="26"/>
      <c r="O28" s="35"/>
      <c r="P28" s="35"/>
      <c r="Q28" s="26"/>
      <c r="R28" s="37" t="e">
        <f>+L28+O28+#REF!</f>
        <v>#REF!</v>
      </c>
      <c r="S28" s="38" t="e">
        <f>+M28+P28+#REF!</f>
        <v>#REF!</v>
      </c>
    </row>
    <row r="29" spans="2:19" ht="18" x14ac:dyDescent="0.35">
      <c r="B29" s="34">
        <v>20</v>
      </c>
      <c r="C29" s="35" t="s">
        <v>121</v>
      </c>
      <c r="D29" s="36" t="s">
        <v>35</v>
      </c>
      <c r="E29" s="35">
        <v>98809</v>
      </c>
      <c r="F29" s="35">
        <v>152.4</v>
      </c>
      <c r="G29" s="40" t="s">
        <v>122</v>
      </c>
      <c r="H29" s="35" t="s">
        <v>118</v>
      </c>
      <c r="I29" s="35"/>
      <c r="J29" s="35"/>
      <c r="K29" s="35"/>
      <c r="L29" s="35"/>
      <c r="M29" s="35"/>
      <c r="N29" s="35"/>
      <c r="O29" s="35"/>
      <c r="P29" s="35"/>
      <c r="Q29" s="26"/>
      <c r="R29" s="37" t="e">
        <f>+L29+O29+#REF!</f>
        <v>#REF!</v>
      </c>
      <c r="S29" s="38" t="e">
        <f>+M29+P29+#REF!</f>
        <v>#REF!</v>
      </c>
    </row>
    <row r="30" spans="2:19" ht="18" x14ac:dyDescent="0.35">
      <c r="B30" s="34">
        <v>21</v>
      </c>
      <c r="C30" s="35" t="s">
        <v>121</v>
      </c>
      <c r="D30" s="36" t="s">
        <v>35</v>
      </c>
      <c r="E30" s="35">
        <v>2123</v>
      </c>
      <c r="F30" s="35"/>
      <c r="G30" s="40" t="s">
        <v>123</v>
      </c>
      <c r="H30" s="35" t="s">
        <v>118</v>
      </c>
      <c r="I30" s="35"/>
      <c r="J30" s="35"/>
      <c r="K30" s="35"/>
      <c r="L30" s="35"/>
      <c r="M30" s="35"/>
      <c r="N30" s="35"/>
      <c r="O30" s="35"/>
      <c r="P30" s="35"/>
      <c r="Q30" s="26"/>
      <c r="R30" s="37" t="e">
        <f>+L30+O30+#REF!</f>
        <v>#REF!</v>
      </c>
      <c r="S30" s="38" t="e">
        <f>+M30+P30+#REF!</f>
        <v>#REF!</v>
      </c>
    </row>
    <row r="31" spans="2:19" ht="18" x14ac:dyDescent="0.35">
      <c r="B31" s="34">
        <v>22</v>
      </c>
      <c r="C31" s="37" t="s">
        <v>124</v>
      </c>
      <c r="D31" s="36" t="s">
        <v>35</v>
      </c>
      <c r="E31" s="37">
        <v>2191</v>
      </c>
      <c r="F31" s="37"/>
      <c r="G31" s="41" t="s">
        <v>125</v>
      </c>
      <c r="H31" s="26"/>
      <c r="I31" s="26"/>
      <c r="J31" s="26"/>
      <c r="K31" s="26"/>
      <c r="L31" s="35"/>
      <c r="M31" s="35"/>
      <c r="N31" s="35"/>
      <c r="O31" s="35"/>
      <c r="P31" s="35"/>
      <c r="Q31" s="26"/>
      <c r="R31" s="37" t="e">
        <f>+L31+O31+#REF!</f>
        <v>#REF!</v>
      </c>
      <c r="S31" s="38" t="e">
        <f>+M31+P31+#REF!</f>
        <v>#REF!</v>
      </c>
    </row>
    <row r="32" spans="2:19" ht="24" customHeight="1" x14ac:dyDescent="0.35">
      <c r="B32" s="34">
        <v>23</v>
      </c>
      <c r="C32" s="37" t="s">
        <v>124</v>
      </c>
      <c r="D32" s="36" t="s">
        <v>35</v>
      </c>
      <c r="E32" s="37">
        <v>2191</v>
      </c>
      <c r="F32" s="37"/>
      <c r="G32" s="41" t="s">
        <v>126</v>
      </c>
      <c r="H32" s="26"/>
      <c r="I32" s="26"/>
      <c r="J32" s="26"/>
      <c r="K32" s="26"/>
      <c r="L32" s="35"/>
      <c r="M32" s="35"/>
      <c r="N32" s="35"/>
      <c r="O32" s="35"/>
      <c r="P32" s="35"/>
      <c r="Q32" s="26"/>
      <c r="R32" s="37" t="e">
        <f>+L32+O32+#REF!</f>
        <v>#REF!</v>
      </c>
      <c r="S32" s="38" t="e">
        <f>+M32+P32+#REF!</f>
        <v>#REF!</v>
      </c>
    </row>
    <row r="33" spans="2:19" ht="18" x14ac:dyDescent="0.35">
      <c r="B33" s="34">
        <v>24</v>
      </c>
      <c r="C33" s="37" t="s">
        <v>124</v>
      </c>
      <c r="D33" s="36" t="s">
        <v>35</v>
      </c>
      <c r="E33" s="37">
        <v>2122</v>
      </c>
      <c r="F33" s="37"/>
      <c r="G33" s="41" t="s">
        <v>127</v>
      </c>
      <c r="H33" s="26"/>
      <c r="I33" s="26"/>
      <c r="J33" s="26"/>
      <c r="K33" s="26"/>
      <c r="L33" s="35"/>
      <c r="M33" s="35"/>
      <c r="N33" s="35"/>
      <c r="O33" s="35"/>
      <c r="P33" s="35"/>
      <c r="Q33" s="26"/>
      <c r="R33" s="37" t="e">
        <f>+L33+O33+#REF!</f>
        <v>#REF!</v>
      </c>
      <c r="S33" s="38" t="e">
        <f>+M33+P33+#REF!</f>
        <v>#REF!</v>
      </c>
    </row>
    <row r="34" spans="2:19" ht="18" x14ac:dyDescent="0.35">
      <c r="B34" s="34">
        <v>25</v>
      </c>
      <c r="C34" s="37" t="s">
        <v>124</v>
      </c>
      <c r="D34" s="36" t="s">
        <v>35</v>
      </c>
      <c r="E34" s="37">
        <v>2122</v>
      </c>
      <c r="F34" s="37"/>
      <c r="G34" s="41" t="s">
        <v>128</v>
      </c>
      <c r="H34" s="26"/>
      <c r="I34" s="26"/>
      <c r="J34" s="26"/>
      <c r="K34" s="26"/>
      <c r="L34" s="35"/>
      <c r="M34" s="35"/>
      <c r="N34" s="26"/>
      <c r="O34" s="35"/>
      <c r="P34" s="35"/>
      <c r="Q34" s="26"/>
      <c r="R34" s="37" t="e">
        <f>+L34+O34+#REF!</f>
        <v>#REF!</v>
      </c>
      <c r="S34" s="38" t="e">
        <f>+M34+P34+#REF!</f>
        <v>#REF!</v>
      </c>
    </row>
    <row r="35" spans="2:19" ht="18" x14ac:dyDescent="0.35">
      <c r="B35" s="34">
        <v>26</v>
      </c>
      <c r="C35" s="37" t="s">
        <v>124</v>
      </c>
      <c r="D35" s="36" t="s">
        <v>35</v>
      </c>
      <c r="E35" s="37">
        <v>2123</v>
      </c>
      <c r="F35" s="37"/>
      <c r="G35" s="41" t="s">
        <v>127</v>
      </c>
      <c r="H35" s="26"/>
      <c r="I35" s="26"/>
      <c r="J35" s="26"/>
      <c r="K35" s="26"/>
      <c r="L35" s="35"/>
      <c r="M35" s="35"/>
      <c r="N35" s="26"/>
      <c r="O35" s="35"/>
      <c r="P35" s="35"/>
      <c r="Q35" s="26"/>
      <c r="R35" s="37" t="e">
        <f>+L35+O35+#REF!</f>
        <v>#REF!</v>
      </c>
      <c r="S35" s="38" t="e">
        <f>+M35+P35+#REF!</f>
        <v>#REF!</v>
      </c>
    </row>
    <row r="36" spans="2:19" ht="18" x14ac:dyDescent="0.35">
      <c r="B36" s="34">
        <v>27</v>
      </c>
      <c r="C36" s="37" t="s">
        <v>124</v>
      </c>
      <c r="D36" s="36" t="s">
        <v>35</v>
      </c>
      <c r="E36" s="37">
        <v>2123</v>
      </c>
      <c r="F36" s="37"/>
      <c r="G36" s="41" t="s">
        <v>129</v>
      </c>
      <c r="H36" s="26"/>
      <c r="I36" s="26"/>
      <c r="J36" s="26"/>
      <c r="K36" s="26"/>
      <c r="L36" s="35"/>
      <c r="M36" s="35"/>
      <c r="N36" s="26"/>
      <c r="O36" s="35"/>
      <c r="P36" s="35"/>
      <c r="Q36" s="26"/>
      <c r="R36" s="37" t="e">
        <f>+L36+O36+#REF!</f>
        <v>#REF!</v>
      </c>
      <c r="S36" s="38" t="e">
        <f>+M36+P36+#REF!</f>
        <v>#REF!</v>
      </c>
    </row>
    <row r="37" spans="2:19" ht="18" x14ac:dyDescent="0.35">
      <c r="B37" s="34">
        <v>28</v>
      </c>
      <c r="C37" s="37" t="s">
        <v>124</v>
      </c>
      <c r="D37" s="36" t="s">
        <v>35</v>
      </c>
      <c r="E37" s="37">
        <v>83616</v>
      </c>
      <c r="F37" s="37"/>
      <c r="G37" s="41" t="s">
        <v>130</v>
      </c>
      <c r="H37" s="26"/>
      <c r="I37" s="26"/>
      <c r="J37" s="26"/>
      <c r="K37" s="26"/>
      <c r="L37" s="35"/>
      <c r="M37" s="35"/>
      <c r="N37" s="26"/>
      <c r="O37" s="35"/>
      <c r="P37" s="35"/>
      <c r="Q37" s="26"/>
      <c r="R37" s="37" t="e">
        <f>+L37+O37+#REF!</f>
        <v>#REF!</v>
      </c>
      <c r="S37" s="38" t="e">
        <f>+M37+P37+#REF!</f>
        <v>#REF!</v>
      </c>
    </row>
    <row r="38" spans="2:19" ht="18" x14ac:dyDescent="0.35">
      <c r="B38" s="34">
        <v>29</v>
      </c>
      <c r="C38" s="37" t="s">
        <v>131</v>
      </c>
      <c r="D38" s="36" t="s">
        <v>35</v>
      </c>
      <c r="E38" s="37">
        <v>2123</v>
      </c>
      <c r="F38" s="37"/>
      <c r="G38" s="41" t="s">
        <v>128</v>
      </c>
      <c r="H38" s="26"/>
      <c r="I38" s="26"/>
      <c r="J38" s="26"/>
      <c r="K38" s="26"/>
      <c r="L38" s="35"/>
      <c r="M38" s="35"/>
      <c r="N38" s="26"/>
      <c r="O38" s="35"/>
      <c r="P38" s="35"/>
      <c r="Q38" s="26"/>
      <c r="R38" s="37" t="e">
        <f>+L38+O38+#REF!</f>
        <v>#REF!</v>
      </c>
      <c r="S38" s="38" t="e">
        <f>+M38+P38+#REF!</f>
        <v>#REF!</v>
      </c>
    </row>
    <row r="39" spans="2:19" ht="18" x14ac:dyDescent="0.35">
      <c r="B39" s="34">
        <v>36</v>
      </c>
      <c r="C39" s="37" t="s">
        <v>39</v>
      </c>
      <c r="D39" s="42" t="s">
        <v>35</v>
      </c>
      <c r="E39" s="37">
        <v>98814</v>
      </c>
      <c r="F39" s="37">
        <v>304.8</v>
      </c>
      <c r="G39" s="41" t="s">
        <v>39</v>
      </c>
      <c r="H39" s="37" t="s">
        <v>96</v>
      </c>
      <c r="I39" s="37"/>
      <c r="J39" s="37"/>
      <c r="K39" s="37"/>
      <c r="L39" s="35"/>
      <c r="M39" s="35"/>
      <c r="N39" s="23"/>
      <c r="O39" s="35"/>
      <c r="P39" s="35"/>
      <c r="Q39" s="23"/>
      <c r="R39" s="37" t="e">
        <f>+L39+O39+#REF!</f>
        <v>#REF!</v>
      </c>
      <c r="S39" s="38" t="e">
        <f>+M39+P39+#REF!</f>
        <v>#REF!</v>
      </c>
    </row>
    <row r="40" spans="2:19" ht="18" x14ac:dyDescent="0.35">
      <c r="B40" s="34">
        <v>30</v>
      </c>
      <c r="C40" s="37" t="s">
        <v>132</v>
      </c>
      <c r="D40" s="42" t="s">
        <v>35</v>
      </c>
      <c r="E40" s="37">
        <v>98815</v>
      </c>
      <c r="F40" s="37">
        <v>406.4</v>
      </c>
      <c r="G40" s="41" t="s">
        <v>12</v>
      </c>
      <c r="H40" s="37" t="s">
        <v>133</v>
      </c>
      <c r="I40" s="37"/>
      <c r="J40" s="37"/>
      <c r="K40" s="37"/>
      <c r="L40" s="35"/>
      <c r="M40" s="35"/>
      <c r="N40" s="26"/>
      <c r="O40" s="35"/>
      <c r="P40" s="35"/>
      <c r="Q40" s="26"/>
      <c r="R40" s="37" t="e">
        <f>+L40+O40+#REF!</f>
        <v>#REF!</v>
      </c>
      <c r="S40" s="38" t="e">
        <f>+M40+P40+#REF!</f>
        <v>#REF!</v>
      </c>
    </row>
    <row r="41" spans="2:19" ht="18" x14ac:dyDescent="0.35">
      <c r="B41" s="34">
        <v>31</v>
      </c>
      <c r="C41" s="37" t="s">
        <v>134</v>
      </c>
      <c r="D41" s="42" t="s">
        <v>35</v>
      </c>
      <c r="E41" s="37">
        <v>98815</v>
      </c>
      <c r="F41" s="37">
        <v>406.4</v>
      </c>
      <c r="G41" s="41" t="s">
        <v>135</v>
      </c>
      <c r="H41" s="37" t="s">
        <v>136</v>
      </c>
      <c r="I41" s="37"/>
      <c r="J41" s="37"/>
      <c r="K41" s="37"/>
      <c r="L41" s="35"/>
      <c r="M41" s="35"/>
      <c r="N41" s="26"/>
      <c r="O41" s="35"/>
      <c r="P41" s="35"/>
      <c r="Q41" s="26"/>
      <c r="R41" s="37" t="e">
        <f>+L41+O41+#REF!</f>
        <v>#REF!</v>
      </c>
      <c r="S41" s="38" t="e">
        <f>+M41+P41+#REF!</f>
        <v>#REF!</v>
      </c>
    </row>
    <row r="42" spans="2:19" ht="18" x14ac:dyDescent="0.35">
      <c r="B42" s="34">
        <v>32</v>
      </c>
      <c r="C42" s="37" t="s">
        <v>137</v>
      </c>
      <c r="D42" s="42" t="s">
        <v>35</v>
      </c>
      <c r="E42" s="37">
        <v>82527</v>
      </c>
      <c r="F42" s="37">
        <v>155</v>
      </c>
      <c r="G42" s="41" t="s">
        <v>138</v>
      </c>
      <c r="H42" s="37" t="s">
        <v>139</v>
      </c>
      <c r="I42" s="37"/>
      <c r="J42" s="37"/>
      <c r="K42" s="37"/>
      <c r="L42" s="35"/>
      <c r="M42" s="35"/>
      <c r="N42" s="26"/>
      <c r="O42" s="35"/>
      <c r="P42" s="35"/>
      <c r="Q42" s="26"/>
      <c r="R42" s="37" t="e">
        <f>+L42+O42+#REF!</f>
        <v>#REF!</v>
      </c>
      <c r="S42" s="38" t="e">
        <f>+M42+P42+#REF!</f>
        <v>#REF!</v>
      </c>
    </row>
    <row r="43" spans="2:19" ht="18" hidden="1" x14ac:dyDescent="0.35">
      <c r="B43" s="34">
        <v>33</v>
      </c>
      <c r="C43" s="37" t="s">
        <v>140</v>
      </c>
      <c r="D43" s="42" t="s">
        <v>141</v>
      </c>
      <c r="E43" s="37">
        <v>82527</v>
      </c>
      <c r="F43" s="37">
        <v>155</v>
      </c>
      <c r="G43" s="41" t="s">
        <v>142</v>
      </c>
      <c r="H43" s="37" t="s">
        <v>96</v>
      </c>
      <c r="I43" s="37"/>
      <c r="J43" s="37"/>
      <c r="K43" s="37"/>
      <c r="L43" s="35"/>
      <c r="M43" s="35"/>
      <c r="N43" s="26"/>
      <c r="O43" s="35"/>
      <c r="P43" s="35"/>
      <c r="Q43" s="26"/>
      <c r="R43" s="37" t="e">
        <f>+L43+O43+#REF!</f>
        <v>#REF!</v>
      </c>
      <c r="S43" s="38" t="e">
        <f>+M43+P43+#REF!</f>
        <v>#REF!</v>
      </c>
    </row>
    <row r="44" spans="2:19" ht="18" hidden="1" x14ac:dyDescent="0.35">
      <c r="B44" s="34">
        <v>34</v>
      </c>
      <c r="C44" s="37" t="s">
        <v>143</v>
      </c>
      <c r="D44" s="42" t="s">
        <v>144</v>
      </c>
      <c r="E44" s="37">
        <v>83572</v>
      </c>
      <c r="F44" s="37">
        <v>967.65</v>
      </c>
      <c r="G44" s="41" t="s">
        <v>145</v>
      </c>
      <c r="H44" s="37" t="s">
        <v>136</v>
      </c>
      <c r="I44" s="37"/>
      <c r="J44" s="37"/>
      <c r="K44" s="37"/>
      <c r="L44" s="35"/>
      <c r="M44" s="35"/>
      <c r="N44" s="35"/>
      <c r="O44" s="35"/>
      <c r="P44" s="35"/>
      <c r="Q44" s="26"/>
      <c r="R44" s="37" t="e">
        <f>+L44+O44+#REF!</f>
        <v>#REF!</v>
      </c>
      <c r="S44" s="38" t="e">
        <f>+M44+P44+#REF!</f>
        <v>#REF!</v>
      </c>
    </row>
    <row r="45" spans="2:19" ht="18" hidden="1" x14ac:dyDescent="0.35">
      <c r="B45" s="34">
        <v>35</v>
      </c>
      <c r="C45" s="37" t="s">
        <v>146</v>
      </c>
      <c r="D45" s="42" t="s">
        <v>144</v>
      </c>
      <c r="E45" s="37">
        <v>83834</v>
      </c>
      <c r="F45" s="37">
        <v>898.89</v>
      </c>
      <c r="G45" s="41" t="s">
        <v>147</v>
      </c>
      <c r="H45" s="37" t="s">
        <v>96</v>
      </c>
      <c r="I45" s="37"/>
      <c r="J45" s="37"/>
      <c r="K45" s="37"/>
      <c r="L45" s="35"/>
      <c r="M45" s="35"/>
      <c r="N45" s="35"/>
      <c r="O45" s="35"/>
      <c r="P45" s="35"/>
      <c r="Q45" s="26"/>
      <c r="R45" s="37" t="e">
        <f>+L45+O45+#REF!</f>
        <v>#REF!</v>
      </c>
      <c r="S45" s="38" t="e">
        <f>+M45+P45+#REF!</f>
        <v>#REF!</v>
      </c>
    </row>
    <row r="46" spans="2:19" ht="54" hidden="1" x14ac:dyDescent="0.35">
      <c r="B46" s="34">
        <v>36</v>
      </c>
      <c r="C46" s="43" t="s">
        <v>148</v>
      </c>
      <c r="D46" s="42" t="s">
        <v>149</v>
      </c>
      <c r="E46" s="37">
        <v>93256</v>
      </c>
      <c r="F46" s="37">
        <v>2278</v>
      </c>
      <c r="G46" s="41" t="s">
        <v>150</v>
      </c>
      <c r="H46" s="37" t="s">
        <v>113</v>
      </c>
      <c r="I46" s="37"/>
      <c r="J46" s="37"/>
      <c r="K46" s="37"/>
      <c r="L46" s="35"/>
      <c r="M46" s="35"/>
      <c r="N46" s="35"/>
      <c r="O46" s="35"/>
      <c r="P46" s="35"/>
      <c r="Q46" s="26"/>
      <c r="R46" s="35"/>
      <c r="S46" s="44"/>
    </row>
    <row r="47" spans="2:19" ht="35.25" hidden="1" customHeight="1" x14ac:dyDescent="0.35">
      <c r="B47" s="34">
        <v>35</v>
      </c>
      <c r="C47" s="43" t="s">
        <v>151</v>
      </c>
      <c r="D47" s="42" t="s">
        <v>149</v>
      </c>
      <c r="E47" s="37">
        <v>93257</v>
      </c>
      <c r="F47" s="37">
        <v>1134</v>
      </c>
      <c r="G47" s="41" t="s">
        <v>150</v>
      </c>
      <c r="H47" s="37" t="s">
        <v>113</v>
      </c>
      <c r="I47" s="37"/>
      <c r="J47" s="37"/>
      <c r="K47" s="37"/>
      <c r="L47" s="35"/>
      <c r="M47" s="35"/>
      <c r="N47" s="35"/>
      <c r="O47" s="35"/>
      <c r="P47" s="35"/>
      <c r="Q47" s="26"/>
      <c r="R47" s="35"/>
      <c r="S47" s="44"/>
    </row>
    <row r="48" spans="2:19" ht="19.5" hidden="1" customHeight="1" x14ac:dyDescent="0.35">
      <c r="B48" s="34">
        <v>36</v>
      </c>
      <c r="C48" s="43" t="s">
        <v>152</v>
      </c>
      <c r="D48" s="42" t="s">
        <v>97</v>
      </c>
      <c r="E48" s="37">
        <v>86308</v>
      </c>
      <c r="F48" s="37">
        <v>55.88</v>
      </c>
      <c r="G48" s="41" t="s">
        <v>152</v>
      </c>
      <c r="H48" s="37" t="s">
        <v>153</v>
      </c>
      <c r="I48" s="37"/>
      <c r="J48" s="37"/>
      <c r="K48" s="37"/>
      <c r="L48" s="35"/>
      <c r="M48" s="35"/>
      <c r="N48" s="35"/>
      <c r="O48" s="35"/>
      <c r="P48" s="35"/>
      <c r="Q48" s="26"/>
      <c r="R48" s="37"/>
      <c r="S48" s="38"/>
    </row>
  </sheetData>
  <autoFilter ref="B8:S48" xr:uid="{00000000-0009-0000-0000-000000000000}">
    <filterColumn colId="2">
      <filters>
        <filter val="C2"/>
      </filters>
    </filterColumn>
  </autoFilter>
  <mergeCells count="12">
    <mergeCell ref="R7:R8"/>
    <mergeCell ref="S7:S8"/>
    <mergeCell ref="B2:S4"/>
    <mergeCell ref="B7:B8"/>
    <mergeCell ref="C7:C8"/>
    <mergeCell ref="D7:D8"/>
    <mergeCell ref="E7:E8"/>
    <mergeCell ref="F7:F8"/>
    <mergeCell ref="G7:G8"/>
    <mergeCell ref="I7:K7"/>
    <mergeCell ref="L7:N7"/>
    <mergeCell ref="O7:Q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workbookViewId="0">
      <selection activeCell="T5" sqref="T5"/>
    </sheetView>
  </sheetViews>
  <sheetFormatPr defaultRowHeight="14.4" x14ac:dyDescent="0.3"/>
  <cols>
    <col min="1" max="1" width="2" bestFit="1" customWidth="1"/>
    <col min="2" max="2" width="8.33203125" bestFit="1" customWidth="1"/>
    <col min="3" max="3" width="14.88671875" customWidth="1"/>
  </cols>
  <sheetData>
    <row r="1" spans="1:17" ht="25.8" x14ac:dyDescent="0.3">
      <c r="A1" s="61" t="s">
        <v>30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3"/>
    </row>
    <row r="2" spans="1:17" ht="57.6" x14ac:dyDescent="0.3">
      <c r="A2" s="1" t="s">
        <v>0</v>
      </c>
      <c r="B2" s="2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spans="1:17" x14ac:dyDescent="0.3">
      <c r="A3" s="64">
        <v>1</v>
      </c>
      <c r="B3" s="64">
        <v>2191</v>
      </c>
      <c r="C3" s="3" t="s">
        <v>17</v>
      </c>
      <c r="D3" s="3">
        <v>29</v>
      </c>
      <c r="E3" s="3" t="s">
        <v>18</v>
      </c>
      <c r="F3" s="3">
        <v>41</v>
      </c>
      <c r="G3" s="3">
        <v>90</v>
      </c>
      <c r="H3" s="3">
        <v>76.2</v>
      </c>
      <c r="I3" s="67">
        <v>1200</v>
      </c>
      <c r="J3" s="3">
        <v>1300</v>
      </c>
      <c r="K3" s="3" t="s">
        <v>19</v>
      </c>
      <c r="L3" s="3" t="s">
        <v>19</v>
      </c>
      <c r="M3" s="3" t="s">
        <v>19</v>
      </c>
      <c r="N3" s="3">
        <v>1300</v>
      </c>
      <c r="O3" s="3" t="s">
        <v>19</v>
      </c>
      <c r="P3" s="3">
        <v>1300</v>
      </c>
      <c r="Q3" s="67"/>
    </row>
    <row r="4" spans="1:17" x14ac:dyDescent="0.3">
      <c r="A4" s="65"/>
      <c r="B4" s="65"/>
      <c r="C4" s="3" t="s">
        <v>20</v>
      </c>
      <c r="D4" s="3">
        <v>22</v>
      </c>
      <c r="E4" s="3">
        <v>3660</v>
      </c>
      <c r="F4" s="3">
        <v>53</v>
      </c>
      <c r="G4" s="3">
        <v>74</v>
      </c>
      <c r="H4" s="3">
        <v>63.5</v>
      </c>
      <c r="I4" s="67"/>
      <c r="J4" s="3">
        <v>1300</v>
      </c>
      <c r="K4" s="3" t="s">
        <v>19</v>
      </c>
      <c r="L4" s="3" t="s">
        <v>19</v>
      </c>
      <c r="M4" s="3" t="s">
        <v>19</v>
      </c>
      <c r="N4" s="3">
        <v>1300</v>
      </c>
      <c r="O4" s="3" t="s">
        <v>19</v>
      </c>
      <c r="P4" s="3">
        <v>1300</v>
      </c>
      <c r="Q4" s="67"/>
    </row>
    <row r="5" spans="1:17" x14ac:dyDescent="0.3">
      <c r="A5" s="66"/>
      <c r="B5" s="66"/>
      <c r="C5" s="3" t="s">
        <v>21</v>
      </c>
      <c r="D5" s="3">
        <v>120</v>
      </c>
      <c r="E5" s="3">
        <v>4360</v>
      </c>
      <c r="F5" s="3">
        <v>10</v>
      </c>
      <c r="G5" s="3">
        <v>126</v>
      </c>
      <c r="H5" s="3">
        <v>406.4</v>
      </c>
      <c r="I5" s="67"/>
      <c r="J5" s="3">
        <v>1300</v>
      </c>
      <c r="K5" s="3" t="s">
        <v>19</v>
      </c>
      <c r="L5" s="3">
        <v>1300</v>
      </c>
      <c r="M5" s="3">
        <v>1160</v>
      </c>
      <c r="N5" s="3">
        <v>1160</v>
      </c>
      <c r="O5" s="3" t="s">
        <v>19</v>
      </c>
      <c r="P5" s="3">
        <v>1300</v>
      </c>
      <c r="Q5" s="67"/>
    </row>
    <row r="6" spans="1:17" x14ac:dyDescent="0.3">
      <c r="A6" s="4">
        <v>2</v>
      </c>
      <c r="B6" s="4">
        <v>2192</v>
      </c>
      <c r="C6" s="4">
        <v>98815</v>
      </c>
      <c r="D6" s="4">
        <v>120</v>
      </c>
      <c r="E6" s="4">
        <v>4360</v>
      </c>
      <c r="F6" s="5">
        <v>10</v>
      </c>
      <c r="G6" s="5">
        <v>0</v>
      </c>
      <c r="H6" s="5">
        <v>420.12</v>
      </c>
      <c r="I6" s="5">
        <v>1200</v>
      </c>
      <c r="J6" s="3">
        <v>1382</v>
      </c>
      <c r="K6" s="4">
        <v>1382</v>
      </c>
      <c r="L6" s="4">
        <v>1203</v>
      </c>
      <c r="M6" s="4">
        <v>1203</v>
      </c>
      <c r="N6" s="5" t="s">
        <v>19</v>
      </c>
      <c r="O6" s="5" t="s">
        <v>19</v>
      </c>
      <c r="P6" s="4">
        <v>1382</v>
      </c>
      <c r="Q6" s="6"/>
    </row>
    <row r="7" spans="1:17" x14ac:dyDescent="0.3">
      <c r="A7" s="4">
        <v>3</v>
      </c>
      <c r="B7" s="4">
        <v>2195</v>
      </c>
      <c r="C7" s="4">
        <v>98814</v>
      </c>
      <c r="D7" s="4">
        <v>120</v>
      </c>
      <c r="E7" s="4">
        <v>3200</v>
      </c>
      <c r="F7" s="5">
        <v>10</v>
      </c>
      <c r="G7" s="5">
        <v>163</v>
      </c>
      <c r="H7" s="5">
        <v>304.8</v>
      </c>
      <c r="I7" s="5">
        <v>1200</v>
      </c>
      <c r="J7" s="3">
        <v>1623</v>
      </c>
      <c r="K7" s="4">
        <v>1623</v>
      </c>
      <c r="L7" s="4" t="s">
        <v>19</v>
      </c>
      <c r="M7" s="4" t="s">
        <v>19</v>
      </c>
      <c r="N7" s="5" t="s">
        <v>19</v>
      </c>
      <c r="O7" s="4">
        <v>1505</v>
      </c>
      <c r="P7" s="4">
        <v>1623</v>
      </c>
      <c r="Q7" s="4"/>
    </row>
    <row r="8" spans="1:17" x14ac:dyDescent="0.3">
      <c r="A8" s="68">
        <v>4</v>
      </c>
      <c r="B8" s="68">
        <v>2122</v>
      </c>
      <c r="C8" s="7" t="s">
        <v>22</v>
      </c>
      <c r="D8" s="7">
        <v>240</v>
      </c>
      <c r="E8" s="7" t="s">
        <v>23</v>
      </c>
      <c r="F8" s="7">
        <v>5</v>
      </c>
      <c r="G8" s="7" t="s">
        <v>24</v>
      </c>
      <c r="H8" s="7">
        <v>796.5</v>
      </c>
      <c r="I8" s="7">
        <v>1200</v>
      </c>
      <c r="J8" s="3">
        <v>1300</v>
      </c>
      <c r="K8" s="7">
        <v>1300</v>
      </c>
      <c r="L8" s="7" t="s">
        <v>19</v>
      </c>
      <c r="M8" s="7" t="s">
        <v>19</v>
      </c>
      <c r="N8" s="7">
        <v>1220</v>
      </c>
      <c r="O8" s="7" t="s">
        <v>19</v>
      </c>
      <c r="P8" s="7">
        <v>1300</v>
      </c>
      <c r="Q8" s="69"/>
    </row>
    <row r="9" spans="1:17" x14ac:dyDescent="0.3">
      <c r="A9" s="68"/>
      <c r="B9" s="68"/>
      <c r="C9" s="7" t="s">
        <v>20</v>
      </c>
      <c r="D9" s="7">
        <v>17</v>
      </c>
      <c r="E9" s="7">
        <v>3660</v>
      </c>
      <c r="F9" s="7">
        <v>146</v>
      </c>
      <c r="G9" s="7">
        <v>74</v>
      </c>
      <c r="H9" s="7">
        <v>20.059999999999999</v>
      </c>
      <c r="I9" s="7">
        <v>2400</v>
      </c>
      <c r="J9" s="3">
        <v>2500</v>
      </c>
      <c r="K9" s="7" t="s">
        <v>19</v>
      </c>
      <c r="L9" s="7" t="s">
        <v>19</v>
      </c>
      <c r="M9" s="7" t="s">
        <v>19</v>
      </c>
      <c r="N9" s="7">
        <v>2500</v>
      </c>
      <c r="O9" s="7" t="s">
        <v>19</v>
      </c>
      <c r="P9" s="7">
        <v>2500</v>
      </c>
      <c r="Q9" s="70"/>
    </row>
    <row r="10" spans="1:17" x14ac:dyDescent="0.3">
      <c r="A10" s="68"/>
      <c r="B10" s="68"/>
      <c r="C10" s="7" t="s">
        <v>25</v>
      </c>
      <c r="D10" s="7">
        <v>100</v>
      </c>
      <c r="E10" s="7">
        <v>3664</v>
      </c>
      <c r="F10" s="7">
        <v>12</v>
      </c>
      <c r="G10" s="7">
        <v>193</v>
      </c>
      <c r="H10" s="7">
        <v>292.10000000000002</v>
      </c>
      <c r="I10" s="7">
        <v>1200</v>
      </c>
      <c r="J10" s="3">
        <v>1260</v>
      </c>
      <c r="K10" s="7">
        <v>1260</v>
      </c>
      <c r="L10" s="7" t="s">
        <v>19</v>
      </c>
      <c r="M10" s="7" t="s">
        <v>19</v>
      </c>
      <c r="N10" s="7">
        <v>1260</v>
      </c>
      <c r="O10" s="7" t="s">
        <v>19</v>
      </c>
      <c r="P10" s="7">
        <v>1260</v>
      </c>
      <c r="Q10" s="71"/>
    </row>
    <row r="11" spans="1:17" x14ac:dyDescent="0.3">
      <c r="A11" s="58">
        <v>5</v>
      </c>
      <c r="B11" s="58">
        <v>2123</v>
      </c>
      <c r="C11" s="8" t="s">
        <v>26</v>
      </c>
      <c r="D11" s="8">
        <v>120</v>
      </c>
      <c r="E11" s="8">
        <v>4260</v>
      </c>
      <c r="F11" s="8">
        <v>10</v>
      </c>
      <c r="G11" s="8">
        <v>134</v>
      </c>
      <c r="H11" s="8">
        <v>418.2</v>
      </c>
      <c r="I11" s="58">
        <v>1200</v>
      </c>
      <c r="J11" s="3">
        <v>1350</v>
      </c>
      <c r="K11" s="8">
        <v>1350</v>
      </c>
      <c r="L11" s="8" t="s">
        <v>19</v>
      </c>
      <c r="M11" s="8" t="s">
        <v>19</v>
      </c>
      <c r="N11" s="8">
        <v>1350</v>
      </c>
      <c r="O11" s="8">
        <v>1350</v>
      </c>
      <c r="P11" s="8">
        <v>1350</v>
      </c>
      <c r="Q11" s="58"/>
    </row>
    <row r="12" spans="1:17" x14ac:dyDescent="0.3">
      <c r="A12" s="59"/>
      <c r="B12" s="59"/>
      <c r="C12" s="8" t="s">
        <v>27</v>
      </c>
      <c r="D12" s="8">
        <v>120</v>
      </c>
      <c r="E12" s="8">
        <v>4400</v>
      </c>
      <c r="F12" s="8">
        <v>10</v>
      </c>
      <c r="G12" s="8">
        <v>137</v>
      </c>
      <c r="H12" s="8">
        <v>428.75</v>
      </c>
      <c r="I12" s="59"/>
      <c r="J12" s="3">
        <v>1350</v>
      </c>
      <c r="K12" s="8">
        <v>1350</v>
      </c>
      <c r="L12" s="8" t="s">
        <v>19</v>
      </c>
      <c r="M12" s="8" t="s">
        <v>19</v>
      </c>
      <c r="N12" s="8">
        <v>1350</v>
      </c>
      <c r="O12" s="8">
        <v>1350</v>
      </c>
      <c r="P12" s="8">
        <v>1350</v>
      </c>
      <c r="Q12" s="59"/>
    </row>
    <row r="13" spans="1:17" x14ac:dyDescent="0.3">
      <c r="A13" s="59"/>
      <c r="B13" s="59"/>
      <c r="C13" s="8" t="s">
        <v>28</v>
      </c>
      <c r="D13" s="8">
        <v>55</v>
      </c>
      <c r="E13" s="8">
        <v>3576</v>
      </c>
      <c r="F13" s="8">
        <v>22</v>
      </c>
      <c r="G13" s="8">
        <v>88</v>
      </c>
      <c r="H13" s="8">
        <v>152.4</v>
      </c>
      <c r="I13" s="59"/>
      <c r="J13" s="3">
        <v>1400</v>
      </c>
      <c r="K13" s="8">
        <v>1400</v>
      </c>
      <c r="L13" s="8" t="s">
        <v>19</v>
      </c>
      <c r="M13" s="8" t="s">
        <v>19</v>
      </c>
      <c r="N13" s="8">
        <v>1400</v>
      </c>
      <c r="O13" s="8" t="s">
        <v>19</v>
      </c>
      <c r="P13" s="8">
        <v>1400</v>
      </c>
      <c r="Q13" s="59"/>
    </row>
    <row r="14" spans="1:17" x14ac:dyDescent="0.3">
      <c r="A14" s="59"/>
      <c r="B14" s="59"/>
      <c r="C14" s="8" t="s">
        <v>29</v>
      </c>
      <c r="D14" s="8">
        <v>36</v>
      </c>
      <c r="E14" s="8">
        <v>3660</v>
      </c>
      <c r="F14" s="8">
        <v>32</v>
      </c>
      <c r="G14" s="8">
        <v>94</v>
      </c>
      <c r="H14" s="8">
        <v>105.03</v>
      </c>
      <c r="I14" s="60"/>
      <c r="J14" s="3">
        <v>1400</v>
      </c>
      <c r="K14" s="8">
        <v>1400</v>
      </c>
      <c r="L14" s="8" t="s">
        <v>19</v>
      </c>
      <c r="M14" s="8" t="s">
        <v>19</v>
      </c>
      <c r="N14" s="8">
        <v>1400</v>
      </c>
      <c r="O14" s="8" t="s">
        <v>19</v>
      </c>
      <c r="P14" s="8">
        <v>1400</v>
      </c>
      <c r="Q14" s="59"/>
    </row>
    <row r="15" spans="1:17" x14ac:dyDescent="0.3">
      <c r="A15" s="60"/>
      <c r="B15" s="60"/>
      <c r="C15" s="8" t="s">
        <v>20</v>
      </c>
      <c r="D15" s="8">
        <v>10</v>
      </c>
      <c r="E15" s="8">
        <v>3660</v>
      </c>
      <c r="F15" s="8">
        <v>228</v>
      </c>
      <c r="G15" s="8">
        <v>74</v>
      </c>
      <c r="H15" s="8">
        <v>11.05</v>
      </c>
      <c r="I15" s="8">
        <v>2400</v>
      </c>
      <c r="J15" s="3">
        <v>2600</v>
      </c>
      <c r="K15" s="8" t="s">
        <v>19</v>
      </c>
      <c r="L15" s="8" t="s">
        <v>19</v>
      </c>
      <c r="M15" s="8" t="s">
        <v>19</v>
      </c>
      <c r="N15" s="8">
        <v>2600</v>
      </c>
      <c r="O15" s="8" t="s">
        <v>19</v>
      </c>
      <c r="P15" s="8">
        <v>2600</v>
      </c>
      <c r="Q15" s="60"/>
    </row>
  </sheetData>
  <mergeCells count="12">
    <mergeCell ref="A11:A15"/>
    <mergeCell ref="B11:B15"/>
    <mergeCell ref="I11:I14"/>
    <mergeCell ref="Q11:Q15"/>
    <mergeCell ref="A1:Q1"/>
    <mergeCell ref="A3:A5"/>
    <mergeCell ref="B3:B5"/>
    <mergeCell ref="I3:I5"/>
    <mergeCell ref="Q3:Q5"/>
    <mergeCell ref="A8:A10"/>
    <mergeCell ref="B8:B10"/>
    <mergeCell ref="Q8:Q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2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9" sqref="J9"/>
    </sheetView>
  </sheetViews>
  <sheetFormatPr defaultRowHeight="14.4" x14ac:dyDescent="0.3"/>
  <cols>
    <col min="2" max="2" width="17.44140625" bestFit="1" customWidth="1"/>
    <col min="3" max="8" width="9.109375" customWidth="1"/>
    <col min="9" max="9" width="6.5546875" customWidth="1"/>
    <col min="10" max="20" width="9.109375" customWidth="1"/>
    <col min="21" max="21" width="10.44140625" customWidth="1"/>
    <col min="22" max="31" width="9.109375" customWidth="1"/>
    <col min="32" max="32" width="10.109375" customWidth="1"/>
    <col min="33" max="37" width="9.109375" customWidth="1"/>
    <col min="38" max="38" width="10.109375" customWidth="1"/>
    <col min="39" max="39" width="9.109375" customWidth="1"/>
    <col min="43" max="43" width="10.109375" customWidth="1"/>
    <col min="48" max="48" width="10.109375" customWidth="1"/>
    <col min="49" max="49" width="10.33203125" customWidth="1"/>
    <col min="50" max="50" width="11" customWidth="1"/>
  </cols>
  <sheetData>
    <row r="1" spans="1:50" ht="21" x14ac:dyDescent="0.4">
      <c r="A1" s="76" t="s">
        <v>31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</row>
    <row r="2" spans="1:50" ht="31.2" x14ac:dyDescent="0.3">
      <c r="A2" s="9" t="s">
        <v>32</v>
      </c>
      <c r="B2" s="10" t="s">
        <v>33</v>
      </c>
      <c r="C2" s="78" t="s">
        <v>34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9"/>
      <c r="AU2" s="25"/>
      <c r="AV2" s="25"/>
      <c r="AW2" s="25"/>
      <c r="AX2" s="25"/>
    </row>
    <row r="3" spans="1:50" ht="72" x14ac:dyDescent="0.3">
      <c r="A3" s="80" t="s">
        <v>35</v>
      </c>
      <c r="B3" s="81"/>
      <c r="C3" s="5" t="s">
        <v>36</v>
      </c>
      <c r="D3" s="11" t="s">
        <v>37</v>
      </c>
      <c r="E3" s="11" t="s">
        <v>46</v>
      </c>
      <c r="F3" s="11" t="s">
        <v>51</v>
      </c>
      <c r="G3" s="11" t="s">
        <v>47</v>
      </c>
      <c r="H3" s="11" t="s">
        <v>48</v>
      </c>
      <c r="I3" s="11" t="s">
        <v>38</v>
      </c>
      <c r="J3" s="11" t="s">
        <v>37</v>
      </c>
      <c r="K3" s="11" t="s">
        <v>46</v>
      </c>
      <c r="L3" s="11" t="s">
        <v>57</v>
      </c>
      <c r="M3" s="11" t="s">
        <v>47</v>
      </c>
      <c r="N3" s="11" t="s">
        <v>58</v>
      </c>
      <c r="O3" s="5" t="s">
        <v>39</v>
      </c>
      <c r="P3" s="11" t="s">
        <v>37</v>
      </c>
      <c r="Q3" s="11" t="s">
        <v>46</v>
      </c>
      <c r="R3" s="11" t="s">
        <v>59</v>
      </c>
      <c r="S3" s="11" t="s">
        <v>47</v>
      </c>
      <c r="T3" s="11" t="s">
        <v>60</v>
      </c>
      <c r="U3" s="5" t="s">
        <v>40</v>
      </c>
      <c r="V3" s="11" t="s">
        <v>37</v>
      </c>
      <c r="W3" s="11" t="s">
        <v>46</v>
      </c>
      <c r="X3" s="11" t="s">
        <v>61</v>
      </c>
      <c r="Y3" s="11" t="s">
        <v>47</v>
      </c>
      <c r="Z3" s="11" t="s">
        <v>62</v>
      </c>
      <c r="AA3" s="5" t="s">
        <v>41</v>
      </c>
      <c r="AB3" s="11" t="s">
        <v>37</v>
      </c>
      <c r="AC3" s="11" t="s">
        <v>46</v>
      </c>
      <c r="AD3" s="11" t="s">
        <v>63</v>
      </c>
      <c r="AE3" s="11" t="s">
        <v>47</v>
      </c>
      <c r="AF3" s="11" t="s">
        <v>64</v>
      </c>
      <c r="AG3" s="5" t="s">
        <v>42</v>
      </c>
      <c r="AH3" s="11" t="s">
        <v>37</v>
      </c>
      <c r="AI3" s="11" t="s">
        <v>46</v>
      </c>
      <c r="AJ3" s="11" t="s">
        <v>66</v>
      </c>
      <c r="AK3" s="11" t="s">
        <v>47</v>
      </c>
      <c r="AL3" s="11" t="s">
        <v>67</v>
      </c>
      <c r="AM3" s="11" t="s">
        <v>43</v>
      </c>
      <c r="AN3" s="11" t="s">
        <v>46</v>
      </c>
      <c r="AO3" s="11" t="s">
        <v>69</v>
      </c>
      <c r="AP3" s="11" t="s">
        <v>47</v>
      </c>
      <c r="AQ3" s="11" t="s">
        <v>70</v>
      </c>
      <c r="AR3" s="11" t="s">
        <v>37</v>
      </c>
      <c r="AS3" s="5" t="s">
        <v>44</v>
      </c>
      <c r="AT3" s="12" t="s">
        <v>37</v>
      </c>
      <c r="AU3" s="11" t="s">
        <v>46</v>
      </c>
      <c r="AV3" s="11" t="s">
        <v>72</v>
      </c>
      <c r="AW3" s="11" t="s">
        <v>47</v>
      </c>
      <c r="AX3" s="11" t="s">
        <v>71</v>
      </c>
    </row>
    <row r="4" spans="1:50" ht="15.6" x14ac:dyDescent="0.3">
      <c r="A4" s="82">
        <v>2123</v>
      </c>
      <c r="B4" s="13" t="s">
        <v>26</v>
      </c>
      <c r="C4" s="13">
        <v>54</v>
      </c>
      <c r="D4" s="14">
        <f>3600/C4</f>
        <v>66.666666666666671</v>
      </c>
      <c r="E4" s="14">
        <v>1300</v>
      </c>
      <c r="F4" s="14">
        <v>700</v>
      </c>
      <c r="G4" s="14">
        <f t="shared" ref="G4:G8" si="0">E4-F4</f>
        <v>600</v>
      </c>
      <c r="H4" s="14">
        <f t="shared" ref="H4:H16" si="1">G4/D4</f>
        <v>9</v>
      </c>
      <c r="I4" s="14"/>
      <c r="J4" s="14"/>
      <c r="K4" s="14"/>
      <c r="L4" s="14"/>
      <c r="M4" s="14">
        <f t="shared" ref="M4:M11" si="2">K4-L4</f>
        <v>0</v>
      </c>
      <c r="N4" s="14"/>
      <c r="O4" s="14"/>
      <c r="P4" s="14"/>
      <c r="Q4" s="14"/>
      <c r="R4" s="14"/>
      <c r="S4" s="14">
        <f t="shared" ref="S4:S11" si="3">Q4-R4</f>
        <v>0</v>
      </c>
      <c r="T4" s="14"/>
      <c r="U4" s="14">
        <v>30</v>
      </c>
      <c r="V4" s="14">
        <f>3600/U4</f>
        <v>120</v>
      </c>
      <c r="W4" s="14">
        <v>1300</v>
      </c>
      <c r="X4" s="14">
        <v>100</v>
      </c>
      <c r="Y4" s="14">
        <f t="shared" ref="Y4:Y11" si="4">W4-X4</f>
        <v>1200</v>
      </c>
      <c r="Z4" s="14">
        <f t="shared" ref="Z4:Z7" si="5">Y4/V4</f>
        <v>10</v>
      </c>
      <c r="AA4" s="14">
        <v>240</v>
      </c>
      <c r="AB4" s="14">
        <f>3600/AA4</f>
        <v>15</v>
      </c>
      <c r="AC4" s="14">
        <v>1300</v>
      </c>
      <c r="AD4" s="14">
        <v>100</v>
      </c>
      <c r="AE4" s="14">
        <f t="shared" ref="AE4:AE11" si="6">AC4-AD4</f>
        <v>1200</v>
      </c>
      <c r="AF4" s="14">
        <f t="shared" ref="AF4:AF5" si="7">AE4/AB4</f>
        <v>80</v>
      </c>
      <c r="AG4" s="72">
        <v>180</v>
      </c>
      <c r="AH4" s="72">
        <f>3600/AG4</f>
        <v>20</v>
      </c>
      <c r="AI4" s="73">
        <v>1300</v>
      </c>
      <c r="AJ4" s="73">
        <v>100</v>
      </c>
      <c r="AK4" s="73">
        <f t="shared" ref="AK4:AK9" si="8">AI4-AJ4</f>
        <v>1200</v>
      </c>
      <c r="AL4" s="73">
        <f t="shared" ref="AL4" si="9">AK4/AH4</f>
        <v>60</v>
      </c>
      <c r="AM4" s="72">
        <v>30</v>
      </c>
      <c r="AN4" s="14">
        <v>1300</v>
      </c>
      <c r="AO4" s="14">
        <v>100</v>
      </c>
      <c r="AP4" s="14">
        <f t="shared" ref="AP4:AP11" si="10">AN4-AO4</f>
        <v>1200</v>
      </c>
      <c r="AQ4" s="14">
        <f t="shared" ref="AQ4" si="11">AP4/AM4</f>
        <v>40</v>
      </c>
      <c r="AR4" s="72">
        <v>120</v>
      </c>
      <c r="AS4" s="72">
        <f>16*60</f>
        <v>960</v>
      </c>
      <c r="AT4" s="83">
        <f>3600/AS4</f>
        <v>3.75</v>
      </c>
      <c r="AU4" s="14">
        <v>1300</v>
      </c>
      <c r="AV4" s="14">
        <v>60</v>
      </c>
      <c r="AW4" s="14">
        <f t="shared" ref="AW4" si="12">AU4-AV4</f>
        <v>1240</v>
      </c>
      <c r="AX4" s="14">
        <f t="shared" ref="AX4" si="13">AW4/AT4</f>
        <v>330.66666666666669</v>
      </c>
    </row>
    <row r="5" spans="1:50" ht="15.6" x14ac:dyDescent="0.3">
      <c r="A5" s="82"/>
      <c r="B5" s="13" t="s">
        <v>27</v>
      </c>
      <c r="C5" s="13">
        <v>54</v>
      </c>
      <c r="D5" s="14">
        <f t="shared" ref="D5:D8" si="14">3600/C5</f>
        <v>66.666666666666671</v>
      </c>
      <c r="E5" s="14">
        <v>1300</v>
      </c>
      <c r="F5" s="14">
        <v>700</v>
      </c>
      <c r="G5" s="14">
        <f t="shared" si="0"/>
        <v>600</v>
      </c>
      <c r="H5" s="14">
        <f t="shared" si="1"/>
        <v>9</v>
      </c>
      <c r="I5" s="14"/>
      <c r="J5" s="14"/>
      <c r="K5" s="14"/>
      <c r="L5" s="14"/>
      <c r="M5" s="14">
        <f t="shared" si="2"/>
        <v>0</v>
      </c>
      <c r="N5" s="14"/>
      <c r="O5" s="14"/>
      <c r="P5" s="14"/>
      <c r="Q5" s="14"/>
      <c r="R5" s="14"/>
      <c r="S5" s="14">
        <f t="shared" si="3"/>
        <v>0</v>
      </c>
      <c r="T5" s="14"/>
      <c r="U5" s="14">
        <v>150</v>
      </c>
      <c r="V5" s="14">
        <f t="shared" ref="V5:V11" si="15">3600/U5</f>
        <v>24</v>
      </c>
      <c r="W5" s="14">
        <v>1300</v>
      </c>
      <c r="X5" s="14">
        <v>100</v>
      </c>
      <c r="Y5" s="14">
        <f t="shared" si="4"/>
        <v>1200</v>
      </c>
      <c r="Z5" s="14">
        <f t="shared" si="5"/>
        <v>50</v>
      </c>
      <c r="AA5" s="14">
        <v>300</v>
      </c>
      <c r="AB5" s="14">
        <f>3600/AA5</f>
        <v>12</v>
      </c>
      <c r="AC5" s="14">
        <v>1300</v>
      </c>
      <c r="AD5" s="14">
        <v>100</v>
      </c>
      <c r="AE5" s="14">
        <f t="shared" si="6"/>
        <v>1200</v>
      </c>
      <c r="AF5" s="14">
        <f t="shared" si="7"/>
        <v>100</v>
      </c>
      <c r="AG5" s="72"/>
      <c r="AH5" s="72"/>
      <c r="AI5" s="74"/>
      <c r="AJ5" s="74"/>
      <c r="AK5" s="74"/>
      <c r="AL5" s="74"/>
      <c r="AM5" s="72"/>
      <c r="AN5" s="14"/>
      <c r="AO5" s="14"/>
      <c r="AP5" s="14"/>
      <c r="AQ5" s="14">
        <f>AP5/AM4</f>
        <v>0</v>
      </c>
      <c r="AR5" s="72"/>
      <c r="AS5" s="72"/>
      <c r="AT5" s="83"/>
      <c r="AU5" s="14"/>
      <c r="AV5" s="14"/>
      <c r="AW5" s="14"/>
      <c r="AX5" s="14">
        <f>AW5/AT4</f>
        <v>0</v>
      </c>
    </row>
    <row r="6" spans="1:50" ht="15.6" x14ac:dyDescent="0.3">
      <c r="A6" s="82"/>
      <c r="B6" s="13" t="s">
        <v>28</v>
      </c>
      <c r="C6" s="13">
        <v>34</v>
      </c>
      <c r="D6" s="14">
        <f t="shared" si="14"/>
        <v>105.88235294117646</v>
      </c>
      <c r="E6" s="14">
        <v>1300</v>
      </c>
      <c r="F6" s="14">
        <v>0</v>
      </c>
      <c r="G6" s="14">
        <f t="shared" si="0"/>
        <v>1300</v>
      </c>
      <c r="H6" s="14">
        <f t="shared" si="1"/>
        <v>12.277777777777779</v>
      </c>
      <c r="I6" s="14"/>
      <c r="J6" s="14"/>
      <c r="K6" s="14"/>
      <c r="L6" s="14"/>
      <c r="M6" s="14">
        <f t="shared" si="2"/>
        <v>0</v>
      </c>
      <c r="N6" s="14"/>
      <c r="O6" s="14"/>
      <c r="P6" s="14"/>
      <c r="Q6" s="14"/>
      <c r="R6" s="14"/>
      <c r="S6" s="14">
        <f t="shared" si="3"/>
        <v>0</v>
      </c>
      <c r="T6" s="14"/>
      <c r="U6" s="14">
        <v>60</v>
      </c>
      <c r="V6" s="14">
        <f t="shared" si="15"/>
        <v>60</v>
      </c>
      <c r="W6" s="14">
        <v>1300</v>
      </c>
      <c r="X6" s="14">
        <v>100</v>
      </c>
      <c r="Y6" s="14">
        <f t="shared" si="4"/>
        <v>1200</v>
      </c>
      <c r="Z6" s="14">
        <f t="shared" si="5"/>
        <v>20</v>
      </c>
      <c r="AA6" s="14"/>
      <c r="AB6" s="14"/>
      <c r="AC6" s="14"/>
      <c r="AD6" s="14"/>
      <c r="AE6" s="14">
        <f t="shared" si="6"/>
        <v>0</v>
      </c>
      <c r="AF6" s="14"/>
      <c r="AG6" s="72"/>
      <c r="AH6" s="72"/>
      <c r="AI6" s="74"/>
      <c r="AJ6" s="74"/>
      <c r="AK6" s="74"/>
      <c r="AL6" s="74"/>
      <c r="AM6" s="72"/>
      <c r="AN6" s="14"/>
      <c r="AO6" s="14"/>
      <c r="AP6" s="14">
        <f t="shared" si="10"/>
        <v>0</v>
      </c>
      <c r="AQ6" s="14"/>
      <c r="AR6" s="72"/>
      <c r="AS6" s="72"/>
      <c r="AT6" s="83"/>
      <c r="AU6" s="14"/>
      <c r="AV6" s="14"/>
      <c r="AW6" s="14">
        <f t="shared" ref="AW6:AW11" si="16">AU6-AV6</f>
        <v>0</v>
      </c>
      <c r="AX6" s="14"/>
    </row>
    <row r="7" spans="1:50" ht="15.6" x14ac:dyDescent="0.3">
      <c r="A7" s="82"/>
      <c r="B7" s="13" t="s">
        <v>29</v>
      </c>
      <c r="C7" s="13">
        <v>34</v>
      </c>
      <c r="D7" s="14">
        <f t="shared" si="14"/>
        <v>105.88235294117646</v>
      </c>
      <c r="E7" s="14">
        <v>1300</v>
      </c>
      <c r="F7" s="14">
        <v>1000</v>
      </c>
      <c r="G7" s="14">
        <f t="shared" si="0"/>
        <v>300</v>
      </c>
      <c r="H7" s="14">
        <f t="shared" si="1"/>
        <v>2.8333333333333335</v>
      </c>
      <c r="I7" s="14"/>
      <c r="J7" s="14"/>
      <c r="K7" s="14"/>
      <c r="L7" s="14"/>
      <c r="M7" s="14">
        <f t="shared" si="2"/>
        <v>0</v>
      </c>
      <c r="N7" s="14"/>
      <c r="O7" s="14"/>
      <c r="P7" s="14"/>
      <c r="Q7" s="14"/>
      <c r="R7" s="14"/>
      <c r="S7" s="14">
        <f t="shared" si="3"/>
        <v>0</v>
      </c>
      <c r="T7" s="14"/>
      <c r="U7" s="14">
        <v>60</v>
      </c>
      <c r="V7" s="14">
        <f t="shared" si="15"/>
        <v>60</v>
      </c>
      <c r="W7" s="14">
        <v>1300</v>
      </c>
      <c r="X7" s="14">
        <v>1000</v>
      </c>
      <c r="Y7" s="14">
        <f t="shared" si="4"/>
        <v>300</v>
      </c>
      <c r="Z7" s="14">
        <f t="shared" si="5"/>
        <v>5</v>
      </c>
      <c r="AA7" s="14"/>
      <c r="AB7" s="14"/>
      <c r="AC7" s="14"/>
      <c r="AD7" s="14"/>
      <c r="AE7" s="14">
        <f t="shared" si="6"/>
        <v>0</v>
      </c>
      <c r="AF7" s="14"/>
      <c r="AG7" s="72"/>
      <c r="AH7" s="72"/>
      <c r="AI7" s="74"/>
      <c r="AJ7" s="74"/>
      <c r="AK7" s="74"/>
      <c r="AL7" s="74"/>
      <c r="AM7" s="72"/>
      <c r="AN7" s="14"/>
      <c r="AO7" s="14"/>
      <c r="AP7" s="14">
        <f t="shared" si="10"/>
        <v>0</v>
      </c>
      <c r="AQ7" s="14"/>
      <c r="AR7" s="72"/>
      <c r="AS7" s="72"/>
      <c r="AT7" s="83"/>
      <c r="AU7" s="14"/>
      <c r="AV7" s="14"/>
      <c r="AW7" s="14">
        <f t="shared" si="16"/>
        <v>0</v>
      </c>
      <c r="AX7" s="14"/>
    </row>
    <row r="8" spans="1:50" ht="15.6" x14ac:dyDescent="0.3">
      <c r="A8" s="82"/>
      <c r="B8" s="13" t="s">
        <v>20</v>
      </c>
      <c r="C8" s="13">
        <v>18</v>
      </c>
      <c r="D8" s="14">
        <f t="shared" si="14"/>
        <v>200</v>
      </c>
      <c r="E8" s="14">
        <v>2600</v>
      </c>
      <c r="F8" s="14">
        <v>2400</v>
      </c>
      <c r="G8" s="14">
        <f t="shared" si="0"/>
        <v>200</v>
      </c>
      <c r="H8" s="14">
        <f t="shared" si="1"/>
        <v>1</v>
      </c>
      <c r="I8" s="14"/>
      <c r="J8" s="14"/>
      <c r="K8" s="14"/>
      <c r="L8" s="14"/>
      <c r="M8" s="14">
        <f t="shared" si="2"/>
        <v>0</v>
      </c>
      <c r="N8" s="14"/>
      <c r="O8" s="14"/>
      <c r="P8" s="14"/>
      <c r="Q8" s="14"/>
      <c r="R8" s="14"/>
      <c r="S8" s="14">
        <f t="shared" si="3"/>
        <v>0</v>
      </c>
      <c r="T8" s="14"/>
      <c r="U8" s="14"/>
      <c r="V8" s="14"/>
      <c r="W8" s="14"/>
      <c r="X8" s="14"/>
      <c r="Y8" s="14">
        <f t="shared" si="4"/>
        <v>0</v>
      </c>
      <c r="Z8" s="14"/>
      <c r="AA8" s="14"/>
      <c r="AB8" s="14"/>
      <c r="AC8" s="14"/>
      <c r="AD8" s="14"/>
      <c r="AE8" s="14">
        <f t="shared" si="6"/>
        <v>0</v>
      </c>
      <c r="AF8" s="14"/>
      <c r="AG8" s="72"/>
      <c r="AH8" s="72"/>
      <c r="AI8" s="75"/>
      <c r="AJ8" s="75"/>
      <c r="AK8" s="75"/>
      <c r="AL8" s="75"/>
      <c r="AM8" s="72"/>
      <c r="AN8" s="14"/>
      <c r="AO8" s="14"/>
      <c r="AP8" s="14">
        <f t="shared" si="10"/>
        <v>0</v>
      </c>
      <c r="AQ8" s="14"/>
      <c r="AR8" s="72"/>
      <c r="AS8" s="72"/>
      <c r="AT8" s="83"/>
      <c r="AU8" s="14"/>
      <c r="AV8" s="14"/>
      <c r="AW8" s="14">
        <f t="shared" si="16"/>
        <v>0</v>
      </c>
      <c r="AX8" s="14"/>
    </row>
    <row r="9" spans="1:50" ht="15.6" x14ac:dyDescent="0.3">
      <c r="A9" s="82">
        <v>2122</v>
      </c>
      <c r="B9" s="13" t="s">
        <v>52</v>
      </c>
      <c r="C9" s="13">
        <v>54</v>
      </c>
      <c r="D9" s="14">
        <f>3600/C9</f>
        <v>66.666666666666671</v>
      </c>
      <c r="E9" s="14">
        <v>1300</v>
      </c>
      <c r="F9" s="14">
        <v>1300</v>
      </c>
      <c r="G9" s="14">
        <f t="shared" ref="G9:G11" si="17">E9-F9</f>
        <v>0</v>
      </c>
      <c r="H9" s="14">
        <f t="shared" si="1"/>
        <v>0</v>
      </c>
      <c r="I9" s="16"/>
      <c r="J9" s="14"/>
      <c r="K9" s="14"/>
      <c r="L9" s="14"/>
      <c r="M9" s="14">
        <f t="shared" si="2"/>
        <v>0</v>
      </c>
      <c r="N9" s="14"/>
      <c r="O9" s="14"/>
      <c r="P9" s="14"/>
      <c r="Q9" s="14"/>
      <c r="R9" s="14"/>
      <c r="S9" s="14">
        <f t="shared" si="3"/>
        <v>0</v>
      </c>
      <c r="T9" s="14"/>
      <c r="U9" s="14">
        <v>90</v>
      </c>
      <c r="V9" s="14">
        <f t="shared" si="15"/>
        <v>40</v>
      </c>
      <c r="W9" s="14">
        <v>1300</v>
      </c>
      <c r="X9" s="14">
        <v>480</v>
      </c>
      <c r="Y9" s="14">
        <f t="shared" si="4"/>
        <v>820</v>
      </c>
      <c r="Z9" s="14">
        <f>Y9/V9</f>
        <v>20.5</v>
      </c>
      <c r="AA9" s="14">
        <f>6*60</f>
        <v>360</v>
      </c>
      <c r="AB9" s="14">
        <f t="shared" ref="AB9" si="18">3600/AA9</f>
        <v>10</v>
      </c>
      <c r="AC9" s="14">
        <v>1300</v>
      </c>
      <c r="AD9" s="14">
        <v>480</v>
      </c>
      <c r="AE9" s="14">
        <f t="shared" si="6"/>
        <v>820</v>
      </c>
      <c r="AF9" s="14">
        <f>AE9/AB9</f>
        <v>82</v>
      </c>
      <c r="AG9" s="72">
        <v>600</v>
      </c>
      <c r="AH9" s="72">
        <f>3600/AG9</f>
        <v>6</v>
      </c>
      <c r="AI9" s="73">
        <v>1300</v>
      </c>
      <c r="AJ9" s="73">
        <v>250</v>
      </c>
      <c r="AK9" s="73">
        <f t="shared" si="8"/>
        <v>1050</v>
      </c>
      <c r="AL9" s="73">
        <f>AK9/AH9</f>
        <v>175</v>
      </c>
      <c r="AM9" s="72">
        <v>30</v>
      </c>
      <c r="AN9" s="14">
        <v>1300</v>
      </c>
      <c r="AO9" s="14">
        <v>480</v>
      </c>
      <c r="AP9" s="14">
        <f t="shared" si="10"/>
        <v>820</v>
      </c>
      <c r="AQ9" s="14">
        <f>AP9/AM9</f>
        <v>27.333333333333332</v>
      </c>
      <c r="AR9" s="72">
        <f>3600/AM9</f>
        <v>120</v>
      </c>
      <c r="AS9" s="72">
        <f>6*60</f>
        <v>360</v>
      </c>
      <c r="AT9" s="83">
        <f>3600/AS9</f>
        <v>10</v>
      </c>
      <c r="AU9" s="14">
        <v>1300</v>
      </c>
      <c r="AV9" s="14">
        <v>0</v>
      </c>
      <c r="AW9" s="14">
        <f t="shared" si="16"/>
        <v>1300</v>
      </c>
      <c r="AX9" s="14">
        <f>AW9/AT9</f>
        <v>130</v>
      </c>
    </row>
    <row r="10" spans="1:50" ht="15.6" x14ac:dyDescent="0.3">
      <c r="A10" s="82"/>
      <c r="B10" s="13" t="s">
        <v>49</v>
      </c>
      <c r="C10" s="13">
        <v>18</v>
      </c>
      <c r="D10" s="14">
        <f t="shared" ref="D10:D16" si="19">3600/C10</f>
        <v>200</v>
      </c>
      <c r="E10" s="14">
        <v>2600</v>
      </c>
      <c r="F10" s="14">
        <v>2200</v>
      </c>
      <c r="G10" s="14">
        <f t="shared" si="17"/>
        <v>400</v>
      </c>
      <c r="H10" s="14">
        <f t="shared" si="1"/>
        <v>2</v>
      </c>
      <c r="I10" s="16"/>
      <c r="J10" s="14"/>
      <c r="K10" s="14"/>
      <c r="L10" s="14"/>
      <c r="M10" s="14">
        <f t="shared" si="2"/>
        <v>0</v>
      </c>
      <c r="N10" s="14"/>
      <c r="O10" s="14"/>
      <c r="P10" s="14"/>
      <c r="Q10" s="14"/>
      <c r="R10" s="14"/>
      <c r="S10" s="14">
        <f t="shared" si="3"/>
        <v>0</v>
      </c>
      <c r="T10" s="14"/>
      <c r="U10" s="14"/>
      <c r="V10" s="14"/>
      <c r="W10" s="14"/>
      <c r="X10" s="14"/>
      <c r="Y10" s="14">
        <f t="shared" si="4"/>
        <v>0</v>
      </c>
      <c r="Z10" s="14"/>
      <c r="AA10" s="14"/>
      <c r="AB10" s="14"/>
      <c r="AC10" s="14"/>
      <c r="AD10" s="14"/>
      <c r="AE10" s="14">
        <f t="shared" si="6"/>
        <v>0</v>
      </c>
      <c r="AF10" s="14"/>
      <c r="AG10" s="72"/>
      <c r="AH10" s="72"/>
      <c r="AI10" s="74"/>
      <c r="AJ10" s="74"/>
      <c r="AK10" s="74"/>
      <c r="AL10" s="74"/>
      <c r="AM10" s="72"/>
      <c r="AN10" s="14"/>
      <c r="AO10" s="14"/>
      <c r="AP10" s="14">
        <f t="shared" si="10"/>
        <v>0</v>
      </c>
      <c r="AQ10" s="14"/>
      <c r="AR10" s="72"/>
      <c r="AS10" s="72"/>
      <c r="AT10" s="83"/>
      <c r="AU10" s="14"/>
      <c r="AV10" s="14"/>
      <c r="AW10" s="14">
        <f t="shared" si="16"/>
        <v>0</v>
      </c>
      <c r="AX10" s="14"/>
    </row>
    <row r="11" spans="1:50" ht="15.6" x14ac:dyDescent="0.3">
      <c r="A11" s="82"/>
      <c r="B11" s="13" t="s">
        <v>53</v>
      </c>
      <c r="C11" s="13">
        <v>34</v>
      </c>
      <c r="D11" s="14">
        <f t="shared" si="19"/>
        <v>105.88235294117646</v>
      </c>
      <c r="E11" s="14">
        <v>1300</v>
      </c>
      <c r="F11" s="14">
        <v>300</v>
      </c>
      <c r="G11" s="14">
        <f t="shared" si="17"/>
        <v>1000</v>
      </c>
      <c r="H11" s="14">
        <f t="shared" si="1"/>
        <v>9.4444444444444446</v>
      </c>
      <c r="I11" s="16"/>
      <c r="J11" s="14"/>
      <c r="K11" s="14"/>
      <c r="L11" s="14"/>
      <c r="M11" s="14">
        <f t="shared" si="2"/>
        <v>0</v>
      </c>
      <c r="N11" s="14"/>
      <c r="O11" s="14"/>
      <c r="P11" s="14"/>
      <c r="Q11" s="14"/>
      <c r="R11" s="14"/>
      <c r="S11" s="14">
        <f t="shared" si="3"/>
        <v>0</v>
      </c>
      <c r="T11" s="14"/>
      <c r="U11" s="14">
        <v>90</v>
      </c>
      <c r="V11" s="14">
        <f t="shared" si="15"/>
        <v>40</v>
      </c>
      <c r="W11" s="14">
        <v>1300</v>
      </c>
      <c r="X11" s="14">
        <v>480</v>
      </c>
      <c r="Y11" s="14">
        <f t="shared" si="4"/>
        <v>820</v>
      </c>
      <c r="Z11" s="14">
        <f>Y11/V11</f>
        <v>20.5</v>
      </c>
      <c r="AA11" s="14"/>
      <c r="AB11" s="14"/>
      <c r="AC11" s="14"/>
      <c r="AD11" s="14"/>
      <c r="AE11" s="14">
        <f t="shared" si="6"/>
        <v>0</v>
      </c>
      <c r="AF11" s="14"/>
      <c r="AG11" s="72"/>
      <c r="AH11" s="72"/>
      <c r="AI11" s="75"/>
      <c r="AJ11" s="75"/>
      <c r="AK11" s="75"/>
      <c r="AL11" s="75"/>
      <c r="AM11" s="72"/>
      <c r="AN11" s="14"/>
      <c r="AO11" s="14"/>
      <c r="AP11" s="14">
        <f t="shared" si="10"/>
        <v>0</v>
      </c>
      <c r="AQ11" s="14"/>
      <c r="AR11" s="72"/>
      <c r="AS11" s="72"/>
      <c r="AT11" s="83"/>
      <c r="AU11" s="14"/>
      <c r="AV11" s="14"/>
      <c r="AW11" s="14">
        <f t="shared" si="16"/>
        <v>0</v>
      </c>
      <c r="AX11" s="14"/>
    </row>
    <row r="12" spans="1:50" ht="15.6" x14ac:dyDescent="0.3">
      <c r="A12" s="82">
        <v>2191</v>
      </c>
      <c r="B12" s="13" t="s">
        <v>50</v>
      </c>
      <c r="C12" s="13">
        <v>34</v>
      </c>
      <c r="D12" s="14">
        <f t="shared" si="19"/>
        <v>105.88235294117646</v>
      </c>
      <c r="E12" s="14">
        <v>1300</v>
      </c>
      <c r="F12" s="14">
        <v>1300</v>
      </c>
      <c r="G12" s="14">
        <f>E12-F12</f>
        <v>0</v>
      </c>
      <c r="H12" s="14">
        <f t="shared" si="1"/>
        <v>0</v>
      </c>
      <c r="I12" s="14">
        <v>120</v>
      </c>
      <c r="J12" s="14">
        <f>3600/I12</f>
        <v>30</v>
      </c>
      <c r="K12" s="14">
        <v>1300</v>
      </c>
      <c r="L12" s="14">
        <v>250</v>
      </c>
      <c r="M12" s="14">
        <f>K12-L12</f>
        <v>1050</v>
      </c>
      <c r="N12" s="14">
        <f>M12/J12</f>
        <v>35</v>
      </c>
      <c r="O12" s="14"/>
      <c r="P12" s="14"/>
      <c r="Q12" s="14"/>
      <c r="R12" s="14"/>
      <c r="S12" s="14">
        <f>Q12-R12</f>
        <v>0</v>
      </c>
      <c r="T12" s="14"/>
      <c r="U12" s="14"/>
      <c r="V12" s="14"/>
      <c r="W12" s="14"/>
      <c r="X12" s="14"/>
      <c r="Y12" s="14">
        <f>W12-X12</f>
        <v>0</v>
      </c>
      <c r="Z12" s="14"/>
      <c r="AA12" s="72">
        <f>6*60</f>
        <v>360</v>
      </c>
      <c r="AB12" s="72">
        <f>3600/AA12</f>
        <v>10</v>
      </c>
      <c r="AC12" s="14">
        <v>1300</v>
      </c>
      <c r="AD12" s="14">
        <v>100</v>
      </c>
      <c r="AE12" s="14">
        <f>AC12-AD12</f>
        <v>1200</v>
      </c>
      <c r="AF12" s="14">
        <f>AE12/AB12</f>
        <v>120</v>
      </c>
      <c r="AG12" s="72">
        <f>8*60</f>
        <v>480</v>
      </c>
      <c r="AH12" s="72">
        <f>3600/AG12</f>
        <v>7.5</v>
      </c>
      <c r="AI12" s="73">
        <v>1300</v>
      </c>
      <c r="AJ12" s="73">
        <v>100</v>
      </c>
      <c r="AK12" s="73">
        <f>AI12-AJ12</f>
        <v>1200</v>
      </c>
      <c r="AL12" s="73">
        <f>AK12/AH12</f>
        <v>160</v>
      </c>
      <c r="AM12" s="72"/>
      <c r="AN12" s="14"/>
      <c r="AO12" s="14"/>
      <c r="AP12" s="14">
        <f>AN12-AO12</f>
        <v>0</v>
      </c>
      <c r="AQ12" s="14"/>
      <c r="AR12" s="72"/>
      <c r="AS12" s="72">
        <f>2*60</f>
        <v>120</v>
      </c>
      <c r="AT12" s="83">
        <f>3600/AS12</f>
        <v>30</v>
      </c>
      <c r="AU12" s="14">
        <v>1300</v>
      </c>
      <c r="AV12" s="14">
        <v>100</v>
      </c>
      <c r="AW12" s="14">
        <f>AU12-AV12</f>
        <v>1200</v>
      </c>
      <c r="AX12" s="14">
        <f>AW12/AT12</f>
        <v>40</v>
      </c>
    </row>
    <row r="13" spans="1:50" ht="15.6" x14ac:dyDescent="0.3">
      <c r="A13" s="82"/>
      <c r="B13" s="13" t="s">
        <v>45</v>
      </c>
      <c r="C13" s="13">
        <v>34</v>
      </c>
      <c r="D13" s="14">
        <f t="shared" si="19"/>
        <v>105.88235294117646</v>
      </c>
      <c r="E13" s="14">
        <v>1300</v>
      </c>
      <c r="F13" s="14">
        <v>350</v>
      </c>
      <c r="G13" s="14">
        <f t="shared" ref="G13:G16" si="20">E13-F13</f>
        <v>950</v>
      </c>
      <c r="H13" s="14">
        <f t="shared" si="1"/>
        <v>8.9722222222222232</v>
      </c>
      <c r="I13" s="16"/>
      <c r="J13" s="14"/>
      <c r="K13" s="14"/>
      <c r="L13" s="14"/>
      <c r="M13" s="14">
        <f t="shared" ref="M13:M16" si="21">K13-L13</f>
        <v>0</v>
      </c>
      <c r="N13" s="14"/>
      <c r="O13" s="14"/>
      <c r="P13" s="14"/>
      <c r="Q13" s="14"/>
      <c r="R13" s="14"/>
      <c r="S13" s="14">
        <f t="shared" ref="S13:S16" si="22">Q13-R13</f>
        <v>0</v>
      </c>
      <c r="T13" s="14"/>
      <c r="U13" s="14"/>
      <c r="V13" s="14"/>
      <c r="W13" s="14"/>
      <c r="X13" s="14"/>
      <c r="Y13" s="14">
        <f t="shared" ref="Y13:Y16" si="23">W13-X13</f>
        <v>0</v>
      </c>
      <c r="Z13" s="14"/>
      <c r="AA13" s="72"/>
      <c r="AB13" s="72"/>
      <c r="AC13" s="14"/>
      <c r="AD13" s="14"/>
      <c r="AE13" s="14">
        <f t="shared" ref="AE13:AE16" si="24">AC13-AD13</f>
        <v>0</v>
      </c>
      <c r="AF13" s="14"/>
      <c r="AG13" s="72"/>
      <c r="AH13" s="72"/>
      <c r="AI13" s="74"/>
      <c r="AJ13" s="74"/>
      <c r="AK13" s="74"/>
      <c r="AL13" s="74"/>
      <c r="AM13" s="72"/>
      <c r="AN13" s="14"/>
      <c r="AO13" s="14"/>
      <c r="AP13" s="14">
        <f t="shared" ref="AP13:AP16" si="25">AN13-AO13</f>
        <v>0</v>
      </c>
      <c r="AQ13" s="14"/>
      <c r="AR13" s="72"/>
      <c r="AS13" s="72"/>
      <c r="AT13" s="83"/>
      <c r="AU13" s="14"/>
      <c r="AV13" s="14"/>
      <c r="AW13" s="14">
        <f t="shared" ref="AW13:AW16" si="26">AU13-AV13</f>
        <v>0</v>
      </c>
      <c r="AX13" s="14"/>
    </row>
    <row r="14" spans="1:50" ht="15.6" x14ac:dyDescent="0.3">
      <c r="A14" s="82"/>
      <c r="B14" s="13" t="s">
        <v>49</v>
      </c>
      <c r="C14" s="13">
        <v>18</v>
      </c>
      <c r="D14" s="14">
        <f t="shared" si="19"/>
        <v>200</v>
      </c>
      <c r="E14" s="14">
        <v>1300</v>
      </c>
      <c r="F14" s="14">
        <v>1120</v>
      </c>
      <c r="G14" s="14">
        <f t="shared" si="20"/>
        <v>180</v>
      </c>
      <c r="H14" s="14">
        <f t="shared" si="1"/>
        <v>0.9</v>
      </c>
      <c r="I14" s="16"/>
      <c r="J14" s="14"/>
      <c r="K14" s="14"/>
      <c r="L14" s="14"/>
      <c r="M14" s="14">
        <f t="shared" si="21"/>
        <v>0</v>
      </c>
      <c r="N14" s="14"/>
      <c r="O14" s="14"/>
      <c r="P14" s="14"/>
      <c r="Q14" s="14"/>
      <c r="R14" s="14"/>
      <c r="S14" s="14">
        <f t="shared" si="22"/>
        <v>0</v>
      </c>
      <c r="T14" s="14"/>
      <c r="U14" s="14"/>
      <c r="V14" s="14"/>
      <c r="W14" s="14"/>
      <c r="X14" s="14"/>
      <c r="Y14" s="14">
        <f t="shared" si="23"/>
        <v>0</v>
      </c>
      <c r="Z14" s="14"/>
      <c r="AA14" s="72"/>
      <c r="AB14" s="72"/>
      <c r="AC14" s="14"/>
      <c r="AD14" s="14"/>
      <c r="AE14" s="14">
        <f t="shared" si="24"/>
        <v>0</v>
      </c>
      <c r="AF14" s="14"/>
      <c r="AG14" s="72"/>
      <c r="AH14" s="72"/>
      <c r="AI14" s="75"/>
      <c r="AJ14" s="75"/>
      <c r="AK14" s="75"/>
      <c r="AL14" s="75"/>
      <c r="AM14" s="72"/>
      <c r="AN14" s="14"/>
      <c r="AO14" s="14"/>
      <c r="AP14" s="14">
        <f t="shared" si="25"/>
        <v>0</v>
      </c>
      <c r="AQ14" s="14"/>
      <c r="AR14" s="72"/>
      <c r="AS14" s="72"/>
      <c r="AT14" s="83"/>
      <c r="AU14" s="14"/>
      <c r="AV14" s="14"/>
      <c r="AW14" s="14">
        <f t="shared" si="26"/>
        <v>0</v>
      </c>
      <c r="AX14" s="14"/>
    </row>
    <row r="15" spans="1:50" ht="15.6" x14ac:dyDescent="0.3">
      <c r="A15" s="17">
        <v>2192</v>
      </c>
      <c r="B15" s="13">
        <v>98815</v>
      </c>
      <c r="C15" s="13">
        <v>54</v>
      </c>
      <c r="D15" s="14">
        <f t="shared" si="19"/>
        <v>66.666666666666671</v>
      </c>
      <c r="E15" s="14">
        <v>1260</v>
      </c>
      <c r="F15" s="14">
        <v>1160</v>
      </c>
      <c r="G15" s="14">
        <f t="shared" si="20"/>
        <v>100</v>
      </c>
      <c r="H15" s="14">
        <f t="shared" si="1"/>
        <v>1.5</v>
      </c>
      <c r="I15" s="14">
        <v>120</v>
      </c>
      <c r="J15" s="14">
        <f>3600/I15</f>
        <v>30</v>
      </c>
      <c r="K15" s="14">
        <v>1300</v>
      </c>
      <c r="L15" s="14">
        <v>520</v>
      </c>
      <c r="M15" s="14">
        <f t="shared" si="21"/>
        <v>780</v>
      </c>
      <c r="N15" s="14">
        <f t="shared" ref="N15" si="27">M15/J15</f>
        <v>26</v>
      </c>
      <c r="O15" s="14"/>
      <c r="P15" s="14"/>
      <c r="Q15" s="14"/>
      <c r="R15" s="14"/>
      <c r="S15" s="14">
        <f t="shared" si="22"/>
        <v>0</v>
      </c>
      <c r="T15" s="14"/>
      <c r="U15" s="14">
        <v>40</v>
      </c>
      <c r="V15" s="14">
        <f t="shared" ref="V15" si="28">3600/U15</f>
        <v>90</v>
      </c>
      <c r="W15" s="14">
        <v>1300</v>
      </c>
      <c r="X15" s="14">
        <v>520</v>
      </c>
      <c r="Y15" s="14">
        <f t="shared" si="23"/>
        <v>780</v>
      </c>
      <c r="Z15" s="14">
        <f>Y15/V15</f>
        <v>8.6666666666666661</v>
      </c>
      <c r="AA15" s="14"/>
      <c r="AB15" s="14"/>
      <c r="AC15" s="14"/>
      <c r="AD15" s="14"/>
      <c r="AE15" s="14">
        <f t="shared" si="24"/>
        <v>0</v>
      </c>
      <c r="AF15" s="14"/>
      <c r="AG15" s="14"/>
      <c r="AH15" s="14"/>
      <c r="AI15" s="14"/>
      <c r="AJ15" s="14"/>
      <c r="AK15" s="14">
        <f t="shared" ref="AK15:AK16" si="29">AI15-AJ15</f>
        <v>0</v>
      </c>
      <c r="AL15" s="14"/>
      <c r="AM15" s="14"/>
      <c r="AN15" s="14"/>
      <c r="AO15" s="14"/>
      <c r="AP15" s="14">
        <f t="shared" si="25"/>
        <v>0</v>
      </c>
      <c r="AQ15" s="14"/>
      <c r="AR15" s="14"/>
      <c r="AS15" s="14">
        <f>2*60</f>
        <v>120</v>
      </c>
      <c r="AT15" s="15">
        <f>3600/AS15</f>
        <v>30</v>
      </c>
      <c r="AU15" s="14">
        <v>1300</v>
      </c>
      <c r="AV15" s="14">
        <v>100</v>
      </c>
      <c r="AW15" s="14">
        <f t="shared" si="26"/>
        <v>1200</v>
      </c>
      <c r="AX15" s="14">
        <f>AW15/AT15</f>
        <v>40</v>
      </c>
    </row>
    <row r="16" spans="1:50" ht="16.2" thickBot="1" x14ac:dyDescent="0.35">
      <c r="A16" s="18">
        <v>2195</v>
      </c>
      <c r="B16" s="19">
        <v>98814</v>
      </c>
      <c r="C16" s="19">
        <v>34</v>
      </c>
      <c r="D16" s="20">
        <f t="shared" si="19"/>
        <v>105.88235294117646</v>
      </c>
      <c r="E16" s="20">
        <v>1300</v>
      </c>
      <c r="F16" s="20">
        <v>323</v>
      </c>
      <c r="G16" s="14">
        <f t="shared" si="20"/>
        <v>977</v>
      </c>
      <c r="H16" s="14">
        <f t="shared" si="1"/>
        <v>9.2272222222222222</v>
      </c>
      <c r="I16" s="20"/>
      <c r="J16" s="20"/>
      <c r="K16" s="20"/>
      <c r="L16" s="20"/>
      <c r="M16" s="14">
        <f t="shared" si="21"/>
        <v>0</v>
      </c>
      <c r="N16" s="14"/>
      <c r="O16" s="20">
        <v>120</v>
      </c>
      <c r="P16" s="20">
        <f>3600/O16</f>
        <v>30</v>
      </c>
      <c r="Q16" s="20">
        <v>1300</v>
      </c>
      <c r="R16" s="20">
        <v>323</v>
      </c>
      <c r="S16" s="14">
        <f t="shared" si="22"/>
        <v>977</v>
      </c>
      <c r="T16" s="14">
        <f>S16/P16</f>
        <v>32.56666666666667</v>
      </c>
      <c r="U16" s="20">
        <v>40</v>
      </c>
      <c r="V16" s="20">
        <v>90</v>
      </c>
      <c r="W16" s="20">
        <v>1300</v>
      </c>
      <c r="X16" s="20">
        <v>323</v>
      </c>
      <c r="Y16" s="14">
        <f t="shared" si="23"/>
        <v>977</v>
      </c>
      <c r="Z16" s="14">
        <f>Y16/V16</f>
        <v>10.855555555555556</v>
      </c>
      <c r="AA16" s="20"/>
      <c r="AB16" s="20"/>
      <c r="AC16" s="20"/>
      <c r="AD16" s="20"/>
      <c r="AE16" s="14">
        <f t="shared" si="24"/>
        <v>0</v>
      </c>
      <c r="AF16" s="14"/>
      <c r="AG16" s="20"/>
      <c r="AH16" s="20"/>
      <c r="AI16" s="20"/>
      <c r="AJ16" s="20"/>
      <c r="AK16" s="14">
        <f t="shared" si="29"/>
        <v>0</v>
      </c>
      <c r="AL16" s="14"/>
      <c r="AM16" s="20"/>
      <c r="AN16" s="20"/>
      <c r="AO16" s="20"/>
      <c r="AP16" s="14">
        <f t="shared" si="25"/>
        <v>0</v>
      </c>
      <c r="AQ16" s="14"/>
      <c r="AR16" s="20"/>
      <c r="AS16" s="20">
        <v>60</v>
      </c>
      <c r="AT16" s="15">
        <f>3600/AS16</f>
        <v>60</v>
      </c>
      <c r="AU16" s="20">
        <v>1300</v>
      </c>
      <c r="AV16" s="20">
        <v>326</v>
      </c>
      <c r="AW16" s="14">
        <f t="shared" si="26"/>
        <v>974</v>
      </c>
      <c r="AX16" s="14">
        <f>AW16/AT16</f>
        <v>16.233333333333334</v>
      </c>
    </row>
    <row r="17" spans="2:50" ht="15.6" x14ac:dyDescent="0.3">
      <c r="B17" s="21" t="s">
        <v>54</v>
      </c>
      <c r="H17" s="22">
        <f>SUM(H4:H16)</f>
        <v>66.155000000000001</v>
      </c>
      <c r="N17" s="22">
        <f>SUM(N4:N16)</f>
        <v>61</v>
      </c>
      <c r="T17" s="22">
        <f>SUM(T4:T16)</f>
        <v>32.56666666666667</v>
      </c>
      <c r="Z17" s="22">
        <f>SUM(Z4:Z16)</f>
        <v>145.52222222222221</v>
      </c>
      <c r="AF17" s="22">
        <f>SUM(AF4:AF16)</f>
        <v>382</v>
      </c>
      <c r="AL17" s="22">
        <f>SUM(AL4:AL16)</f>
        <v>395</v>
      </c>
      <c r="AQ17" s="22">
        <f>SUM(AQ4:AQ16)</f>
        <v>67.333333333333329</v>
      </c>
      <c r="AX17" s="22">
        <f>SUM(AX4:AX16)</f>
        <v>556.90000000000009</v>
      </c>
    </row>
    <row r="18" spans="2:50" ht="15.6" x14ac:dyDescent="0.3">
      <c r="B18" s="21" t="s">
        <v>55</v>
      </c>
      <c r="H18" s="14">
        <f>H17/7.1</f>
        <v>9.3176056338028168</v>
      </c>
      <c r="N18" s="14">
        <f>N17/7.1</f>
        <v>8.591549295774648</v>
      </c>
      <c r="T18" s="14">
        <f>T17/7.1</f>
        <v>4.586854460093897</v>
      </c>
      <c r="Z18" s="14">
        <f>Z17/7.1</f>
        <v>20.496087636932707</v>
      </c>
      <c r="AF18" s="14">
        <f>AF17/7.1</f>
        <v>53.802816901408455</v>
      </c>
      <c r="AL18" s="14">
        <f>AL17/7.1</f>
        <v>55.633802816901408</v>
      </c>
      <c r="AQ18" s="14">
        <f>AQ17/7.1</f>
        <v>9.4835680751173701</v>
      </c>
      <c r="AX18" s="14">
        <f>AX17/7.1</f>
        <v>78.436619718309871</v>
      </c>
    </row>
    <row r="19" spans="2:50" ht="15.6" x14ac:dyDescent="0.3">
      <c r="B19" s="21" t="s">
        <v>56</v>
      </c>
      <c r="H19" s="23">
        <f>H18/3</f>
        <v>3.1058685446009391</v>
      </c>
      <c r="N19" s="23">
        <f>N18/3</f>
        <v>2.863849765258216</v>
      </c>
      <c r="T19" s="23">
        <f>T18/3</f>
        <v>1.5289514866979657</v>
      </c>
      <c r="Z19" s="23">
        <f>Z18/3</f>
        <v>6.8320292123109025</v>
      </c>
      <c r="AF19" s="23">
        <f>AF18/3</f>
        <v>17.934272300469484</v>
      </c>
      <c r="AL19" s="23">
        <f>AL18/3</f>
        <v>18.544600938967136</v>
      </c>
      <c r="AQ19" s="23">
        <f>AQ18/3</f>
        <v>3.1611893583724568</v>
      </c>
      <c r="AX19" s="23"/>
    </row>
    <row r="20" spans="2:50" ht="28.8" x14ac:dyDescent="0.3">
      <c r="AE20" t="s">
        <v>65</v>
      </c>
      <c r="AF20">
        <f>AF19/5</f>
        <v>3.586854460093897</v>
      </c>
      <c r="AK20" s="24" t="s">
        <v>68</v>
      </c>
      <c r="AL20" s="23">
        <f>AL19/4</f>
        <v>4.636150234741784</v>
      </c>
      <c r="AW20" t="s">
        <v>73</v>
      </c>
      <c r="AX20">
        <f>AX18/16</f>
        <v>4.9022887323943669</v>
      </c>
    </row>
  </sheetData>
  <mergeCells count="38">
    <mergeCell ref="AT9:AT11"/>
    <mergeCell ref="A12:A14"/>
    <mergeCell ref="AA12:AA14"/>
    <mergeCell ref="AS12:AS14"/>
    <mergeCell ref="AT12:AT14"/>
    <mergeCell ref="A9:A11"/>
    <mergeCell ref="AG9:AG11"/>
    <mergeCell ref="AH9:AH11"/>
    <mergeCell ref="AM9:AM11"/>
    <mergeCell ref="AR9:AR11"/>
    <mergeCell ref="AS9:AS11"/>
    <mergeCell ref="AI9:AI11"/>
    <mergeCell ref="AJ9:AJ11"/>
    <mergeCell ref="AK9:AK11"/>
    <mergeCell ref="AL9:AL11"/>
    <mergeCell ref="AB12:AB14"/>
    <mergeCell ref="A1:AX1"/>
    <mergeCell ref="AI4:AI8"/>
    <mergeCell ref="AJ4:AJ8"/>
    <mergeCell ref="AK4:AK8"/>
    <mergeCell ref="AL4:AL8"/>
    <mergeCell ref="C2:AT2"/>
    <mergeCell ref="A3:B3"/>
    <mergeCell ref="A4:A8"/>
    <mergeCell ref="AG4:AG8"/>
    <mergeCell ref="AH4:AH8"/>
    <mergeCell ref="AM4:AM8"/>
    <mergeCell ref="AR4:AR8"/>
    <mergeCell ref="AS4:AS8"/>
    <mergeCell ref="AT4:AT8"/>
    <mergeCell ref="AG12:AG14"/>
    <mergeCell ref="AH12:AH14"/>
    <mergeCell ref="AM12:AM14"/>
    <mergeCell ref="AR12:AR14"/>
    <mergeCell ref="AI12:AI14"/>
    <mergeCell ref="AJ12:AJ14"/>
    <mergeCell ref="AK12:AK14"/>
    <mergeCell ref="AL12:AL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S51"/>
  <sheetViews>
    <sheetView topLeftCell="A3" zoomScaleNormal="100" workbookViewId="0">
      <pane xSplit="8" ySplit="6" topLeftCell="P47" activePane="bottomRight" state="frozen"/>
      <selection activeCell="A3" sqref="A3"/>
      <selection pane="topRight" activeCell="I3" sqref="I3"/>
      <selection pane="bottomLeft" activeCell="A9" sqref="A9"/>
      <selection pane="bottomRight" activeCell="B2" sqref="B2:S49"/>
    </sheetView>
  </sheetViews>
  <sheetFormatPr defaultRowHeight="14.4" x14ac:dyDescent="0.3"/>
  <cols>
    <col min="3" max="3" width="21.109375" customWidth="1"/>
    <col min="4" max="4" width="23.5546875" customWidth="1"/>
    <col min="5" max="5" width="13.44140625" customWidth="1"/>
    <col min="6" max="6" width="12.109375" customWidth="1"/>
    <col min="7" max="7" width="28.33203125" customWidth="1"/>
    <col min="9" max="9" width="11.33203125" customWidth="1"/>
    <col min="10" max="10" width="10.88671875" customWidth="1"/>
    <col min="11" max="11" width="12" customWidth="1"/>
    <col min="12" max="12" width="14.6640625" customWidth="1"/>
    <col min="13" max="13" width="14.109375" customWidth="1"/>
    <col min="14" max="14" width="14.88671875" customWidth="1"/>
    <col min="17" max="17" width="20.109375" customWidth="1"/>
    <col min="18" max="18" width="16" customWidth="1"/>
    <col min="19" max="19" width="16.6640625" bestFit="1" customWidth="1"/>
  </cols>
  <sheetData>
    <row r="2" spans="2:19" x14ac:dyDescent="0.3">
      <c r="B2" s="52" t="s">
        <v>74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3" spans="2:19" x14ac:dyDescent="0.3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</row>
    <row r="4" spans="2:19" x14ac:dyDescent="0.3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</row>
    <row r="5" spans="2:19" ht="15" customHeight="1" x14ac:dyDescent="0.35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7" t="s">
        <v>75</v>
      </c>
      <c r="Q5" s="27"/>
      <c r="R5" s="23"/>
      <c r="S5" s="23"/>
    </row>
    <row r="6" spans="2:19" ht="15" customHeight="1" x14ac:dyDescent="0.35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8" t="s">
        <v>76</v>
      </c>
      <c r="Q6" s="29">
        <v>46068</v>
      </c>
      <c r="R6" s="23"/>
      <c r="S6" s="23"/>
    </row>
    <row r="7" spans="2:19" ht="15.75" customHeight="1" x14ac:dyDescent="0.3">
      <c r="B7" s="53" t="s">
        <v>77</v>
      </c>
      <c r="C7" s="53" t="s">
        <v>78</v>
      </c>
      <c r="D7" s="53" t="s">
        <v>79</v>
      </c>
      <c r="E7" s="54" t="s">
        <v>80</v>
      </c>
      <c r="F7" s="53" t="s">
        <v>81</v>
      </c>
      <c r="G7" s="53" t="s">
        <v>82</v>
      </c>
      <c r="H7" s="30"/>
      <c r="I7" s="55" t="s">
        <v>85</v>
      </c>
      <c r="J7" s="55"/>
      <c r="K7" s="55"/>
      <c r="L7" s="56" t="s">
        <v>83</v>
      </c>
      <c r="M7" s="56"/>
      <c r="N7" s="56"/>
      <c r="O7" s="57" t="s">
        <v>84</v>
      </c>
      <c r="P7" s="57"/>
      <c r="Q7" s="57"/>
      <c r="R7" s="50" t="s">
        <v>86</v>
      </c>
      <c r="S7" s="51" t="s">
        <v>87</v>
      </c>
    </row>
    <row r="8" spans="2:19" ht="17.399999999999999" x14ac:dyDescent="0.3">
      <c r="B8" s="53"/>
      <c r="C8" s="53"/>
      <c r="D8" s="53"/>
      <c r="E8" s="54"/>
      <c r="F8" s="53"/>
      <c r="G8" s="53"/>
      <c r="H8" s="30" t="s">
        <v>88</v>
      </c>
      <c r="I8" s="31" t="s">
        <v>89</v>
      </c>
      <c r="J8" s="32" t="s">
        <v>90</v>
      </c>
      <c r="K8" s="33" t="s">
        <v>16</v>
      </c>
      <c r="L8" s="31" t="s">
        <v>89</v>
      </c>
      <c r="M8" s="32" t="s">
        <v>90</v>
      </c>
      <c r="N8" s="30" t="s">
        <v>16</v>
      </c>
      <c r="O8" s="31" t="s">
        <v>89</v>
      </c>
      <c r="P8" s="32" t="s">
        <v>90</v>
      </c>
      <c r="Q8" s="33" t="s">
        <v>16</v>
      </c>
      <c r="R8" s="50"/>
      <c r="S8" s="51"/>
    </row>
    <row r="9" spans="2:19" ht="18" x14ac:dyDescent="0.35">
      <c r="B9" s="34">
        <v>1</v>
      </c>
      <c r="C9" s="35" t="s">
        <v>91</v>
      </c>
      <c r="D9" s="36" t="s">
        <v>35</v>
      </c>
      <c r="E9" s="35">
        <v>98812</v>
      </c>
      <c r="F9" s="35">
        <v>292.10000000000002</v>
      </c>
      <c r="G9" s="35" t="s">
        <v>92</v>
      </c>
      <c r="H9" s="35" t="s">
        <v>93</v>
      </c>
      <c r="I9" s="35">
        <v>0</v>
      </c>
      <c r="J9" s="35">
        <v>0</v>
      </c>
      <c r="K9" s="35"/>
      <c r="L9" s="35">
        <v>0</v>
      </c>
      <c r="M9" s="35">
        <v>0</v>
      </c>
      <c r="N9" s="35"/>
      <c r="O9" s="35">
        <v>0</v>
      </c>
      <c r="P9" s="35">
        <v>0</v>
      </c>
      <c r="Q9" s="35"/>
      <c r="R9" s="37">
        <f>O9+L9+I9</f>
        <v>0</v>
      </c>
      <c r="S9" s="38">
        <f>J9+M9+P9</f>
        <v>0</v>
      </c>
    </row>
    <row r="10" spans="2:19" ht="18" x14ac:dyDescent="0.35">
      <c r="B10" s="34">
        <v>2</v>
      </c>
      <c r="C10" s="35" t="s">
        <v>94</v>
      </c>
      <c r="D10" s="36" t="s">
        <v>35</v>
      </c>
      <c r="E10" s="35">
        <v>98808</v>
      </c>
      <c r="F10" s="35">
        <v>428.75</v>
      </c>
      <c r="G10" s="35" t="s">
        <v>92</v>
      </c>
      <c r="H10" s="35" t="s">
        <v>133</v>
      </c>
      <c r="I10" s="35">
        <v>0</v>
      </c>
      <c r="J10" s="35">
        <v>0</v>
      </c>
      <c r="K10" s="35"/>
      <c r="L10" s="35">
        <v>400</v>
      </c>
      <c r="M10" s="35">
        <v>355</v>
      </c>
      <c r="N10" s="35"/>
      <c r="O10" s="35">
        <v>500</v>
      </c>
      <c r="P10" s="35">
        <v>450</v>
      </c>
      <c r="Q10" s="35"/>
      <c r="R10" s="37">
        <f t="shared" ref="R10:R48" si="0">O10+L10+I10</f>
        <v>900</v>
      </c>
      <c r="S10" s="38">
        <f t="shared" ref="S10:S49" si="1">J10+M10+P10</f>
        <v>805</v>
      </c>
    </row>
    <row r="11" spans="2:19" ht="18" x14ac:dyDescent="0.35">
      <c r="B11" s="34">
        <v>3</v>
      </c>
      <c r="C11" s="35" t="s">
        <v>94</v>
      </c>
      <c r="D11" s="36" t="s">
        <v>35</v>
      </c>
      <c r="E11" s="35">
        <v>98809</v>
      </c>
      <c r="F11" s="35">
        <v>152.4</v>
      </c>
      <c r="G11" s="35" t="s">
        <v>92</v>
      </c>
      <c r="H11" s="35" t="s">
        <v>120</v>
      </c>
      <c r="I11" s="35">
        <v>0</v>
      </c>
      <c r="J11" s="35">
        <v>0</v>
      </c>
      <c r="K11" s="35"/>
      <c r="L11" s="35">
        <v>0</v>
      </c>
      <c r="M11" s="35">
        <v>0</v>
      </c>
      <c r="N11" s="35"/>
      <c r="O11" s="35">
        <v>0</v>
      </c>
      <c r="P11" s="35">
        <v>0</v>
      </c>
      <c r="Q11" s="35"/>
      <c r="R11" s="37">
        <f t="shared" si="0"/>
        <v>0</v>
      </c>
      <c r="S11" s="38">
        <f t="shared" si="1"/>
        <v>0</v>
      </c>
    </row>
    <row r="12" spans="2:19" ht="18" x14ac:dyDescent="0.35">
      <c r="B12" s="34">
        <v>4</v>
      </c>
      <c r="C12" s="35" t="s">
        <v>102</v>
      </c>
      <c r="D12" s="36" t="s">
        <v>35</v>
      </c>
      <c r="E12" s="35">
        <v>98808</v>
      </c>
      <c r="F12" s="35">
        <v>76.2</v>
      </c>
      <c r="G12" s="35" t="s">
        <v>92</v>
      </c>
      <c r="H12" s="35" t="s">
        <v>154</v>
      </c>
      <c r="I12" s="35">
        <v>350</v>
      </c>
      <c r="J12" s="35">
        <v>268</v>
      </c>
      <c r="K12" s="35"/>
      <c r="L12" s="35">
        <v>0</v>
      </c>
      <c r="M12" s="35">
        <v>0</v>
      </c>
      <c r="N12" s="35"/>
      <c r="O12" s="35">
        <v>0</v>
      </c>
      <c r="P12" s="35">
        <v>0</v>
      </c>
      <c r="Q12" s="35"/>
      <c r="R12" s="37">
        <f t="shared" si="0"/>
        <v>350</v>
      </c>
      <c r="S12" s="38">
        <f t="shared" si="1"/>
        <v>268</v>
      </c>
    </row>
    <row r="13" spans="2:19" ht="18" x14ac:dyDescent="0.35">
      <c r="B13" s="34">
        <v>5</v>
      </c>
      <c r="C13" s="35" t="s">
        <v>166</v>
      </c>
      <c r="D13" s="36"/>
      <c r="E13" s="35">
        <v>86308</v>
      </c>
      <c r="F13" s="35">
        <v>55.88</v>
      </c>
      <c r="G13" s="35"/>
      <c r="H13" s="35" t="s">
        <v>96</v>
      </c>
      <c r="I13" s="35">
        <v>0</v>
      </c>
      <c r="J13" s="35">
        <v>0</v>
      </c>
      <c r="K13" s="35"/>
      <c r="L13" s="35">
        <v>0</v>
      </c>
      <c r="M13" s="35">
        <v>0</v>
      </c>
      <c r="N13" s="35"/>
      <c r="O13" s="35">
        <v>0</v>
      </c>
      <c r="P13" s="35">
        <v>0</v>
      </c>
      <c r="Q13" s="35"/>
      <c r="R13" s="37">
        <f t="shared" si="0"/>
        <v>0</v>
      </c>
      <c r="S13" s="38">
        <f t="shared" si="1"/>
        <v>0</v>
      </c>
    </row>
    <row r="14" spans="2:19" ht="18" x14ac:dyDescent="0.35">
      <c r="B14" s="34">
        <v>6</v>
      </c>
      <c r="C14" s="35" t="s">
        <v>105</v>
      </c>
      <c r="D14" s="36" t="s">
        <v>95</v>
      </c>
      <c r="E14" s="35">
        <v>86308</v>
      </c>
      <c r="F14" s="35">
        <v>55.88</v>
      </c>
      <c r="G14" s="35" t="s">
        <v>92</v>
      </c>
      <c r="H14" s="35" t="s">
        <v>96</v>
      </c>
      <c r="I14" s="35">
        <v>80</v>
      </c>
      <c r="J14" s="35">
        <v>50</v>
      </c>
      <c r="K14" s="35" t="s">
        <v>164</v>
      </c>
      <c r="L14" s="35">
        <v>120</v>
      </c>
      <c r="M14" s="35">
        <v>110</v>
      </c>
      <c r="N14" s="35"/>
      <c r="O14" s="35">
        <v>0</v>
      </c>
      <c r="P14" s="35">
        <v>0</v>
      </c>
      <c r="Q14" s="35"/>
      <c r="R14" s="37">
        <f t="shared" si="0"/>
        <v>200</v>
      </c>
      <c r="S14" s="38">
        <f t="shared" si="1"/>
        <v>160</v>
      </c>
    </row>
    <row r="15" spans="2:19" ht="18" x14ac:dyDescent="0.35">
      <c r="B15" s="34">
        <v>7</v>
      </c>
      <c r="C15" s="35" t="s">
        <v>106</v>
      </c>
      <c r="D15" s="36" t="s">
        <v>95</v>
      </c>
      <c r="E15" s="35">
        <v>86308</v>
      </c>
      <c r="F15" s="35">
        <v>55.88</v>
      </c>
      <c r="G15" s="35" t="s">
        <v>92</v>
      </c>
      <c r="H15" s="35" t="s">
        <v>163</v>
      </c>
      <c r="I15" s="35">
        <v>170</v>
      </c>
      <c r="J15" s="35">
        <v>150</v>
      </c>
      <c r="K15" s="35" t="s">
        <v>164</v>
      </c>
      <c r="L15" s="35">
        <v>200</v>
      </c>
      <c r="M15" s="35">
        <v>170</v>
      </c>
      <c r="N15" s="35"/>
      <c r="O15" s="35">
        <v>0</v>
      </c>
      <c r="P15" s="35">
        <v>0</v>
      </c>
      <c r="Q15" s="35"/>
      <c r="R15" s="37">
        <f t="shared" si="0"/>
        <v>370</v>
      </c>
      <c r="S15" s="38">
        <f t="shared" si="1"/>
        <v>320</v>
      </c>
    </row>
    <row r="16" spans="2:19" ht="18" x14ac:dyDescent="0.35">
      <c r="B16" s="34">
        <v>8</v>
      </c>
      <c r="C16" s="35" t="s">
        <v>108</v>
      </c>
      <c r="D16" s="36" t="s">
        <v>95</v>
      </c>
      <c r="E16" s="35">
        <v>86308</v>
      </c>
      <c r="F16" s="35">
        <v>55.88</v>
      </c>
      <c r="G16" s="35" t="s">
        <v>92</v>
      </c>
      <c r="H16" s="35" t="s">
        <v>96</v>
      </c>
      <c r="I16" s="35">
        <v>0</v>
      </c>
      <c r="J16" s="35">
        <v>0</v>
      </c>
      <c r="K16" s="35" t="s">
        <v>165</v>
      </c>
      <c r="L16" s="35">
        <v>0</v>
      </c>
      <c r="M16" s="35">
        <v>0</v>
      </c>
      <c r="N16" s="35" t="s">
        <v>165</v>
      </c>
      <c r="O16" s="35">
        <v>0</v>
      </c>
      <c r="P16" s="35">
        <v>0</v>
      </c>
      <c r="Q16" s="35"/>
      <c r="R16" s="37">
        <f t="shared" si="0"/>
        <v>0</v>
      </c>
      <c r="S16" s="38">
        <f t="shared" si="1"/>
        <v>0</v>
      </c>
    </row>
    <row r="17" spans="2:19" ht="18" x14ac:dyDescent="0.35">
      <c r="B17" s="34">
        <v>9</v>
      </c>
      <c r="C17" s="35" t="s">
        <v>102</v>
      </c>
      <c r="D17" s="36"/>
      <c r="E17" s="8" t="s">
        <v>26</v>
      </c>
      <c r="F17" s="35">
        <v>418.2</v>
      </c>
      <c r="G17" s="35">
        <v>90</v>
      </c>
      <c r="H17" s="35" t="s">
        <v>157</v>
      </c>
      <c r="I17" s="35">
        <v>0</v>
      </c>
      <c r="J17" s="35">
        <v>0</v>
      </c>
      <c r="K17" s="35"/>
      <c r="L17" s="35">
        <v>0</v>
      </c>
      <c r="M17" s="35">
        <v>0</v>
      </c>
      <c r="N17" s="35"/>
      <c r="O17" s="35">
        <v>0</v>
      </c>
      <c r="P17" s="35">
        <v>0</v>
      </c>
      <c r="Q17" s="35"/>
      <c r="R17" s="37">
        <f t="shared" si="0"/>
        <v>0</v>
      </c>
      <c r="S17" s="38">
        <f t="shared" si="1"/>
        <v>0</v>
      </c>
    </row>
    <row r="18" spans="2:19" ht="18" x14ac:dyDescent="0.35">
      <c r="B18" s="34">
        <v>10</v>
      </c>
      <c r="C18" s="35" t="s">
        <v>102</v>
      </c>
      <c r="D18" s="36" t="s">
        <v>35</v>
      </c>
      <c r="E18" s="35">
        <v>98814</v>
      </c>
      <c r="F18" s="35">
        <v>304.8</v>
      </c>
      <c r="G18" s="35">
        <v>90</v>
      </c>
      <c r="H18" s="35" t="s">
        <v>175</v>
      </c>
      <c r="I18" s="35">
        <v>0</v>
      </c>
      <c r="J18" s="35">
        <v>0</v>
      </c>
      <c r="K18" s="35"/>
      <c r="L18" s="35">
        <v>0</v>
      </c>
      <c r="M18" s="35">
        <v>0</v>
      </c>
      <c r="N18" s="35"/>
      <c r="O18" s="35">
        <v>150</v>
      </c>
      <c r="P18" s="35">
        <v>100</v>
      </c>
      <c r="Q18" s="35"/>
      <c r="R18" s="37">
        <f t="shared" si="0"/>
        <v>150</v>
      </c>
      <c r="S18" s="38">
        <f t="shared" si="1"/>
        <v>100</v>
      </c>
    </row>
    <row r="19" spans="2:19" ht="18" x14ac:dyDescent="0.35">
      <c r="B19" s="34">
        <v>11</v>
      </c>
      <c r="C19" s="35" t="s">
        <v>102</v>
      </c>
      <c r="D19" s="36" t="s">
        <v>35</v>
      </c>
      <c r="E19" s="35">
        <v>98808</v>
      </c>
      <c r="F19" s="35">
        <v>418.2</v>
      </c>
      <c r="G19" s="35">
        <v>90</v>
      </c>
      <c r="H19" s="35" t="s">
        <v>175</v>
      </c>
      <c r="I19" s="35">
        <v>0</v>
      </c>
      <c r="J19" s="35">
        <v>0</v>
      </c>
      <c r="K19" s="35"/>
      <c r="L19" s="35">
        <v>0</v>
      </c>
      <c r="M19" s="35">
        <v>0</v>
      </c>
      <c r="N19" s="35"/>
      <c r="O19" s="35">
        <v>400</v>
      </c>
      <c r="P19" s="35">
        <v>400</v>
      </c>
      <c r="Q19" s="35"/>
      <c r="R19" s="37">
        <f t="shared" si="0"/>
        <v>400</v>
      </c>
      <c r="S19" s="38">
        <f t="shared" si="1"/>
        <v>400</v>
      </c>
    </row>
    <row r="20" spans="2:19" ht="18" x14ac:dyDescent="0.35">
      <c r="B20" s="34">
        <v>12</v>
      </c>
      <c r="C20" s="35" t="s">
        <v>102</v>
      </c>
      <c r="D20" s="36" t="s">
        <v>35</v>
      </c>
      <c r="E20" s="35">
        <v>98808</v>
      </c>
      <c r="F20" s="35">
        <v>76.2</v>
      </c>
      <c r="G20" s="35">
        <v>90</v>
      </c>
      <c r="H20" s="35" t="s">
        <v>154</v>
      </c>
      <c r="I20" s="35">
        <v>0</v>
      </c>
      <c r="J20" s="35">
        <v>0</v>
      </c>
      <c r="K20" s="35"/>
      <c r="L20" s="35">
        <v>300</v>
      </c>
      <c r="M20" s="35">
        <v>360</v>
      </c>
      <c r="N20" s="35"/>
      <c r="O20" s="35">
        <v>0</v>
      </c>
      <c r="P20" s="35">
        <v>0</v>
      </c>
      <c r="Q20" s="35"/>
      <c r="R20" s="37">
        <f t="shared" si="0"/>
        <v>300</v>
      </c>
      <c r="S20" s="38">
        <f t="shared" si="1"/>
        <v>360</v>
      </c>
    </row>
    <row r="21" spans="2:19" ht="18" x14ac:dyDescent="0.35">
      <c r="B21" s="34">
        <v>13</v>
      </c>
      <c r="C21" s="35" t="s">
        <v>109</v>
      </c>
      <c r="D21" s="36" t="s">
        <v>35</v>
      </c>
      <c r="E21" s="35">
        <v>98812</v>
      </c>
      <c r="F21" s="35">
        <v>292.10000000000002</v>
      </c>
      <c r="G21" s="35">
        <v>90</v>
      </c>
      <c r="H21" s="35" t="s">
        <v>110</v>
      </c>
      <c r="I21" s="35">
        <v>400</v>
      </c>
      <c r="J21" s="35">
        <v>312</v>
      </c>
      <c r="K21" s="35"/>
      <c r="L21" s="35">
        <v>150</v>
      </c>
      <c r="M21" s="35">
        <v>120</v>
      </c>
      <c r="N21" s="35"/>
      <c r="O21" s="35">
        <v>0</v>
      </c>
      <c r="P21" s="35">
        <v>0</v>
      </c>
      <c r="Q21" s="35"/>
      <c r="R21" s="37">
        <f t="shared" si="0"/>
        <v>550</v>
      </c>
      <c r="S21" s="38">
        <f t="shared" si="1"/>
        <v>432</v>
      </c>
    </row>
    <row r="22" spans="2:19" ht="18" x14ac:dyDescent="0.35">
      <c r="B22" s="34">
        <v>14</v>
      </c>
      <c r="C22" s="35" t="s">
        <v>111</v>
      </c>
      <c r="D22" s="36" t="s">
        <v>35</v>
      </c>
      <c r="E22" s="35">
        <v>98811</v>
      </c>
      <c r="F22" s="35">
        <v>63.5</v>
      </c>
      <c r="G22" s="40" t="s">
        <v>112</v>
      </c>
      <c r="H22" s="35" t="s">
        <v>155</v>
      </c>
      <c r="I22" s="35">
        <v>0</v>
      </c>
      <c r="J22" s="35">
        <v>0</v>
      </c>
      <c r="K22" s="35"/>
      <c r="L22" s="35">
        <v>0</v>
      </c>
      <c r="M22" s="35">
        <v>0</v>
      </c>
      <c r="N22" s="35"/>
      <c r="O22" s="35">
        <v>0</v>
      </c>
      <c r="P22" s="35">
        <v>0</v>
      </c>
      <c r="Q22" s="35"/>
      <c r="R22" s="37">
        <f t="shared" si="0"/>
        <v>0</v>
      </c>
      <c r="S22" s="38">
        <f t="shared" si="1"/>
        <v>0</v>
      </c>
    </row>
    <row r="23" spans="2:19" ht="18" x14ac:dyDescent="0.35">
      <c r="B23" s="34">
        <v>15</v>
      </c>
      <c r="C23" s="35" t="s">
        <v>111</v>
      </c>
      <c r="D23" s="36" t="s">
        <v>35</v>
      </c>
      <c r="E23" s="35">
        <v>2122</v>
      </c>
      <c r="F23" s="35" t="s">
        <v>92</v>
      </c>
      <c r="G23" s="40" t="s">
        <v>114</v>
      </c>
      <c r="H23" s="35" t="s">
        <v>115</v>
      </c>
      <c r="I23" s="35">
        <v>0</v>
      </c>
      <c r="J23" s="35">
        <v>0</v>
      </c>
      <c r="K23" s="35"/>
      <c r="L23" s="35">
        <v>230</v>
      </c>
      <c r="M23" s="35">
        <v>230</v>
      </c>
      <c r="N23" s="26"/>
      <c r="O23" s="35">
        <v>105</v>
      </c>
      <c r="P23" s="35">
        <v>105</v>
      </c>
      <c r="Q23" s="26"/>
      <c r="R23" s="37">
        <f t="shared" si="0"/>
        <v>335</v>
      </c>
      <c r="S23" s="38">
        <f t="shared" si="1"/>
        <v>335</v>
      </c>
    </row>
    <row r="24" spans="2:19" ht="18" x14ac:dyDescent="0.35">
      <c r="B24" s="34">
        <v>16</v>
      </c>
      <c r="C24" s="35" t="s">
        <v>116</v>
      </c>
      <c r="D24" s="36" t="s">
        <v>35</v>
      </c>
      <c r="E24" s="35">
        <v>98809</v>
      </c>
      <c r="F24" s="35">
        <v>152.4</v>
      </c>
      <c r="G24" s="40" t="s">
        <v>122</v>
      </c>
      <c r="H24" s="35" t="s">
        <v>154</v>
      </c>
      <c r="I24" s="35">
        <v>400</v>
      </c>
      <c r="J24" s="35">
        <v>300</v>
      </c>
      <c r="K24" s="35"/>
      <c r="L24" s="35">
        <v>611</v>
      </c>
      <c r="M24" s="35">
        <v>611</v>
      </c>
      <c r="N24" s="26"/>
      <c r="O24" s="35">
        <v>0</v>
      </c>
      <c r="P24" s="35">
        <v>0</v>
      </c>
      <c r="Q24" s="26"/>
      <c r="R24" s="37">
        <f t="shared" si="0"/>
        <v>1011</v>
      </c>
      <c r="S24" s="38">
        <f t="shared" si="1"/>
        <v>911</v>
      </c>
    </row>
    <row r="25" spans="2:19" ht="18" x14ac:dyDescent="0.35">
      <c r="B25" s="34">
        <v>17</v>
      </c>
      <c r="C25" s="35" t="s">
        <v>116</v>
      </c>
      <c r="D25" s="36" t="s">
        <v>35</v>
      </c>
      <c r="E25" s="35">
        <v>98809</v>
      </c>
      <c r="F25" s="35">
        <v>152.4</v>
      </c>
      <c r="G25" s="40" t="s">
        <v>122</v>
      </c>
      <c r="H25" s="35" t="s">
        <v>154</v>
      </c>
      <c r="I25" s="35">
        <v>0</v>
      </c>
      <c r="J25" s="35">
        <v>0</v>
      </c>
      <c r="K25" s="35"/>
      <c r="L25" s="35">
        <v>311</v>
      </c>
      <c r="M25" s="35">
        <v>311</v>
      </c>
      <c r="N25" s="26"/>
      <c r="O25" s="35">
        <v>0</v>
      </c>
      <c r="P25" s="35">
        <v>0</v>
      </c>
      <c r="Q25" s="26"/>
      <c r="R25" s="37">
        <f t="shared" si="0"/>
        <v>311</v>
      </c>
      <c r="S25" s="38">
        <f t="shared" si="1"/>
        <v>311</v>
      </c>
    </row>
    <row r="26" spans="2:19" ht="18" x14ac:dyDescent="0.35">
      <c r="B26" s="34">
        <v>18</v>
      </c>
      <c r="C26" s="35" t="s">
        <v>116</v>
      </c>
      <c r="D26" s="36" t="s">
        <v>35</v>
      </c>
      <c r="E26" s="35">
        <v>98808</v>
      </c>
      <c r="F26" s="35">
        <v>796.5</v>
      </c>
      <c r="G26" s="40" t="s">
        <v>123</v>
      </c>
      <c r="H26" s="35" t="s">
        <v>118</v>
      </c>
      <c r="I26" s="35">
        <v>376</v>
      </c>
      <c r="J26" s="35">
        <v>376</v>
      </c>
      <c r="K26" s="35"/>
      <c r="L26" s="35">
        <v>0</v>
      </c>
      <c r="M26" s="35">
        <v>0</v>
      </c>
      <c r="N26" s="26"/>
      <c r="O26" s="35">
        <v>0</v>
      </c>
      <c r="P26" s="35">
        <v>0</v>
      </c>
      <c r="Q26" s="26"/>
      <c r="R26" s="37">
        <f t="shared" si="0"/>
        <v>376</v>
      </c>
      <c r="S26" s="38">
        <f t="shared" si="1"/>
        <v>376</v>
      </c>
    </row>
    <row r="27" spans="2:19" ht="18" x14ac:dyDescent="0.35">
      <c r="B27" s="34">
        <v>19</v>
      </c>
      <c r="C27" s="35" t="s">
        <v>119</v>
      </c>
      <c r="D27" s="36" t="s">
        <v>35</v>
      </c>
      <c r="E27" s="35">
        <v>98808</v>
      </c>
      <c r="F27" s="35">
        <v>418.2</v>
      </c>
      <c r="G27" s="40" t="s">
        <v>122</v>
      </c>
      <c r="H27" s="35" t="s">
        <v>120</v>
      </c>
      <c r="I27" s="35">
        <v>600</v>
      </c>
      <c r="J27" s="35">
        <v>515</v>
      </c>
      <c r="K27" s="35"/>
      <c r="L27" s="35">
        <v>0</v>
      </c>
      <c r="M27" s="35">
        <v>0</v>
      </c>
      <c r="N27" s="26"/>
      <c r="O27" s="35">
        <v>0</v>
      </c>
      <c r="P27" s="35">
        <v>0</v>
      </c>
      <c r="Q27" s="26"/>
      <c r="R27" s="37">
        <f t="shared" si="0"/>
        <v>600</v>
      </c>
      <c r="S27" s="38">
        <f t="shared" si="1"/>
        <v>515</v>
      </c>
    </row>
    <row r="28" spans="2:19" ht="18" x14ac:dyDescent="0.35">
      <c r="B28" s="34">
        <v>20</v>
      </c>
      <c r="C28" s="35" t="s">
        <v>176</v>
      </c>
      <c r="D28" s="36" t="s">
        <v>35</v>
      </c>
      <c r="E28" s="35">
        <v>98808</v>
      </c>
      <c r="F28" s="35">
        <v>428.75</v>
      </c>
      <c r="G28" s="40" t="s">
        <v>122</v>
      </c>
      <c r="H28" s="35" t="s">
        <v>118</v>
      </c>
      <c r="I28" s="35">
        <v>0</v>
      </c>
      <c r="J28" s="35">
        <v>0</v>
      </c>
      <c r="K28" s="35"/>
      <c r="L28" s="35">
        <v>0</v>
      </c>
      <c r="M28" s="35">
        <v>0</v>
      </c>
      <c r="N28" s="26"/>
      <c r="O28" s="35">
        <v>574</v>
      </c>
      <c r="P28" s="35">
        <v>574</v>
      </c>
      <c r="Q28" s="26"/>
      <c r="R28" s="37">
        <f t="shared" si="0"/>
        <v>574</v>
      </c>
      <c r="S28" s="38">
        <f t="shared" si="1"/>
        <v>574</v>
      </c>
    </row>
    <row r="29" spans="2:19" ht="18" x14ac:dyDescent="0.35">
      <c r="B29" s="34">
        <v>21</v>
      </c>
      <c r="C29" s="35" t="s">
        <v>121</v>
      </c>
      <c r="D29" s="36" t="s">
        <v>35</v>
      </c>
      <c r="E29" s="35">
        <v>98808</v>
      </c>
      <c r="F29" s="35">
        <v>428.75</v>
      </c>
      <c r="G29" s="40" t="s">
        <v>117</v>
      </c>
      <c r="H29" s="35" t="s">
        <v>118</v>
      </c>
      <c r="I29" s="35">
        <v>350</v>
      </c>
      <c r="J29" s="35">
        <v>290</v>
      </c>
      <c r="K29" s="35"/>
      <c r="L29" s="35">
        <v>0</v>
      </c>
      <c r="M29" s="35">
        <v>0</v>
      </c>
      <c r="N29" s="35"/>
      <c r="O29" s="35">
        <v>574</v>
      </c>
      <c r="P29" s="35">
        <v>574</v>
      </c>
      <c r="Q29" s="26"/>
      <c r="R29" s="37">
        <f t="shared" si="0"/>
        <v>924</v>
      </c>
      <c r="S29" s="38">
        <f t="shared" si="1"/>
        <v>864</v>
      </c>
    </row>
    <row r="30" spans="2:19" ht="18" x14ac:dyDescent="0.35">
      <c r="B30" s="34">
        <v>22</v>
      </c>
      <c r="C30" s="35" t="s">
        <v>121</v>
      </c>
      <c r="D30" s="36" t="s">
        <v>35</v>
      </c>
      <c r="E30" s="35">
        <v>2123</v>
      </c>
      <c r="F30" s="35"/>
      <c r="G30" s="40" t="s">
        <v>123</v>
      </c>
      <c r="H30" s="35" t="s">
        <v>118</v>
      </c>
      <c r="I30" s="35">
        <v>0</v>
      </c>
      <c r="J30" s="35">
        <v>0</v>
      </c>
      <c r="K30" s="35"/>
      <c r="L30" s="35">
        <v>118</v>
      </c>
      <c r="M30" s="35">
        <v>118</v>
      </c>
      <c r="N30" s="35"/>
      <c r="O30" s="35">
        <v>0</v>
      </c>
      <c r="P30" s="35">
        <v>0</v>
      </c>
      <c r="Q30" s="26"/>
      <c r="R30" s="37">
        <f t="shared" si="0"/>
        <v>118</v>
      </c>
      <c r="S30" s="38">
        <f t="shared" si="1"/>
        <v>118</v>
      </c>
    </row>
    <row r="31" spans="2:19" ht="24" customHeight="1" x14ac:dyDescent="0.35">
      <c r="B31" s="34">
        <v>23</v>
      </c>
      <c r="C31" s="37" t="s">
        <v>124</v>
      </c>
      <c r="D31" s="36" t="s">
        <v>35</v>
      </c>
      <c r="E31" s="37">
        <v>2191</v>
      </c>
      <c r="F31" s="37"/>
      <c r="G31" s="41" t="s">
        <v>126</v>
      </c>
      <c r="H31" s="26"/>
      <c r="I31" s="35">
        <v>120</v>
      </c>
      <c r="J31" s="35">
        <v>115</v>
      </c>
      <c r="K31" s="26"/>
      <c r="L31" s="35">
        <v>60</v>
      </c>
      <c r="M31" s="35">
        <v>60</v>
      </c>
      <c r="N31" s="35"/>
      <c r="O31" s="35">
        <v>160</v>
      </c>
      <c r="P31" s="35">
        <v>160</v>
      </c>
      <c r="Q31" s="26"/>
      <c r="R31" s="37">
        <f t="shared" si="0"/>
        <v>340</v>
      </c>
      <c r="S31" s="38">
        <f t="shared" si="1"/>
        <v>335</v>
      </c>
    </row>
    <row r="32" spans="2:19" ht="24" customHeight="1" x14ac:dyDescent="0.35">
      <c r="B32" s="34">
        <v>24</v>
      </c>
      <c r="C32" s="37" t="s">
        <v>124</v>
      </c>
      <c r="D32" s="36" t="s">
        <v>35</v>
      </c>
      <c r="E32" s="37">
        <v>2191</v>
      </c>
      <c r="F32" s="37"/>
      <c r="G32" s="41" t="s">
        <v>174</v>
      </c>
      <c r="H32" s="26"/>
      <c r="I32" s="35">
        <v>110</v>
      </c>
      <c r="J32" s="35">
        <v>110</v>
      </c>
      <c r="K32" s="26"/>
      <c r="L32" s="35">
        <v>120</v>
      </c>
      <c r="M32" s="35">
        <v>120</v>
      </c>
      <c r="N32" s="35"/>
      <c r="O32" s="35">
        <v>0</v>
      </c>
      <c r="P32" s="35">
        <v>0</v>
      </c>
      <c r="Q32" s="26"/>
      <c r="R32" s="37">
        <f t="shared" si="0"/>
        <v>230</v>
      </c>
      <c r="S32" s="38">
        <f t="shared" si="1"/>
        <v>230</v>
      </c>
    </row>
    <row r="33" spans="2:19" ht="18" x14ac:dyDescent="0.35">
      <c r="B33" s="34">
        <v>25</v>
      </c>
      <c r="C33" s="37" t="s">
        <v>124</v>
      </c>
      <c r="D33" s="36" t="s">
        <v>35</v>
      </c>
      <c r="E33" s="37">
        <v>2122</v>
      </c>
      <c r="F33" s="37"/>
      <c r="G33" s="41" t="s">
        <v>127</v>
      </c>
      <c r="H33" s="26"/>
      <c r="I33" s="35">
        <v>160</v>
      </c>
      <c r="J33" s="35">
        <v>130</v>
      </c>
      <c r="K33" s="26"/>
      <c r="L33" s="35">
        <v>0</v>
      </c>
      <c r="M33" s="35">
        <v>0</v>
      </c>
      <c r="N33" s="35"/>
      <c r="O33" s="35">
        <v>0</v>
      </c>
      <c r="P33" s="35">
        <v>0</v>
      </c>
      <c r="Q33" s="26"/>
      <c r="R33" s="37">
        <f t="shared" si="0"/>
        <v>160</v>
      </c>
      <c r="S33" s="38">
        <f t="shared" si="1"/>
        <v>130</v>
      </c>
    </row>
    <row r="34" spans="2:19" ht="18" x14ac:dyDescent="0.35">
      <c r="B34" s="34">
        <v>26</v>
      </c>
      <c r="C34" s="37" t="s">
        <v>124</v>
      </c>
      <c r="D34" s="36" t="s">
        <v>35</v>
      </c>
      <c r="E34" s="37">
        <v>2122</v>
      </c>
      <c r="F34" s="37"/>
      <c r="G34" s="41" t="s">
        <v>128</v>
      </c>
      <c r="H34" s="26"/>
      <c r="I34" s="35">
        <v>0</v>
      </c>
      <c r="J34" s="35">
        <v>0</v>
      </c>
      <c r="K34" s="26"/>
      <c r="L34" s="35">
        <v>0</v>
      </c>
      <c r="M34" s="35">
        <v>0</v>
      </c>
      <c r="N34" s="26"/>
      <c r="O34" s="35">
        <v>150</v>
      </c>
      <c r="P34" s="35">
        <v>150</v>
      </c>
      <c r="Q34" s="26"/>
      <c r="R34" s="37">
        <f t="shared" si="0"/>
        <v>150</v>
      </c>
      <c r="S34" s="38">
        <f t="shared" si="1"/>
        <v>150</v>
      </c>
    </row>
    <row r="35" spans="2:19" ht="18" x14ac:dyDescent="0.35">
      <c r="B35" s="34">
        <v>27</v>
      </c>
      <c r="C35" s="37" t="s">
        <v>124</v>
      </c>
      <c r="D35" s="36" t="s">
        <v>35</v>
      </c>
      <c r="E35" s="37">
        <v>2123</v>
      </c>
      <c r="F35" s="37"/>
      <c r="G35" s="41" t="s">
        <v>127</v>
      </c>
      <c r="H35" s="26"/>
      <c r="I35" s="35">
        <v>0</v>
      </c>
      <c r="J35" s="35">
        <v>0</v>
      </c>
      <c r="K35" s="26"/>
      <c r="L35" s="35">
        <v>0</v>
      </c>
      <c r="M35" s="35">
        <v>0</v>
      </c>
      <c r="N35" s="26"/>
      <c r="O35" s="35">
        <v>130</v>
      </c>
      <c r="P35" s="35">
        <v>128</v>
      </c>
      <c r="Q35" s="26"/>
      <c r="R35" s="37">
        <f t="shared" si="0"/>
        <v>130</v>
      </c>
      <c r="S35" s="38">
        <f t="shared" si="1"/>
        <v>128</v>
      </c>
    </row>
    <row r="36" spans="2:19" ht="18" x14ac:dyDescent="0.35">
      <c r="B36" s="34">
        <v>28</v>
      </c>
      <c r="C36" s="37" t="s">
        <v>124</v>
      </c>
      <c r="D36" s="36" t="s">
        <v>35</v>
      </c>
      <c r="E36" s="37">
        <v>2123</v>
      </c>
      <c r="F36" s="37"/>
      <c r="G36" s="41" t="s">
        <v>129</v>
      </c>
      <c r="H36" s="26"/>
      <c r="I36" s="35">
        <v>0</v>
      </c>
      <c r="J36" s="35">
        <v>0</v>
      </c>
      <c r="K36" s="26"/>
      <c r="L36" s="35">
        <v>0</v>
      </c>
      <c r="M36" s="35">
        <v>0</v>
      </c>
      <c r="N36" s="26"/>
      <c r="O36" s="35">
        <v>0</v>
      </c>
      <c r="P36" s="35">
        <v>0</v>
      </c>
      <c r="Q36" s="26"/>
      <c r="R36" s="37">
        <f t="shared" si="0"/>
        <v>0</v>
      </c>
      <c r="S36" s="38">
        <f t="shared" si="1"/>
        <v>0</v>
      </c>
    </row>
    <row r="37" spans="2:19" ht="18" x14ac:dyDescent="0.35">
      <c r="B37" s="34">
        <v>29</v>
      </c>
      <c r="C37" s="37" t="s">
        <v>161</v>
      </c>
      <c r="D37" s="36" t="s">
        <v>35</v>
      </c>
      <c r="E37" s="37">
        <v>2123</v>
      </c>
      <c r="F37" s="37"/>
      <c r="G37" s="41"/>
      <c r="H37" s="26"/>
      <c r="I37" s="35">
        <v>0</v>
      </c>
      <c r="J37" s="35">
        <v>0</v>
      </c>
      <c r="K37" s="26"/>
      <c r="L37" s="35">
        <v>0</v>
      </c>
      <c r="M37" s="35">
        <v>0</v>
      </c>
      <c r="N37" s="26"/>
      <c r="O37" s="35">
        <v>0</v>
      </c>
      <c r="P37" s="35">
        <v>0</v>
      </c>
      <c r="Q37" s="26"/>
      <c r="R37" s="37">
        <f t="shared" si="0"/>
        <v>0</v>
      </c>
      <c r="S37" s="38">
        <f t="shared" si="1"/>
        <v>0</v>
      </c>
    </row>
    <row r="38" spans="2:19" ht="18" x14ac:dyDescent="0.35">
      <c r="B38" s="34">
        <v>30</v>
      </c>
      <c r="C38" s="37" t="s">
        <v>131</v>
      </c>
      <c r="D38" s="36" t="s">
        <v>35</v>
      </c>
      <c r="E38" s="37">
        <v>2123</v>
      </c>
      <c r="F38" s="37"/>
      <c r="G38" s="41" t="s">
        <v>128</v>
      </c>
      <c r="H38" s="26"/>
      <c r="I38" s="35">
        <v>0</v>
      </c>
      <c r="J38" s="35">
        <v>0</v>
      </c>
      <c r="K38" s="26"/>
      <c r="L38" s="35">
        <v>0</v>
      </c>
      <c r="M38" s="35">
        <v>0</v>
      </c>
      <c r="N38" s="26"/>
      <c r="O38" s="35">
        <v>0</v>
      </c>
      <c r="P38" s="35">
        <v>0</v>
      </c>
      <c r="Q38" s="26"/>
      <c r="R38" s="37">
        <f t="shared" si="0"/>
        <v>0</v>
      </c>
      <c r="S38" s="38">
        <f t="shared" si="1"/>
        <v>0</v>
      </c>
    </row>
    <row r="39" spans="2:19" ht="18" x14ac:dyDescent="0.35">
      <c r="B39" s="34">
        <v>31</v>
      </c>
      <c r="C39" s="37" t="s">
        <v>162</v>
      </c>
      <c r="D39" s="42" t="s">
        <v>35</v>
      </c>
      <c r="E39" s="37">
        <v>98814</v>
      </c>
      <c r="F39" s="37">
        <v>304.8</v>
      </c>
      <c r="G39" s="41" t="s">
        <v>10</v>
      </c>
      <c r="H39" s="26"/>
      <c r="I39" s="35">
        <v>0</v>
      </c>
      <c r="J39" s="35">
        <v>0</v>
      </c>
      <c r="K39" s="26"/>
      <c r="L39" s="35">
        <v>0</v>
      </c>
      <c r="M39" s="35">
        <v>0</v>
      </c>
      <c r="N39" s="26"/>
      <c r="O39" s="35">
        <v>0</v>
      </c>
      <c r="P39" s="35">
        <v>0</v>
      </c>
      <c r="Q39" s="26"/>
      <c r="R39" s="37">
        <f t="shared" si="0"/>
        <v>0</v>
      </c>
      <c r="S39" s="38">
        <f t="shared" si="1"/>
        <v>0</v>
      </c>
    </row>
    <row r="40" spans="2:19" ht="18" x14ac:dyDescent="0.35">
      <c r="B40" s="34">
        <v>32</v>
      </c>
      <c r="C40" s="37" t="s">
        <v>39</v>
      </c>
      <c r="D40" s="42" t="s">
        <v>35</v>
      </c>
      <c r="E40" s="37">
        <v>98814</v>
      </c>
      <c r="F40" s="37">
        <v>304.8</v>
      </c>
      <c r="G40" s="41" t="s">
        <v>39</v>
      </c>
      <c r="H40" s="37" t="s">
        <v>96</v>
      </c>
      <c r="I40" s="35">
        <v>0</v>
      </c>
      <c r="J40" s="35">
        <v>0</v>
      </c>
      <c r="K40" s="37"/>
      <c r="L40" s="35">
        <v>100</v>
      </c>
      <c r="M40" s="35">
        <v>90</v>
      </c>
      <c r="N40" s="23"/>
      <c r="O40" s="35">
        <v>220</v>
      </c>
      <c r="P40" s="35">
        <v>190</v>
      </c>
      <c r="Q40" s="23"/>
      <c r="R40" s="37">
        <f t="shared" si="0"/>
        <v>320</v>
      </c>
      <c r="S40" s="38">
        <f>J40+M40+P40</f>
        <v>280</v>
      </c>
    </row>
    <row r="41" spans="2:19" ht="18" x14ac:dyDescent="0.35">
      <c r="B41" s="34">
        <v>33</v>
      </c>
      <c r="C41" s="37" t="s">
        <v>132</v>
      </c>
      <c r="D41" s="42" t="s">
        <v>172</v>
      </c>
      <c r="E41" s="37">
        <v>86805</v>
      </c>
      <c r="F41" s="37"/>
      <c r="G41" s="41" t="s">
        <v>12</v>
      </c>
      <c r="H41" s="37" t="s">
        <v>173</v>
      </c>
      <c r="I41" s="35">
        <v>0</v>
      </c>
      <c r="J41" s="35">
        <v>0</v>
      </c>
      <c r="K41" s="37"/>
      <c r="L41" s="35">
        <v>0</v>
      </c>
      <c r="M41" s="35">
        <v>0</v>
      </c>
      <c r="N41" s="26"/>
      <c r="O41" s="35">
        <v>46</v>
      </c>
      <c r="P41" s="35">
        <v>46</v>
      </c>
      <c r="Q41" s="26"/>
      <c r="R41" s="37">
        <f t="shared" si="0"/>
        <v>46</v>
      </c>
      <c r="S41" s="38">
        <f t="shared" si="1"/>
        <v>46</v>
      </c>
    </row>
    <row r="42" spans="2:19" ht="18" x14ac:dyDescent="0.35">
      <c r="B42" s="34">
        <v>34</v>
      </c>
      <c r="C42" s="37" t="s">
        <v>158</v>
      </c>
      <c r="D42" s="42" t="s">
        <v>35</v>
      </c>
      <c r="E42" s="37">
        <v>98815</v>
      </c>
      <c r="F42" s="37">
        <v>406.4</v>
      </c>
      <c r="G42" s="41" t="s">
        <v>135</v>
      </c>
      <c r="H42" s="37" t="s">
        <v>133</v>
      </c>
      <c r="I42" s="37">
        <v>480</v>
      </c>
      <c r="J42" s="37">
        <v>480</v>
      </c>
      <c r="K42" s="37"/>
      <c r="L42" s="35">
        <v>300</v>
      </c>
      <c r="M42" s="35">
        <v>260</v>
      </c>
      <c r="N42" s="26"/>
      <c r="O42" s="35">
        <v>257</v>
      </c>
      <c r="P42" s="35">
        <v>257</v>
      </c>
      <c r="Q42" s="26"/>
      <c r="R42" s="37">
        <f t="shared" si="0"/>
        <v>1037</v>
      </c>
      <c r="S42" s="38">
        <f t="shared" si="1"/>
        <v>997</v>
      </c>
    </row>
    <row r="43" spans="2:19" ht="18" x14ac:dyDescent="0.35">
      <c r="B43" s="34">
        <v>35</v>
      </c>
      <c r="C43" s="37" t="s">
        <v>170</v>
      </c>
      <c r="D43" s="42" t="s">
        <v>35</v>
      </c>
      <c r="E43" s="37">
        <v>98815</v>
      </c>
      <c r="F43" s="37">
        <v>406.4</v>
      </c>
      <c r="G43" s="41" t="s">
        <v>159</v>
      </c>
      <c r="H43" s="37" t="s">
        <v>133</v>
      </c>
      <c r="I43" s="37">
        <v>480</v>
      </c>
      <c r="J43" s="37">
        <v>480</v>
      </c>
      <c r="K43" s="37"/>
      <c r="L43" s="35">
        <v>300</v>
      </c>
      <c r="M43" s="35">
        <v>246</v>
      </c>
      <c r="N43" s="26"/>
      <c r="O43" s="35">
        <v>0</v>
      </c>
      <c r="P43" s="35">
        <v>0</v>
      </c>
      <c r="Q43" s="26"/>
      <c r="R43" s="37">
        <f t="shared" si="0"/>
        <v>780</v>
      </c>
      <c r="S43" s="38">
        <f t="shared" si="1"/>
        <v>726</v>
      </c>
    </row>
    <row r="44" spans="2:19" ht="18" x14ac:dyDescent="0.35">
      <c r="B44" s="34">
        <v>36</v>
      </c>
      <c r="C44" s="37" t="s">
        <v>171</v>
      </c>
      <c r="D44" s="42" t="s">
        <v>141</v>
      </c>
      <c r="E44" s="37">
        <v>82527</v>
      </c>
      <c r="F44" s="37">
        <v>155</v>
      </c>
      <c r="G44" s="41" t="s">
        <v>142</v>
      </c>
      <c r="H44" s="37" t="s">
        <v>96</v>
      </c>
      <c r="I44" s="35">
        <v>0</v>
      </c>
      <c r="J44" s="35">
        <v>0</v>
      </c>
      <c r="K44" s="37"/>
      <c r="L44" s="35">
        <v>0</v>
      </c>
      <c r="M44" s="35">
        <v>0</v>
      </c>
      <c r="N44" s="26"/>
      <c r="O44" s="35">
        <v>0</v>
      </c>
      <c r="P44" s="35">
        <v>0</v>
      </c>
      <c r="Q44" s="26"/>
      <c r="R44" s="37">
        <f t="shared" si="0"/>
        <v>0</v>
      </c>
      <c r="S44" s="38">
        <f t="shared" si="1"/>
        <v>0</v>
      </c>
    </row>
    <row r="45" spans="2:19" ht="18" x14ac:dyDescent="0.35">
      <c r="B45" s="34">
        <v>37</v>
      </c>
      <c r="C45" s="37" t="s">
        <v>143</v>
      </c>
      <c r="D45" s="42" t="s">
        <v>144</v>
      </c>
      <c r="E45" s="37">
        <v>83572</v>
      </c>
      <c r="F45" s="37">
        <v>967.65</v>
      </c>
      <c r="G45" s="41" t="s">
        <v>145</v>
      </c>
      <c r="H45" s="37" t="s">
        <v>136</v>
      </c>
      <c r="I45" s="35">
        <v>0</v>
      </c>
      <c r="J45" s="35">
        <v>0</v>
      </c>
      <c r="K45" s="37"/>
      <c r="L45" s="35">
        <v>0</v>
      </c>
      <c r="M45" s="35">
        <v>0</v>
      </c>
      <c r="N45" s="35"/>
      <c r="O45" s="35">
        <v>0</v>
      </c>
      <c r="P45" s="35">
        <v>0</v>
      </c>
      <c r="Q45" s="26"/>
      <c r="R45" s="37">
        <f t="shared" si="0"/>
        <v>0</v>
      </c>
      <c r="S45" s="38">
        <f t="shared" si="1"/>
        <v>0</v>
      </c>
    </row>
    <row r="46" spans="2:19" ht="18" x14ac:dyDescent="0.35">
      <c r="B46" s="34">
        <v>38</v>
      </c>
      <c r="C46" s="37" t="s">
        <v>146</v>
      </c>
      <c r="D46" s="42" t="s">
        <v>144</v>
      </c>
      <c r="E46" s="37">
        <v>83834</v>
      </c>
      <c r="F46" s="37">
        <v>898.89</v>
      </c>
      <c r="G46" s="41" t="s">
        <v>147</v>
      </c>
      <c r="H46" s="37" t="s">
        <v>96</v>
      </c>
      <c r="I46" s="35">
        <v>0</v>
      </c>
      <c r="J46" s="35">
        <v>0</v>
      </c>
      <c r="K46" s="37"/>
      <c r="L46" s="35">
        <v>0</v>
      </c>
      <c r="M46" s="35">
        <v>0</v>
      </c>
      <c r="N46" s="35"/>
      <c r="O46" s="35">
        <v>0</v>
      </c>
      <c r="P46" s="35">
        <v>0</v>
      </c>
      <c r="Q46" s="26"/>
      <c r="R46" s="37">
        <f t="shared" si="0"/>
        <v>0</v>
      </c>
      <c r="S46" s="38">
        <f>J46+M46+P46</f>
        <v>0</v>
      </c>
    </row>
    <row r="47" spans="2:19" ht="36" x14ac:dyDescent="0.35">
      <c r="B47" s="34">
        <v>39</v>
      </c>
      <c r="C47" s="43" t="s">
        <v>148</v>
      </c>
      <c r="D47" s="36" t="s">
        <v>167</v>
      </c>
      <c r="E47" s="35">
        <v>93293</v>
      </c>
      <c r="F47" s="35">
        <v>16.2</v>
      </c>
      <c r="G47" s="40" t="s">
        <v>169</v>
      </c>
      <c r="H47" s="35" t="s">
        <v>104</v>
      </c>
      <c r="I47" s="35">
        <v>4800</v>
      </c>
      <c r="J47" s="35">
        <v>4150</v>
      </c>
      <c r="K47" s="37"/>
      <c r="L47" s="35">
        <v>4500</v>
      </c>
      <c r="M47" s="35">
        <v>4300</v>
      </c>
      <c r="N47" s="35"/>
      <c r="O47" s="35">
        <v>4800</v>
      </c>
      <c r="P47" s="35">
        <v>4800</v>
      </c>
      <c r="Q47" s="35" t="s">
        <v>165</v>
      </c>
      <c r="R47" s="37">
        <f t="shared" si="0"/>
        <v>14100</v>
      </c>
      <c r="S47" s="38">
        <f t="shared" si="1"/>
        <v>13250</v>
      </c>
    </row>
    <row r="48" spans="2:19" ht="36" x14ac:dyDescent="0.35">
      <c r="B48" s="34">
        <v>40</v>
      </c>
      <c r="C48" s="43" t="s">
        <v>148</v>
      </c>
      <c r="D48" s="36" t="s">
        <v>167</v>
      </c>
      <c r="E48" s="35">
        <v>93290</v>
      </c>
      <c r="F48" s="35">
        <v>2382</v>
      </c>
      <c r="G48" s="40" t="s">
        <v>150</v>
      </c>
      <c r="H48" s="35" t="s">
        <v>113</v>
      </c>
      <c r="I48" s="35">
        <v>0</v>
      </c>
      <c r="J48" s="35">
        <v>0</v>
      </c>
      <c r="K48" s="35" t="s">
        <v>168</v>
      </c>
      <c r="L48" s="35">
        <v>2500</v>
      </c>
      <c r="M48" s="35">
        <v>2225</v>
      </c>
      <c r="N48" s="35"/>
      <c r="O48" s="35">
        <v>3000</v>
      </c>
      <c r="P48" s="35">
        <v>2419</v>
      </c>
      <c r="Q48" s="26"/>
      <c r="R48" s="37">
        <f t="shared" si="0"/>
        <v>5500</v>
      </c>
      <c r="S48" s="38">
        <f t="shared" si="1"/>
        <v>4644</v>
      </c>
    </row>
    <row r="49" spans="2:19" ht="35.25" customHeight="1" x14ac:dyDescent="0.35">
      <c r="B49" s="34">
        <v>41</v>
      </c>
      <c r="C49" s="43" t="s">
        <v>151</v>
      </c>
      <c r="D49" s="36" t="s">
        <v>167</v>
      </c>
      <c r="E49" s="35">
        <v>93292</v>
      </c>
      <c r="F49" s="35">
        <v>1134</v>
      </c>
      <c r="G49" s="40" t="s">
        <v>150</v>
      </c>
      <c r="H49" s="35" t="s">
        <v>113</v>
      </c>
      <c r="I49" s="35">
        <v>3000</v>
      </c>
      <c r="J49" s="35">
        <v>2553</v>
      </c>
      <c r="K49" s="37"/>
      <c r="L49" s="35">
        <v>2000</v>
      </c>
      <c r="M49" s="35">
        <v>1822</v>
      </c>
      <c r="N49" s="35"/>
      <c r="O49" s="35">
        <v>0</v>
      </c>
      <c r="P49" s="35">
        <v>0</v>
      </c>
      <c r="Q49" s="26"/>
      <c r="R49" s="37">
        <f>O49+L49+I49</f>
        <v>5000</v>
      </c>
      <c r="S49" s="38">
        <f t="shared" si="1"/>
        <v>4375</v>
      </c>
    </row>
    <row r="50" spans="2:19" x14ac:dyDescent="0.3">
      <c r="B50" s="46">
        <f>SUM(B9:B49)/SUM($B$9:$B$49)</f>
        <v>1</v>
      </c>
    </row>
    <row r="51" spans="2:19" ht="17.399999999999999" x14ac:dyDescent="0.3">
      <c r="D51" s="45" t="s">
        <v>160</v>
      </c>
    </row>
  </sheetData>
  <autoFilter ref="B8:S51" xr:uid="{00000000-0009-0000-0000-000003000000}"/>
  <mergeCells count="12">
    <mergeCell ref="R7:R8"/>
    <mergeCell ref="S7:S8"/>
    <mergeCell ref="B2:S4"/>
    <mergeCell ref="B7:B8"/>
    <mergeCell ref="C7:C8"/>
    <mergeCell ref="D7:D8"/>
    <mergeCell ref="E7:E8"/>
    <mergeCell ref="F7:F8"/>
    <mergeCell ref="G7:G8"/>
    <mergeCell ref="L7:N7"/>
    <mergeCell ref="O7:Q7"/>
    <mergeCell ref="I7:K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8"/>
  <sheetViews>
    <sheetView topLeftCell="B1" workbookViewId="0">
      <selection activeCell="T10" sqref="T10"/>
    </sheetView>
  </sheetViews>
  <sheetFormatPr defaultRowHeight="14.4" x14ac:dyDescent="0.3"/>
  <sheetData>
    <row r="1" spans="1:18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8" t="s">
        <v>76</v>
      </c>
      <c r="P5" s="29">
        <v>46068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56" t="s">
        <v>83</v>
      </c>
      <c r="L6" s="56"/>
      <c r="M6" s="56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91</v>
      </c>
      <c r="C8" s="36" t="s">
        <v>35</v>
      </c>
      <c r="D8" s="35">
        <v>98812</v>
      </c>
      <c r="E8" s="35">
        <v>292.10000000000002</v>
      </c>
      <c r="F8" s="35" t="s">
        <v>92</v>
      </c>
      <c r="G8" s="35" t="s">
        <v>93</v>
      </c>
      <c r="H8" s="35">
        <v>0</v>
      </c>
      <c r="I8" s="35">
        <v>0</v>
      </c>
      <c r="J8" s="35"/>
      <c r="K8" s="35">
        <v>0</v>
      </c>
      <c r="L8" s="35">
        <v>0</v>
      </c>
      <c r="M8" s="35"/>
      <c r="N8" s="35">
        <v>0</v>
      </c>
      <c r="O8" s="35">
        <v>0</v>
      </c>
      <c r="P8" s="35"/>
      <c r="Q8" s="37">
        <f>N8+K8+H8</f>
        <v>0</v>
      </c>
      <c r="R8" s="38">
        <f>I8+L8+O8</f>
        <v>0</v>
      </c>
    </row>
    <row r="9" spans="1:18" ht="18" x14ac:dyDescent="0.35">
      <c r="A9" s="34">
        <v>2</v>
      </c>
      <c r="B9" s="35" t="s">
        <v>94</v>
      </c>
      <c r="C9" s="36" t="s">
        <v>35</v>
      </c>
      <c r="D9" s="35">
        <v>98808</v>
      </c>
      <c r="E9" s="35">
        <v>428.75</v>
      </c>
      <c r="F9" s="35" t="s">
        <v>92</v>
      </c>
      <c r="G9" s="35" t="s">
        <v>133</v>
      </c>
      <c r="H9" s="35">
        <v>0</v>
      </c>
      <c r="I9" s="35">
        <v>0</v>
      </c>
      <c r="J9" s="35"/>
      <c r="K9" s="35">
        <v>400</v>
      </c>
      <c r="L9" s="35">
        <v>355</v>
      </c>
      <c r="M9" s="35"/>
      <c r="N9" s="35">
        <v>500</v>
      </c>
      <c r="O9" s="35">
        <v>450</v>
      </c>
      <c r="P9" s="35"/>
      <c r="Q9" s="37">
        <f t="shared" ref="Q9:Q47" si="0">N9+K9+H9</f>
        <v>900</v>
      </c>
      <c r="R9" s="38">
        <f t="shared" ref="R9:R48" si="1">I9+L9+O9</f>
        <v>805</v>
      </c>
    </row>
    <row r="10" spans="1:18" ht="18" x14ac:dyDescent="0.35">
      <c r="A10" s="34">
        <v>3</v>
      </c>
      <c r="B10" s="35" t="s">
        <v>94</v>
      </c>
      <c r="C10" s="36" t="s">
        <v>35</v>
      </c>
      <c r="D10" s="35">
        <v>98809</v>
      </c>
      <c r="E10" s="35">
        <v>152.4</v>
      </c>
      <c r="F10" s="35" t="s">
        <v>92</v>
      </c>
      <c r="G10" s="35" t="s">
        <v>120</v>
      </c>
      <c r="H10" s="35">
        <v>0</v>
      </c>
      <c r="I10" s="35">
        <v>0</v>
      </c>
      <c r="J10" s="35"/>
      <c r="K10" s="35">
        <v>0</v>
      </c>
      <c r="L10" s="35">
        <v>0</v>
      </c>
      <c r="M10" s="35"/>
      <c r="N10" s="35">
        <v>0</v>
      </c>
      <c r="O10" s="35">
        <v>0</v>
      </c>
      <c r="P10" s="35"/>
      <c r="Q10" s="37">
        <f t="shared" si="0"/>
        <v>0</v>
      </c>
      <c r="R10" s="38">
        <f t="shared" si="1"/>
        <v>0</v>
      </c>
    </row>
    <row r="11" spans="1:18" ht="18" x14ac:dyDescent="0.35">
      <c r="A11" s="34">
        <v>4</v>
      </c>
      <c r="B11" s="35" t="s">
        <v>102</v>
      </c>
      <c r="C11" s="36" t="s">
        <v>35</v>
      </c>
      <c r="D11" s="35">
        <v>98808</v>
      </c>
      <c r="E11" s="35">
        <v>76.2</v>
      </c>
      <c r="F11" s="35" t="s">
        <v>92</v>
      </c>
      <c r="G11" s="35" t="s">
        <v>154</v>
      </c>
      <c r="H11" s="35">
        <v>350</v>
      </c>
      <c r="I11" s="35">
        <v>268</v>
      </c>
      <c r="J11" s="35"/>
      <c r="K11" s="35">
        <v>0</v>
      </c>
      <c r="L11" s="35">
        <v>0</v>
      </c>
      <c r="M11" s="35"/>
      <c r="N11" s="35">
        <v>0</v>
      </c>
      <c r="O11" s="35">
        <v>0</v>
      </c>
      <c r="P11" s="35"/>
      <c r="Q11" s="37">
        <f t="shared" si="0"/>
        <v>350</v>
      </c>
      <c r="R11" s="38">
        <f t="shared" si="1"/>
        <v>268</v>
      </c>
    </row>
    <row r="12" spans="1:18" ht="18" x14ac:dyDescent="0.35">
      <c r="A12" s="34">
        <v>5</v>
      </c>
      <c r="B12" s="35" t="s">
        <v>166</v>
      </c>
      <c r="C12" s="36"/>
      <c r="D12" s="35">
        <v>86308</v>
      </c>
      <c r="E12" s="35">
        <v>55.88</v>
      </c>
      <c r="F12" s="35"/>
      <c r="G12" s="35" t="s">
        <v>96</v>
      </c>
      <c r="H12" s="35">
        <v>0</v>
      </c>
      <c r="I12" s="35">
        <v>0</v>
      </c>
      <c r="J12" s="35"/>
      <c r="K12" s="35">
        <v>0</v>
      </c>
      <c r="L12" s="35">
        <v>0</v>
      </c>
      <c r="M12" s="35"/>
      <c r="N12" s="35">
        <v>0</v>
      </c>
      <c r="O12" s="35">
        <v>0</v>
      </c>
      <c r="P12" s="35"/>
      <c r="Q12" s="37">
        <f t="shared" si="0"/>
        <v>0</v>
      </c>
      <c r="R12" s="38">
        <f t="shared" si="1"/>
        <v>0</v>
      </c>
    </row>
    <row r="13" spans="1:18" ht="18" x14ac:dyDescent="0.35">
      <c r="A13" s="34">
        <v>6</v>
      </c>
      <c r="B13" s="35" t="s">
        <v>105</v>
      </c>
      <c r="C13" s="36" t="s">
        <v>95</v>
      </c>
      <c r="D13" s="35">
        <v>86308</v>
      </c>
      <c r="E13" s="35">
        <v>55.88</v>
      </c>
      <c r="F13" s="35" t="s">
        <v>92</v>
      </c>
      <c r="G13" s="35" t="s">
        <v>96</v>
      </c>
      <c r="H13" s="35">
        <v>80</v>
      </c>
      <c r="I13" s="35">
        <v>50</v>
      </c>
      <c r="J13" s="35" t="s">
        <v>164</v>
      </c>
      <c r="K13" s="35">
        <v>120</v>
      </c>
      <c r="L13" s="35">
        <v>110</v>
      </c>
      <c r="M13" s="35"/>
      <c r="N13" s="35">
        <v>0</v>
      </c>
      <c r="O13" s="35">
        <v>0</v>
      </c>
      <c r="P13" s="35"/>
      <c r="Q13" s="37">
        <f t="shared" si="0"/>
        <v>200</v>
      </c>
      <c r="R13" s="38">
        <f t="shared" si="1"/>
        <v>160</v>
      </c>
    </row>
    <row r="14" spans="1:18" ht="18" x14ac:dyDescent="0.35">
      <c r="A14" s="34">
        <v>7</v>
      </c>
      <c r="B14" s="35" t="s">
        <v>106</v>
      </c>
      <c r="C14" s="36" t="s">
        <v>95</v>
      </c>
      <c r="D14" s="35">
        <v>86308</v>
      </c>
      <c r="E14" s="35">
        <v>55.88</v>
      </c>
      <c r="F14" s="35" t="s">
        <v>92</v>
      </c>
      <c r="G14" s="35" t="s">
        <v>163</v>
      </c>
      <c r="H14" s="35">
        <v>170</v>
      </c>
      <c r="I14" s="35">
        <v>150</v>
      </c>
      <c r="J14" s="35" t="s">
        <v>164</v>
      </c>
      <c r="K14" s="35">
        <v>200</v>
      </c>
      <c r="L14" s="35">
        <v>170</v>
      </c>
      <c r="M14" s="35"/>
      <c r="N14" s="35">
        <v>0</v>
      </c>
      <c r="O14" s="35">
        <v>0</v>
      </c>
      <c r="P14" s="35"/>
      <c r="Q14" s="37">
        <f t="shared" si="0"/>
        <v>370</v>
      </c>
      <c r="R14" s="38">
        <f t="shared" si="1"/>
        <v>320</v>
      </c>
    </row>
    <row r="15" spans="1:18" ht="18" x14ac:dyDescent="0.35">
      <c r="A15" s="34">
        <v>8</v>
      </c>
      <c r="B15" s="35" t="s">
        <v>108</v>
      </c>
      <c r="C15" s="36" t="s">
        <v>95</v>
      </c>
      <c r="D15" s="35">
        <v>86308</v>
      </c>
      <c r="E15" s="35">
        <v>55.88</v>
      </c>
      <c r="F15" s="35" t="s">
        <v>92</v>
      </c>
      <c r="G15" s="35" t="s">
        <v>96</v>
      </c>
      <c r="H15" s="35">
        <v>0</v>
      </c>
      <c r="I15" s="35">
        <v>0</v>
      </c>
      <c r="J15" s="35" t="s">
        <v>165</v>
      </c>
      <c r="K15" s="35">
        <v>0</v>
      </c>
      <c r="L15" s="35">
        <v>0</v>
      </c>
      <c r="M15" s="35" t="s">
        <v>165</v>
      </c>
      <c r="N15" s="35">
        <v>0</v>
      </c>
      <c r="O15" s="35">
        <v>0</v>
      </c>
      <c r="P15" s="35"/>
      <c r="Q15" s="37">
        <f t="shared" si="0"/>
        <v>0</v>
      </c>
      <c r="R15" s="38">
        <f t="shared" si="1"/>
        <v>0</v>
      </c>
    </row>
    <row r="16" spans="1:18" ht="18" x14ac:dyDescent="0.35">
      <c r="A16" s="34">
        <v>9</v>
      </c>
      <c r="B16" s="35" t="s">
        <v>102</v>
      </c>
      <c r="C16" s="36"/>
      <c r="D16" s="8" t="s">
        <v>26</v>
      </c>
      <c r="E16" s="35">
        <v>418.2</v>
      </c>
      <c r="F16" s="35">
        <v>90</v>
      </c>
      <c r="G16" s="35" t="s">
        <v>157</v>
      </c>
      <c r="H16" s="35">
        <v>0</v>
      </c>
      <c r="I16" s="35">
        <v>0</v>
      </c>
      <c r="J16" s="35"/>
      <c r="K16" s="35">
        <v>0</v>
      </c>
      <c r="L16" s="35">
        <v>0</v>
      </c>
      <c r="M16" s="35"/>
      <c r="N16" s="35">
        <v>0</v>
      </c>
      <c r="O16" s="35">
        <v>0</v>
      </c>
      <c r="P16" s="35"/>
      <c r="Q16" s="37">
        <f t="shared" si="0"/>
        <v>0</v>
      </c>
      <c r="R16" s="38">
        <f t="shared" si="1"/>
        <v>0</v>
      </c>
    </row>
    <row r="17" spans="1:18" ht="18" x14ac:dyDescent="0.35">
      <c r="A17" s="34">
        <v>10</v>
      </c>
      <c r="B17" s="35" t="s">
        <v>102</v>
      </c>
      <c r="C17" s="36" t="s">
        <v>35</v>
      </c>
      <c r="D17" s="35">
        <v>98814</v>
      </c>
      <c r="E17" s="35">
        <v>304.8</v>
      </c>
      <c r="F17" s="35">
        <v>90</v>
      </c>
      <c r="G17" s="35" t="s">
        <v>175</v>
      </c>
      <c r="H17" s="35">
        <v>0</v>
      </c>
      <c r="I17" s="35">
        <v>0</v>
      </c>
      <c r="J17" s="35"/>
      <c r="K17" s="35">
        <v>0</v>
      </c>
      <c r="L17" s="35">
        <v>0</v>
      </c>
      <c r="M17" s="35"/>
      <c r="N17" s="35">
        <v>150</v>
      </c>
      <c r="O17" s="35">
        <v>100</v>
      </c>
      <c r="P17" s="35"/>
      <c r="Q17" s="37">
        <f t="shared" si="0"/>
        <v>150</v>
      </c>
      <c r="R17" s="38">
        <f t="shared" si="1"/>
        <v>100</v>
      </c>
    </row>
    <row r="18" spans="1:18" ht="18" x14ac:dyDescent="0.35">
      <c r="A18" s="34">
        <v>11</v>
      </c>
      <c r="B18" s="35" t="s">
        <v>102</v>
      </c>
      <c r="C18" s="36" t="s">
        <v>35</v>
      </c>
      <c r="D18" s="35">
        <v>98808</v>
      </c>
      <c r="E18" s="35">
        <v>418.2</v>
      </c>
      <c r="F18" s="35">
        <v>90</v>
      </c>
      <c r="G18" s="35" t="s">
        <v>175</v>
      </c>
      <c r="H18" s="35">
        <v>0</v>
      </c>
      <c r="I18" s="35">
        <v>0</v>
      </c>
      <c r="J18" s="35"/>
      <c r="K18" s="35">
        <v>0</v>
      </c>
      <c r="L18" s="35">
        <v>0</v>
      </c>
      <c r="M18" s="35"/>
      <c r="N18" s="35">
        <v>400</v>
      </c>
      <c r="O18" s="35">
        <v>400</v>
      </c>
      <c r="P18" s="35"/>
      <c r="Q18" s="37">
        <f t="shared" si="0"/>
        <v>400</v>
      </c>
      <c r="R18" s="38">
        <f t="shared" si="1"/>
        <v>400</v>
      </c>
    </row>
    <row r="19" spans="1:18" ht="18" x14ac:dyDescent="0.35">
      <c r="A19" s="34">
        <v>12</v>
      </c>
      <c r="B19" s="35" t="s">
        <v>102</v>
      </c>
      <c r="C19" s="36" t="s">
        <v>35</v>
      </c>
      <c r="D19" s="35">
        <v>98808</v>
      </c>
      <c r="E19" s="35">
        <v>76.2</v>
      </c>
      <c r="F19" s="35">
        <v>90</v>
      </c>
      <c r="G19" s="35" t="s">
        <v>154</v>
      </c>
      <c r="H19" s="35">
        <v>0</v>
      </c>
      <c r="I19" s="35">
        <v>0</v>
      </c>
      <c r="J19" s="35"/>
      <c r="K19" s="35">
        <v>300</v>
      </c>
      <c r="L19" s="35">
        <v>360</v>
      </c>
      <c r="M19" s="35"/>
      <c r="N19" s="35">
        <v>0</v>
      </c>
      <c r="O19" s="35">
        <v>0</v>
      </c>
      <c r="P19" s="35"/>
      <c r="Q19" s="37">
        <f t="shared" si="0"/>
        <v>300</v>
      </c>
      <c r="R19" s="38">
        <f t="shared" si="1"/>
        <v>360</v>
      </c>
    </row>
    <row r="20" spans="1:18" ht="18" x14ac:dyDescent="0.35">
      <c r="A20" s="34">
        <v>13</v>
      </c>
      <c r="B20" s="35" t="s">
        <v>109</v>
      </c>
      <c r="C20" s="36" t="s">
        <v>35</v>
      </c>
      <c r="D20" s="35">
        <v>98812</v>
      </c>
      <c r="E20" s="35">
        <v>292.10000000000002</v>
      </c>
      <c r="F20" s="35">
        <v>90</v>
      </c>
      <c r="G20" s="35" t="s">
        <v>110</v>
      </c>
      <c r="H20" s="35">
        <v>400</v>
      </c>
      <c r="I20" s="35">
        <v>312</v>
      </c>
      <c r="J20" s="35"/>
      <c r="K20" s="35">
        <v>150</v>
      </c>
      <c r="L20" s="35">
        <v>120</v>
      </c>
      <c r="M20" s="35"/>
      <c r="N20" s="35">
        <v>0</v>
      </c>
      <c r="O20" s="35">
        <v>0</v>
      </c>
      <c r="P20" s="35"/>
      <c r="Q20" s="37">
        <f t="shared" si="0"/>
        <v>550</v>
      </c>
      <c r="R20" s="38">
        <f t="shared" si="1"/>
        <v>432</v>
      </c>
    </row>
    <row r="21" spans="1:18" ht="18" x14ac:dyDescent="0.35">
      <c r="A21" s="34">
        <v>14</v>
      </c>
      <c r="B21" s="35" t="s">
        <v>111</v>
      </c>
      <c r="C21" s="36" t="s">
        <v>35</v>
      </c>
      <c r="D21" s="35">
        <v>98811</v>
      </c>
      <c r="E21" s="35">
        <v>63.5</v>
      </c>
      <c r="F21" s="40" t="s">
        <v>112</v>
      </c>
      <c r="G21" s="35" t="s">
        <v>155</v>
      </c>
      <c r="H21" s="35">
        <v>0</v>
      </c>
      <c r="I21" s="35">
        <v>0</v>
      </c>
      <c r="J21" s="35"/>
      <c r="K21" s="35">
        <v>0</v>
      </c>
      <c r="L21" s="35">
        <v>0</v>
      </c>
      <c r="M21" s="35"/>
      <c r="N21" s="35">
        <v>0</v>
      </c>
      <c r="O21" s="35">
        <v>0</v>
      </c>
      <c r="P21" s="35"/>
      <c r="Q21" s="37">
        <f t="shared" si="0"/>
        <v>0</v>
      </c>
      <c r="R21" s="38">
        <f t="shared" si="1"/>
        <v>0</v>
      </c>
    </row>
    <row r="22" spans="1:18" ht="18" x14ac:dyDescent="0.35">
      <c r="A22" s="34">
        <v>15</v>
      </c>
      <c r="B22" s="35" t="s">
        <v>111</v>
      </c>
      <c r="C22" s="36" t="s">
        <v>35</v>
      </c>
      <c r="D22" s="35">
        <v>2122</v>
      </c>
      <c r="E22" s="35" t="s">
        <v>92</v>
      </c>
      <c r="F22" s="40" t="s">
        <v>114</v>
      </c>
      <c r="G22" s="35" t="s">
        <v>115</v>
      </c>
      <c r="H22" s="35">
        <v>0</v>
      </c>
      <c r="I22" s="35">
        <v>0</v>
      </c>
      <c r="J22" s="35"/>
      <c r="K22" s="35">
        <v>230</v>
      </c>
      <c r="L22" s="35">
        <v>230</v>
      </c>
      <c r="M22" s="26"/>
      <c r="N22" s="35">
        <v>105</v>
      </c>
      <c r="O22" s="35">
        <v>105</v>
      </c>
      <c r="P22" s="26"/>
      <c r="Q22" s="37">
        <f t="shared" si="0"/>
        <v>335</v>
      </c>
      <c r="R22" s="38">
        <f t="shared" si="1"/>
        <v>335</v>
      </c>
    </row>
    <row r="23" spans="1:18" ht="18" x14ac:dyDescent="0.35">
      <c r="A23" s="34">
        <v>16</v>
      </c>
      <c r="B23" s="35" t="s">
        <v>116</v>
      </c>
      <c r="C23" s="36" t="s">
        <v>35</v>
      </c>
      <c r="D23" s="35">
        <v>98809</v>
      </c>
      <c r="E23" s="35">
        <v>152.4</v>
      </c>
      <c r="F23" s="40" t="s">
        <v>122</v>
      </c>
      <c r="G23" s="35" t="s">
        <v>154</v>
      </c>
      <c r="H23" s="35">
        <v>400</v>
      </c>
      <c r="I23" s="35">
        <v>300</v>
      </c>
      <c r="J23" s="35"/>
      <c r="K23" s="35">
        <v>611</v>
      </c>
      <c r="L23" s="35">
        <v>611</v>
      </c>
      <c r="M23" s="26"/>
      <c r="N23" s="35">
        <v>0</v>
      </c>
      <c r="O23" s="35">
        <v>0</v>
      </c>
      <c r="P23" s="26"/>
      <c r="Q23" s="37">
        <f t="shared" si="0"/>
        <v>1011</v>
      </c>
      <c r="R23" s="38">
        <f t="shared" si="1"/>
        <v>911</v>
      </c>
    </row>
    <row r="24" spans="1:18" ht="18" x14ac:dyDescent="0.35">
      <c r="A24" s="34">
        <v>17</v>
      </c>
      <c r="B24" s="35" t="s">
        <v>116</v>
      </c>
      <c r="C24" s="36" t="s">
        <v>35</v>
      </c>
      <c r="D24" s="35">
        <v>98809</v>
      </c>
      <c r="E24" s="35">
        <v>152.4</v>
      </c>
      <c r="F24" s="40" t="s">
        <v>122</v>
      </c>
      <c r="G24" s="35" t="s">
        <v>154</v>
      </c>
      <c r="H24" s="35">
        <v>0</v>
      </c>
      <c r="I24" s="35">
        <v>0</v>
      </c>
      <c r="J24" s="35"/>
      <c r="K24" s="35">
        <v>311</v>
      </c>
      <c r="L24" s="35">
        <v>311</v>
      </c>
      <c r="M24" s="26"/>
      <c r="N24" s="35">
        <v>0</v>
      </c>
      <c r="O24" s="35">
        <v>0</v>
      </c>
      <c r="P24" s="26"/>
      <c r="Q24" s="37">
        <f t="shared" si="0"/>
        <v>311</v>
      </c>
      <c r="R24" s="38">
        <f t="shared" si="1"/>
        <v>311</v>
      </c>
    </row>
    <row r="25" spans="1:18" ht="18" x14ac:dyDescent="0.35">
      <c r="A25" s="34">
        <v>18</v>
      </c>
      <c r="B25" s="35" t="s">
        <v>116</v>
      </c>
      <c r="C25" s="36" t="s">
        <v>35</v>
      </c>
      <c r="D25" s="35">
        <v>98808</v>
      </c>
      <c r="E25" s="35">
        <v>796.5</v>
      </c>
      <c r="F25" s="40" t="s">
        <v>123</v>
      </c>
      <c r="G25" s="35" t="s">
        <v>118</v>
      </c>
      <c r="H25" s="35">
        <v>376</v>
      </c>
      <c r="I25" s="35">
        <v>376</v>
      </c>
      <c r="J25" s="35"/>
      <c r="K25" s="35">
        <v>0</v>
      </c>
      <c r="L25" s="35">
        <v>0</v>
      </c>
      <c r="M25" s="26"/>
      <c r="N25" s="35">
        <v>0</v>
      </c>
      <c r="O25" s="35">
        <v>0</v>
      </c>
      <c r="P25" s="26"/>
      <c r="Q25" s="37">
        <f t="shared" si="0"/>
        <v>376</v>
      </c>
      <c r="R25" s="38">
        <f t="shared" si="1"/>
        <v>376</v>
      </c>
    </row>
    <row r="26" spans="1:18" ht="18" x14ac:dyDescent="0.35">
      <c r="A26" s="34">
        <v>19</v>
      </c>
      <c r="B26" s="35" t="s">
        <v>119</v>
      </c>
      <c r="C26" s="36" t="s">
        <v>35</v>
      </c>
      <c r="D26" s="35">
        <v>98808</v>
      </c>
      <c r="E26" s="35">
        <v>418.2</v>
      </c>
      <c r="F26" s="40" t="s">
        <v>122</v>
      </c>
      <c r="G26" s="35" t="s">
        <v>120</v>
      </c>
      <c r="H26" s="35">
        <v>600</v>
      </c>
      <c r="I26" s="35">
        <v>515</v>
      </c>
      <c r="J26" s="35"/>
      <c r="K26" s="35">
        <v>0</v>
      </c>
      <c r="L26" s="35">
        <v>0</v>
      </c>
      <c r="M26" s="26"/>
      <c r="N26" s="35">
        <v>0</v>
      </c>
      <c r="O26" s="35">
        <v>0</v>
      </c>
      <c r="P26" s="26"/>
      <c r="Q26" s="37">
        <f t="shared" si="0"/>
        <v>600</v>
      </c>
      <c r="R26" s="38">
        <f t="shared" si="1"/>
        <v>515</v>
      </c>
    </row>
    <row r="27" spans="1:18" ht="18" x14ac:dyDescent="0.35">
      <c r="A27" s="34">
        <v>20</v>
      </c>
      <c r="B27" s="35" t="s">
        <v>176</v>
      </c>
      <c r="C27" s="36" t="s">
        <v>35</v>
      </c>
      <c r="D27" s="35">
        <v>98808</v>
      </c>
      <c r="E27" s="35">
        <v>428.75</v>
      </c>
      <c r="F27" s="40" t="s">
        <v>122</v>
      </c>
      <c r="G27" s="35" t="s">
        <v>118</v>
      </c>
      <c r="H27" s="35">
        <v>0</v>
      </c>
      <c r="I27" s="35">
        <v>0</v>
      </c>
      <c r="J27" s="35"/>
      <c r="K27" s="35">
        <v>0</v>
      </c>
      <c r="L27" s="35">
        <v>0</v>
      </c>
      <c r="M27" s="26"/>
      <c r="N27" s="35">
        <v>574</v>
      </c>
      <c r="O27" s="35">
        <v>574</v>
      </c>
      <c r="P27" s="26"/>
      <c r="Q27" s="37">
        <f t="shared" si="0"/>
        <v>574</v>
      </c>
      <c r="R27" s="38">
        <f t="shared" si="1"/>
        <v>574</v>
      </c>
    </row>
    <row r="28" spans="1:18" ht="18" x14ac:dyDescent="0.35">
      <c r="A28" s="34">
        <v>21</v>
      </c>
      <c r="B28" s="35" t="s">
        <v>121</v>
      </c>
      <c r="C28" s="36" t="s">
        <v>35</v>
      </c>
      <c r="D28" s="35">
        <v>98808</v>
      </c>
      <c r="E28" s="35">
        <v>428.75</v>
      </c>
      <c r="F28" s="40" t="s">
        <v>117</v>
      </c>
      <c r="G28" s="35" t="s">
        <v>118</v>
      </c>
      <c r="H28" s="35">
        <v>350</v>
      </c>
      <c r="I28" s="35">
        <v>290</v>
      </c>
      <c r="J28" s="35"/>
      <c r="K28" s="35">
        <v>0</v>
      </c>
      <c r="L28" s="35">
        <v>0</v>
      </c>
      <c r="M28" s="35"/>
      <c r="N28" s="35">
        <v>574</v>
      </c>
      <c r="O28" s="35">
        <v>574</v>
      </c>
      <c r="P28" s="26"/>
      <c r="Q28" s="37">
        <f t="shared" si="0"/>
        <v>924</v>
      </c>
      <c r="R28" s="38">
        <f t="shared" si="1"/>
        <v>864</v>
      </c>
    </row>
    <row r="29" spans="1:18" ht="18" x14ac:dyDescent="0.35">
      <c r="A29" s="34">
        <v>22</v>
      </c>
      <c r="B29" s="35" t="s">
        <v>121</v>
      </c>
      <c r="C29" s="36" t="s">
        <v>35</v>
      </c>
      <c r="D29" s="35">
        <v>2123</v>
      </c>
      <c r="E29" s="35"/>
      <c r="F29" s="40" t="s">
        <v>123</v>
      </c>
      <c r="G29" s="35" t="s">
        <v>118</v>
      </c>
      <c r="H29" s="35">
        <v>0</v>
      </c>
      <c r="I29" s="35">
        <v>0</v>
      </c>
      <c r="J29" s="35"/>
      <c r="K29" s="35">
        <v>118</v>
      </c>
      <c r="L29" s="35">
        <v>118</v>
      </c>
      <c r="M29" s="35"/>
      <c r="N29" s="35">
        <v>0</v>
      </c>
      <c r="O29" s="35">
        <v>0</v>
      </c>
      <c r="P29" s="26"/>
      <c r="Q29" s="37">
        <f t="shared" si="0"/>
        <v>118</v>
      </c>
      <c r="R29" s="38">
        <f t="shared" si="1"/>
        <v>118</v>
      </c>
    </row>
    <row r="30" spans="1:18" ht="18" x14ac:dyDescent="0.35">
      <c r="A30" s="34">
        <v>23</v>
      </c>
      <c r="B30" s="37" t="s">
        <v>124</v>
      </c>
      <c r="C30" s="36" t="s">
        <v>35</v>
      </c>
      <c r="D30" s="37">
        <v>2191</v>
      </c>
      <c r="E30" s="37"/>
      <c r="F30" s="41" t="s">
        <v>126</v>
      </c>
      <c r="G30" s="26"/>
      <c r="H30" s="35">
        <v>120</v>
      </c>
      <c r="I30" s="35">
        <v>115</v>
      </c>
      <c r="J30" s="26"/>
      <c r="K30" s="35">
        <v>60</v>
      </c>
      <c r="L30" s="35">
        <v>60</v>
      </c>
      <c r="M30" s="35"/>
      <c r="N30" s="35">
        <v>160</v>
      </c>
      <c r="O30" s="35">
        <v>160</v>
      </c>
      <c r="P30" s="26"/>
      <c r="Q30" s="37">
        <f t="shared" si="0"/>
        <v>340</v>
      </c>
      <c r="R30" s="38">
        <f t="shared" si="1"/>
        <v>335</v>
      </c>
    </row>
    <row r="31" spans="1:18" ht="18" x14ac:dyDescent="0.35">
      <c r="A31" s="34">
        <v>24</v>
      </c>
      <c r="B31" s="37" t="s">
        <v>124</v>
      </c>
      <c r="C31" s="36" t="s">
        <v>35</v>
      </c>
      <c r="D31" s="37">
        <v>2191</v>
      </c>
      <c r="E31" s="37"/>
      <c r="F31" s="41" t="s">
        <v>174</v>
      </c>
      <c r="G31" s="26"/>
      <c r="H31" s="35">
        <v>110</v>
      </c>
      <c r="I31" s="35">
        <v>110</v>
      </c>
      <c r="J31" s="26"/>
      <c r="K31" s="35">
        <v>120</v>
      </c>
      <c r="L31" s="35">
        <v>120</v>
      </c>
      <c r="M31" s="35"/>
      <c r="N31" s="35">
        <v>0</v>
      </c>
      <c r="O31" s="35">
        <v>0</v>
      </c>
      <c r="P31" s="26"/>
      <c r="Q31" s="37">
        <f t="shared" si="0"/>
        <v>230</v>
      </c>
      <c r="R31" s="38">
        <f t="shared" si="1"/>
        <v>230</v>
      </c>
    </row>
    <row r="32" spans="1:18" ht="18" x14ac:dyDescent="0.35">
      <c r="A32" s="34">
        <v>25</v>
      </c>
      <c r="B32" s="37" t="s">
        <v>124</v>
      </c>
      <c r="C32" s="36" t="s">
        <v>35</v>
      </c>
      <c r="D32" s="37">
        <v>2122</v>
      </c>
      <c r="E32" s="37"/>
      <c r="F32" s="41" t="s">
        <v>127</v>
      </c>
      <c r="G32" s="26"/>
      <c r="H32" s="35">
        <v>160</v>
      </c>
      <c r="I32" s="35">
        <v>130</v>
      </c>
      <c r="J32" s="26"/>
      <c r="K32" s="35">
        <v>0</v>
      </c>
      <c r="L32" s="35">
        <v>0</v>
      </c>
      <c r="M32" s="35"/>
      <c r="N32" s="35">
        <v>0</v>
      </c>
      <c r="O32" s="35">
        <v>0</v>
      </c>
      <c r="P32" s="26"/>
      <c r="Q32" s="37">
        <f t="shared" si="0"/>
        <v>160</v>
      </c>
      <c r="R32" s="38">
        <f t="shared" si="1"/>
        <v>130</v>
      </c>
    </row>
    <row r="33" spans="1:18" ht="18" x14ac:dyDescent="0.35">
      <c r="A33" s="34">
        <v>26</v>
      </c>
      <c r="B33" s="37" t="s">
        <v>124</v>
      </c>
      <c r="C33" s="36" t="s">
        <v>35</v>
      </c>
      <c r="D33" s="37">
        <v>2122</v>
      </c>
      <c r="E33" s="37"/>
      <c r="F33" s="41" t="s">
        <v>128</v>
      </c>
      <c r="G33" s="26"/>
      <c r="H33" s="35">
        <v>0</v>
      </c>
      <c r="I33" s="35">
        <v>0</v>
      </c>
      <c r="J33" s="26"/>
      <c r="K33" s="35">
        <v>0</v>
      </c>
      <c r="L33" s="35">
        <v>0</v>
      </c>
      <c r="M33" s="26"/>
      <c r="N33" s="35">
        <v>150</v>
      </c>
      <c r="O33" s="35">
        <v>150</v>
      </c>
      <c r="P33" s="26"/>
      <c r="Q33" s="37">
        <f t="shared" si="0"/>
        <v>150</v>
      </c>
      <c r="R33" s="38">
        <f t="shared" si="1"/>
        <v>150</v>
      </c>
    </row>
    <row r="34" spans="1:18" ht="18" x14ac:dyDescent="0.35">
      <c r="A34" s="34">
        <v>27</v>
      </c>
      <c r="B34" s="37" t="s">
        <v>124</v>
      </c>
      <c r="C34" s="36" t="s">
        <v>35</v>
      </c>
      <c r="D34" s="37">
        <v>2123</v>
      </c>
      <c r="E34" s="37"/>
      <c r="F34" s="41" t="s">
        <v>127</v>
      </c>
      <c r="G34" s="26"/>
      <c r="H34" s="35">
        <v>0</v>
      </c>
      <c r="I34" s="35">
        <v>0</v>
      </c>
      <c r="J34" s="26"/>
      <c r="K34" s="35">
        <v>0</v>
      </c>
      <c r="L34" s="35">
        <v>0</v>
      </c>
      <c r="M34" s="26"/>
      <c r="N34" s="35">
        <v>130</v>
      </c>
      <c r="O34" s="35">
        <v>128</v>
      </c>
      <c r="P34" s="26"/>
      <c r="Q34" s="37">
        <f t="shared" si="0"/>
        <v>130</v>
      </c>
      <c r="R34" s="38">
        <f t="shared" si="1"/>
        <v>128</v>
      </c>
    </row>
    <row r="35" spans="1:18" ht="18" x14ac:dyDescent="0.35">
      <c r="A35" s="34">
        <v>28</v>
      </c>
      <c r="B35" s="37" t="s">
        <v>124</v>
      </c>
      <c r="C35" s="36" t="s">
        <v>35</v>
      </c>
      <c r="D35" s="37">
        <v>2123</v>
      </c>
      <c r="E35" s="37"/>
      <c r="F35" s="41" t="s">
        <v>129</v>
      </c>
      <c r="G35" s="26"/>
      <c r="H35" s="35">
        <v>0</v>
      </c>
      <c r="I35" s="35">
        <v>0</v>
      </c>
      <c r="J35" s="26"/>
      <c r="K35" s="35">
        <v>0</v>
      </c>
      <c r="L35" s="35">
        <v>0</v>
      </c>
      <c r="M35" s="26"/>
      <c r="N35" s="35">
        <v>0</v>
      </c>
      <c r="O35" s="35">
        <v>0</v>
      </c>
      <c r="P35" s="26"/>
      <c r="Q35" s="37">
        <f t="shared" si="0"/>
        <v>0</v>
      </c>
      <c r="R35" s="38">
        <f t="shared" si="1"/>
        <v>0</v>
      </c>
    </row>
    <row r="36" spans="1:18" ht="18" x14ac:dyDescent="0.35">
      <c r="A36" s="34">
        <v>29</v>
      </c>
      <c r="B36" s="37" t="s">
        <v>161</v>
      </c>
      <c r="C36" s="36" t="s">
        <v>35</v>
      </c>
      <c r="D36" s="37">
        <v>2123</v>
      </c>
      <c r="E36" s="37"/>
      <c r="F36" s="41"/>
      <c r="G36" s="26"/>
      <c r="H36" s="35">
        <v>0</v>
      </c>
      <c r="I36" s="35">
        <v>0</v>
      </c>
      <c r="J36" s="26"/>
      <c r="K36" s="35">
        <v>0</v>
      </c>
      <c r="L36" s="35">
        <v>0</v>
      </c>
      <c r="M36" s="26"/>
      <c r="N36" s="35">
        <v>0</v>
      </c>
      <c r="O36" s="35">
        <v>0</v>
      </c>
      <c r="P36" s="26"/>
      <c r="Q36" s="37">
        <f t="shared" si="0"/>
        <v>0</v>
      </c>
      <c r="R36" s="38">
        <f t="shared" si="1"/>
        <v>0</v>
      </c>
    </row>
    <row r="37" spans="1:18" ht="18" x14ac:dyDescent="0.35">
      <c r="A37" s="34">
        <v>30</v>
      </c>
      <c r="B37" s="37" t="s">
        <v>131</v>
      </c>
      <c r="C37" s="36" t="s">
        <v>35</v>
      </c>
      <c r="D37" s="37">
        <v>2123</v>
      </c>
      <c r="E37" s="37"/>
      <c r="F37" s="41" t="s">
        <v>128</v>
      </c>
      <c r="G37" s="26"/>
      <c r="H37" s="35">
        <v>0</v>
      </c>
      <c r="I37" s="35">
        <v>0</v>
      </c>
      <c r="J37" s="26"/>
      <c r="K37" s="35">
        <v>0</v>
      </c>
      <c r="L37" s="35">
        <v>0</v>
      </c>
      <c r="M37" s="26"/>
      <c r="N37" s="35">
        <v>0</v>
      </c>
      <c r="O37" s="35">
        <v>0</v>
      </c>
      <c r="P37" s="26"/>
      <c r="Q37" s="37">
        <f t="shared" si="0"/>
        <v>0</v>
      </c>
      <c r="R37" s="38">
        <f t="shared" si="1"/>
        <v>0</v>
      </c>
    </row>
    <row r="38" spans="1:18" ht="18" x14ac:dyDescent="0.35">
      <c r="A38" s="34">
        <v>31</v>
      </c>
      <c r="B38" s="37" t="s">
        <v>162</v>
      </c>
      <c r="C38" s="42" t="s">
        <v>35</v>
      </c>
      <c r="D38" s="37">
        <v>98814</v>
      </c>
      <c r="E38" s="37">
        <v>304.8</v>
      </c>
      <c r="F38" s="41" t="s">
        <v>10</v>
      </c>
      <c r="G38" s="26"/>
      <c r="H38" s="35">
        <v>0</v>
      </c>
      <c r="I38" s="35">
        <v>0</v>
      </c>
      <c r="J38" s="26"/>
      <c r="K38" s="35">
        <v>0</v>
      </c>
      <c r="L38" s="35">
        <v>0</v>
      </c>
      <c r="M38" s="26"/>
      <c r="N38" s="35">
        <v>0</v>
      </c>
      <c r="O38" s="35">
        <v>0</v>
      </c>
      <c r="P38" s="26"/>
      <c r="Q38" s="37">
        <f t="shared" si="0"/>
        <v>0</v>
      </c>
      <c r="R38" s="38">
        <f t="shared" si="1"/>
        <v>0</v>
      </c>
    </row>
    <row r="39" spans="1:18" ht="18" x14ac:dyDescent="0.35">
      <c r="A39" s="34">
        <v>32</v>
      </c>
      <c r="B39" s="37" t="s">
        <v>39</v>
      </c>
      <c r="C39" s="42" t="s">
        <v>35</v>
      </c>
      <c r="D39" s="37">
        <v>98814</v>
      </c>
      <c r="E39" s="37">
        <v>304.8</v>
      </c>
      <c r="F39" s="41" t="s">
        <v>39</v>
      </c>
      <c r="G39" s="37" t="s">
        <v>96</v>
      </c>
      <c r="H39" s="35">
        <v>0</v>
      </c>
      <c r="I39" s="35">
        <v>0</v>
      </c>
      <c r="J39" s="37"/>
      <c r="K39" s="35">
        <v>100</v>
      </c>
      <c r="L39" s="35">
        <v>90</v>
      </c>
      <c r="M39" s="23"/>
      <c r="N39" s="35">
        <v>220</v>
      </c>
      <c r="O39" s="35">
        <v>190</v>
      </c>
      <c r="P39" s="23"/>
      <c r="Q39" s="37">
        <f t="shared" si="0"/>
        <v>320</v>
      </c>
      <c r="R39" s="38">
        <f>I39+L39+O39</f>
        <v>280</v>
      </c>
    </row>
    <row r="40" spans="1:18" ht="18" x14ac:dyDescent="0.35">
      <c r="A40" s="34">
        <v>33</v>
      </c>
      <c r="B40" s="37" t="s">
        <v>132</v>
      </c>
      <c r="C40" s="42" t="s">
        <v>172</v>
      </c>
      <c r="D40" s="37">
        <v>86805</v>
      </c>
      <c r="E40" s="37"/>
      <c r="F40" s="41" t="s">
        <v>12</v>
      </c>
      <c r="G40" s="37" t="s">
        <v>173</v>
      </c>
      <c r="H40" s="35">
        <v>0</v>
      </c>
      <c r="I40" s="35">
        <v>0</v>
      </c>
      <c r="J40" s="37"/>
      <c r="K40" s="35">
        <v>0</v>
      </c>
      <c r="L40" s="35">
        <v>0</v>
      </c>
      <c r="M40" s="26"/>
      <c r="N40" s="35">
        <v>46</v>
      </c>
      <c r="O40" s="35">
        <v>46</v>
      </c>
      <c r="P40" s="26"/>
      <c r="Q40" s="37">
        <f t="shared" si="0"/>
        <v>46</v>
      </c>
      <c r="R40" s="38">
        <f t="shared" si="1"/>
        <v>46</v>
      </c>
    </row>
    <row r="41" spans="1:18" ht="18" x14ac:dyDescent="0.35">
      <c r="A41" s="34">
        <v>34</v>
      </c>
      <c r="B41" s="37" t="s">
        <v>158</v>
      </c>
      <c r="C41" s="42" t="s">
        <v>35</v>
      </c>
      <c r="D41" s="37">
        <v>98815</v>
      </c>
      <c r="E41" s="37">
        <v>406.4</v>
      </c>
      <c r="F41" s="41" t="s">
        <v>135</v>
      </c>
      <c r="G41" s="37" t="s">
        <v>133</v>
      </c>
      <c r="H41" s="37">
        <v>480</v>
      </c>
      <c r="I41" s="37">
        <v>480</v>
      </c>
      <c r="J41" s="37"/>
      <c r="K41" s="35">
        <v>300</v>
      </c>
      <c r="L41" s="35">
        <v>260</v>
      </c>
      <c r="M41" s="26"/>
      <c r="N41" s="35">
        <v>257</v>
      </c>
      <c r="O41" s="35">
        <v>257</v>
      </c>
      <c r="P41" s="26"/>
      <c r="Q41" s="37">
        <f t="shared" si="0"/>
        <v>1037</v>
      </c>
      <c r="R41" s="38">
        <f t="shared" si="1"/>
        <v>997</v>
      </c>
    </row>
    <row r="42" spans="1:18" ht="18" x14ac:dyDescent="0.35">
      <c r="A42" s="34">
        <v>35</v>
      </c>
      <c r="B42" s="37" t="s">
        <v>170</v>
      </c>
      <c r="C42" s="42" t="s">
        <v>35</v>
      </c>
      <c r="D42" s="37">
        <v>98815</v>
      </c>
      <c r="E42" s="37">
        <v>406.4</v>
      </c>
      <c r="F42" s="41" t="s">
        <v>159</v>
      </c>
      <c r="G42" s="37" t="s">
        <v>133</v>
      </c>
      <c r="H42" s="37">
        <v>480</v>
      </c>
      <c r="I42" s="37">
        <v>480</v>
      </c>
      <c r="J42" s="37"/>
      <c r="K42" s="35">
        <v>300</v>
      </c>
      <c r="L42" s="35">
        <v>246</v>
      </c>
      <c r="M42" s="26"/>
      <c r="N42" s="35">
        <v>0</v>
      </c>
      <c r="O42" s="35">
        <v>0</v>
      </c>
      <c r="P42" s="26"/>
      <c r="Q42" s="37">
        <f t="shared" si="0"/>
        <v>780</v>
      </c>
      <c r="R42" s="38">
        <f t="shared" si="1"/>
        <v>726</v>
      </c>
    </row>
    <row r="43" spans="1:18" ht="18" x14ac:dyDescent="0.35">
      <c r="A43" s="34">
        <v>36</v>
      </c>
      <c r="B43" s="37" t="s">
        <v>171</v>
      </c>
      <c r="C43" s="42" t="s">
        <v>141</v>
      </c>
      <c r="D43" s="37">
        <v>82527</v>
      </c>
      <c r="E43" s="37">
        <v>155</v>
      </c>
      <c r="F43" s="41" t="s">
        <v>142</v>
      </c>
      <c r="G43" s="37" t="s">
        <v>96</v>
      </c>
      <c r="H43" s="35">
        <v>0</v>
      </c>
      <c r="I43" s="35">
        <v>0</v>
      </c>
      <c r="J43" s="37"/>
      <c r="K43" s="35">
        <v>0</v>
      </c>
      <c r="L43" s="35">
        <v>0</v>
      </c>
      <c r="M43" s="26"/>
      <c r="N43" s="35">
        <v>0</v>
      </c>
      <c r="O43" s="35">
        <v>0</v>
      </c>
      <c r="P43" s="26"/>
      <c r="Q43" s="37">
        <f t="shared" si="0"/>
        <v>0</v>
      </c>
      <c r="R43" s="38">
        <f t="shared" si="1"/>
        <v>0</v>
      </c>
    </row>
    <row r="44" spans="1:18" ht="18" x14ac:dyDescent="0.35">
      <c r="A44" s="34">
        <v>37</v>
      </c>
      <c r="B44" s="37" t="s">
        <v>143</v>
      </c>
      <c r="C44" s="42" t="s">
        <v>144</v>
      </c>
      <c r="D44" s="37">
        <v>83572</v>
      </c>
      <c r="E44" s="37">
        <v>967.65</v>
      </c>
      <c r="F44" s="41" t="s">
        <v>145</v>
      </c>
      <c r="G44" s="37" t="s">
        <v>136</v>
      </c>
      <c r="H44" s="35">
        <v>0</v>
      </c>
      <c r="I44" s="35">
        <v>0</v>
      </c>
      <c r="J44" s="37"/>
      <c r="K44" s="35">
        <v>0</v>
      </c>
      <c r="L44" s="35">
        <v>0</v>
      </c>
      <c r="M44" s="35"/>
      <c r="N44" s="35">
        <v>0</v>
      </c>
      <c r="O44" s="35">
        <v>0</v>
      </c>
      <c r="P44" s="26"/>
      <c r="Q44" s="37">
        <f t="shared" si="0"/>
        <v>0</v>
      </c>
      <c r="R44" s="38">
        <f t="shared" si="1"/>
        <v>0</v>
      </c>
    </row>
    <row r="45" spans="1:18" ht="18" x14ac:dyDescent="0.35">
      <c r="A45" s="34">
        <v>38</v>
      </c>
      <c r="B45" s="37" t="s">
        <v>146</v>
      </c>
      <c r="C45" s="42" t="s">
        <v>144</v>
      </c>
      <c r="D45" s="37">
        <v>83834</v>
      </c>
      <c r="E45" s="37">
        <v>898.89</v>
      </c>
      <c r="F45" s="41" t="s">
        <v>147</v>
      </c>
      <c r="G45" s="37" t="s">
        <v>96</v>
      </c>
      <c r="H45" s="35">
        <v>0</v>
      </c>
      <c r="I45" s="35">
        <v>0</v>
      </c>
      <c r="J45" s="37"/>
      <c r="K45" s="35">
        <v>0</v>
      </c>
      <c r="L45" s="35">
        <v>0</v>
      </c>
      <c r="M45" s="35"/>
      <c r="N45" s="35">
        <v>0</v>
      </c>
      <c r="O45" s="35">
        <v>0</v>
      </c>
      <c r="P45" s="26"/>
      <c r="Q45" s="37">
        <f t="shared" si="0"/>
        <v>0</v>
      </c>
      <c r="R45" s="38">
        <f>I45+L45+O45</f>
        <v>0</v>
      </c>
    </row>
    <row r="46" spans="1:18" ht="54" x14ac:dyDescent="0.35">
      <c r="A46" s="34">
        <v>39</v>
      </c>
      <c r="B46" s="43" t="s">
        <v>148</v>
      </c>
      <c r="C46" s="36" t="s">
        <v>167</v>
      </c>
      <c r="D46" s="35">
        <v>93293</v>
      </c>
      <c r="E46" s="35">
        <v>16.2</v>
      </c>
      <c r="F46" s="40" t="s">
        <v>169</v>
      </c>
      <c r="G46" s="35" t="s">
        <v>104</v>
      </c>
      <c r="H46" s="35">
        <v>4800</v>
      </c>
      <c r="I46" s="35">
        <v>4150</v>
      </c>
      <c r="J46" s="37"/>
      <c r="K46" s="35">
        <v>4500</v>
      </c>
      <c r="L46" s="35">
        <v>4300</v>
      </c>
      <c r="M46" s="35"/>
      <c r="N46" s="35">
        <v>4800</v>
      </c>
      <c r="O46" s="35">
        <v>4800</v>
      </c>
      <c r="P46" s="35" t="s">
        <v>165</v>
      </c>
      <c r="Q46" s="37">
        <f t="shared" si="0"/>
        <v>14100</v>
      </c>
      <c r="R46" s="38">
        <f t="shared" si="1"/>
        <v>13250</v>
      </c>
    </row>
    <row r="47" spans="1:18" ht="54" x14ac:dyDescent="0.35">
      <c r="A47" s="34">
        <v>40</v>
      </c>
      <c r="B47" s="43" t="s">
        <v>148</v>
      </c>
      <c r="C47" s="36" t="s">
        <v>167</v>
      </c>
      <c r="D47" s="35">
        <v>93290</v>
      </c>
      <c r="E47" s="35">
        <v>2382</v>
      </c>
      <c r="F47" s="40" t="s">
        <v>150</v>
      </c>
      <c r="G47" s="35" t="s">
        <v>113</v>
      </c>
      <c r="H47" s="35">
        <v>0</v>
      </c>
      <c r="I47" s="35">
        <v>0</v>
      </c>
      <c r="J47" s="35" t="s">
        <v>168</v>
      </c>
      <c r="K47" s="35">
        <v>2500</v>
      </c>
      <c r="L47" s="35">
        <v>2225</v>
      </c>
      <c r="M47" s="35"/>
      <c r="N47" s="35">
        <v>3000</v>
      </c>
      <c r="O47" s="35">
        <v>2419</v>
      </c>
      <c r="P47" s="26"/>
      <c r="Q47" s="37">
        <f t="shared" si="0"/>
        <v>5500</v>
      </c>
      <c r="R47" s="38">
        <f t="shared" si="1"/>
        <v>4644</v>
      </c>
    </row>
    <row r="48" spans="1:18" ht="54" x14ac:dyDescent="0.35">
      <c r="A48" s="34">
        <v>41</v>
      </c>
      <c r="B48" s="43" t="s">
        <v>151</v>
      </c>
      <c r="C48" s="36" t="s">
        <v>167</v>
      </c>
      <c r="D48" s="35">
        <v>93292</v>
      </c>
      <c r="E48" s="35">
        <v>1134</v>
      </c>
      <c r="F48" s="40" t="s">
        <v>150</v>
      </c>
      <c r="G48" s="35" t="s">
        <v>113</v>
      </c>
      <c r="H48" s="35">
        <v>3000</v>
      </c>
      <c r="I48" s="35">
        <v>2553</v>
      </c>
      <c r="J48" s="37"/>
      <c r="K48" s="35">
        <v>2000</v>
      </c>
      <c r="L48" s="35">
        <v>1822</v>
      </c>
      <c r="M48" s="35"/>
      <c r="N48" s="35">
        <v>0</v>
      </c>
      <c r="O48" s="35">
        <v>0</v>
      </c>
      <c r="P48" s="26"/>
      <c r="Q48" s="37">
        <f>N48+K48+H48</f>
        <v>5000</v>
      </c>
      <c r="R48" s="38">
        <f t="shared" si="1"/>
        <v>4375</v>
      </c>
    </row>
  </sheetData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9:S56"/>
  <sheetViews>
    <sheetView topLeftCell="B41" zoomScale="105" workbookViewId="0">
      <selection activeCell="B9" sqref="B9:S56"/>
    </sheetView>
  </sheetViews>
  <sheetFormatPr defaultRowHeight="14.4" x14ac:dyDescent="0.3"/>
  <cols>
    <col min="3" max="3" width="19.33203125" customWidth="1"/>
    <col min="4" max="4" width="20.5546875" customWidth="1"/>
    <col min="5" max="5" width="13" customWidth="1"/>
    <col min="6" max="6" width="14.44140625" customWidth="1"/>
    <col min="7" max="7" width="29.44140625" customWidth="1"/>
    <col min="17" max="17" width="14" customWidth="1"/>
  </cols>
  <sheetData>
    <row r="9" spans="2:19" x14ac:dyDescent="0.3">
      <c r="B9" s="52" t="s">
        <v>74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</row>
    <row r="10" spans="2:19" x14ac:dyDescent="0.3"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</row>
    <row r="11" spans="2:19" x14ac:dyDescent="0.3"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</row>
    <row r="12" spans="2:19" ht="18" x14ac:dyDescent="0.35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 t="s">
        <v>75</v>
      </c>
      <c r="Q12" s="27"/>
      <c r="R12" s="23"/>
      <c r="S12" s="23"/>
    </row>
    <row r="13" spans="2:19" ht="18" x14ac:dyDescent="0.35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8" t="s">
        <v>76</v>
      </c>
      <c r="Q13" s="29" t="s">
        <v>177</v>
      </c>
      <c r="R13" s="23"/>
      <c r="S13" s="23"/>
    </row>
    <row r="14" spans="2:19" ht="17.399999999999999" x14ac:dyDescent="0.3">
      <c r="B14" s="53" t="s">
        <v>77</v>
      </c>
      <c r="C14" s="53" t="s">
        <v>78</v>
      </c>
      <c r="D14" s="53" t="s">
        <v>79</v>
      </c>
      <c r="E14" s="54" t="s">
        <v>80</v>
      </c>
      <c r="F14" s="53" t="s">
        <v>81</v>
      </c>
      <c r="G14" s="53" t="s">
        <v>82</v>
      </c>
      <c r="H14" s="30"/>
      <c r="I14" s="55" t="s">
        <v>85</v>
      </c>
      <c r="J14" s="55"/>
      <c r="K14" s="55"/>
      <c r="L14" s="56" t="s">
        <v>83</v>
      </c>
      <c r="M14" s="56"/>
      <c r="N14" s="56"/>
      <c r="O14" s="57" t="s">
        <v>84</v>
      </c>
      <c r="P14" s="57"/>
      <c r="Q14" s="57"/>
      <c r="R14" s="50" t="s">
        <v>86</v>
      </c>
      <c r="S14" s="51" t="s">
        <v>87</v>
      </c>
    </row>
    <row r="15" spans="2:19" ht="17.399999999999999" x14ac:dyDescent="0.3">
      <c r="B15" s="53"/>
      <c r="C15" s="53"/>
      <c r="D15" s="53"/>
      <c r="E15" s="54"/>
      <c r="F15" s="53"/>
      <c r="G15" s="53"/>
      <c r="H15" s="30" t="s">
        <v>88</v>
      </c>
      <c r="I15" s="31" t="s">
        <v>89</v>
      </c>
      <c r="J15" s="32" t="s">
        <v>90</v>
      </c>
      <c r="K15" s="33" t="s">
        <v>16</v>
      </c>
      <c r="L15" s="31" t="s">
        <v>89</v>
      </c>
      <c r="M15" s="32" t="s">
        <v>90</v>
      </c>
      <c r="N15" s="30" t="s">
        <v>16</v>
      </c>
      <c r="O15" s="31" t="s">
        <v>89</v>
      </c>
      <c r="P15" s="32" t="s">
        <v>90</v>
      </c>
      <c r="Q15" s="33" t="s">
        <v>16</v>
      </c>
      <c r="R15" s="50"/>
      <c r="S15" s="51"/>
    </row>
    <row r="16" spans="2:19" ht="18" x14ac:dyDescent="0.35">
      <c r="B16" s="34">
        <v>1</v>
      </c>
      <c r="C16" s="35" t="s">
        <v>91</v>
      </c>
      <c r="D16" s="36" t="s">
        <v>35</v>
      </c>
      <c r="E16" s="35">
        <v>98812</v>
      </c>
      <c r="F16" s="35">
        <v>292.10000000000002</v>
      </c>
      <c r="G16" s="35" t="s">
        <v>92</v>
      </c>
      <c r="H16" s="35" t="s">
        <v>93</v>
      </c>
      <c r="I16" s="35">
        <v>0</v>
      </c>
      <c r="J16" s="35">
        <v>0</v>
      </c>
      <c r="K16" s="35"/>
      <c r="L16" s="35">
        <v>0</v>
      </c>
      <c r="M16" s="35">
        <v>0</v>
      </c>
      <c r="N16" s="35"/>
      <c r="O16" s="35">
        <v>0</v>
      </c>
      <c r="P16" s="35">
        <v>0</v>
      </c>
      <c r="Q16" s="35"/>
      <c r="R16" s="37">
        <f>O16+L16+I16</f>
        <v>0</v>
      </c>
      <c r="S16" s="38">
        <f>J16+M16+P16</f>
        <v>0</v>
      </c>
    </row>
    <row r="17" spans="2:19" ht="18" x14ac:dyDescent="0.35">
      <c r="B17" s="34">
        <v>2</v>
      </c>
      <c r="C17" s="35" t="s">
        <v>94</v>
      </c>
      <c r="D17" s="36" t="s">
        <v>35</v>
      </c>
      <c r="E17" s="35">
        <v>98808</v>
      </c>
      <c r="F17" s="35">
        <v>428.75</v>
      </c>
      <c r="G17" s="35" t="s">
        <v>92</v>
      </c>
      <c r="H17" s="35" t="s">
        <v>133</v>
      </c>
      <c r="I17" s="35">
        <v>25</v>
      </c>
      <c r="J17" s="35">
        <v>16</v>
      </c>
      <c r="K17" s="35"/>
      <c r="L17" s="35">
        <v>0</v>
      </c>
      <c r="M17" s="35">
        <v>0</v>
      </c>
      <c r="N17" s="35"/>
      <c r="O17" s="35">
        <v>0</v>
      </c>
      <c r="P17" s="35">
        <v>0</v>
      </c>
      <c r="Q17" s="35"/>
      <c r="R17" s="37">
        <f t="shared" ref="R17:R55" si="0">O17+L17+I17</f>
        <v>25</v>
      </c>
      <c r="S17" s="38">
        <f t="shared" ref="S17:S56" si="1">J17+M17+P17</f>
        <v>16</v>
      </c>
    </row>
    <row r="18" spans="2:19" ht="18" x14ac:dyDescent="0.35">
      <c r="B18" s="34">
        <v>3</v>
      </c>
      <c r="C18" s="35" t="s">
        <v>94</v>
      </c>
      <c r="D18" s="36" t="s">
        <v>178</v>
      </c>
      <c r="E18" s="35">
        <v>93833</v>
      </c>
      <c r="F18" s="35">
        <v>214</v>
      </c>
      <c r="G18" s="35" t="s">
        <v>92</v>
      </c>
      <c r="H18" s="35" t="s">
        <v>179</v>
      </c>
      <c r="I18" s="35">
        <v>16</v>
      </c>
      <c r="J18" s="35">
        <v>16</v>
      </c>
      <c r="K18" s="35"/>
      <c r="L18" s="35">
        <v>60</v>
      </c>
      <c r="M18" s="35">
        <v>60</v>
      </c>
      <c r="N18" s="35"/>
      <c r="O18" s="35">
        <v>65</v>
      </c>
      <c r="P18" s="35">
        <v>65</v>
      </c>
      <c r="Q18" s="35"/>
      <c r="R18" s="37">
        <f t="shared" si="0"/>
        <v>141</v>
      </c>
      <c r="S18" s="38">
        <f t="shared" si="1"/>
        <v>141</v>
      </c>
    </row>
    <row r="19" spans="2:19" ht="18" x14ac:dyDescent="0.35">
      <c r="B19" s="34">
        <v>4</v>
      </c>
      <c r="C19" s="35" t="s">
        <v>102</v>
      </c>
      <c r="D19" s="36" t="s">
        <v>35</v>
      </c>
      <c r="E19" s="35">
        <v>98808</v>
      </c>
      <c r="F19" s="35">
        <v>76.2</v>
      </c>
      <c r="G19" s="35" t="s">
        <v>92</v>
      </c>
      <c r="H19" s="35" t="s">
        <v>154</v>
      </c>
      <c r="I19" s="35">
        <v>0</v>
      </c>
      <c r="J19" s="35">
        <v>0</v>
      </c>
      <c r="K19" s="35"/>
      <c r="L19" s="35">
        <v>0</v>
      </c>
      <c r="M19" s="35">
        <v>0</v>
      </c>
      <c r="N19" s="35"/>
      <c r="O19" s="35">
        <v>300</v>
      </c>
      <c r="P19" s="35">
        <v>280</v>
      </c>
      <c r="Q19" s="35"/>
      <c r="R19" s="37">
        <f t="shared" si="0"/>
        <v>300</v>
      </c>
      <c r="S19" s="38">
        <f t="shared" si="1"/>
        <v>280</v>
      </c>
    </row>
    <row r="20" spans="2:19" ht="18" x14ac:dyDescent="0.35">
      <c r="B20" s="34">
        <v>5</v>
      </c>
      <c r="C20" s="35" t="s">
        <v>166</v>
      </c>
      <c r="D20" s="36"/>
      <c r="E20" s="35">
        <v>86308</v>
      </c>
      <c r="F20" s="35">
        <v>55.88</v>
      </c>
      <c r="G20" s="35"/>
      <c r="H20" s="35" t="s">
        <v>96</v>
      </c>
      <c r="I20" s="35">
        <v>0</v>
      </c>
      <c r="J20" s="35">
        <v>0</v>
      </c>
      <c r="K20" s="35"/>
      <c r="L20" s="35">
        <v>0</v>
      </c>
      <c r="M20" s="35">
        <v>0</v>
      </c>
      <c r="N20" s="35"/>
      <c r="O20" s="35">
        <v>0</v>
      </c>
      <c r="P20" s="35">
        <v>0</v>
      </c>
      <c r="Q20" s="35"/>
      <c r="R20" s="37">
        <f t="shared" si="0"/>
        <v>0</v>
      </c>
      <c r="S20" s="38">
        <f t="shared" si="1"/>
        <v>0</v>
      </c>
    </row>
    <row r="21" spans="2:19" ht="18" x14ac:dyDescent="0.35">
      <c r="B21" s="34">
        <v>6</v>
      </c>
      <c r="C21" s="35" t="s">
        <v>105</v>
      </c>
      <c r="D21" s="36" t="s">
        <v>95</v>
      </c>
      <c r="E21" s="35">
        <v>86308</v>
      </c>
      <c r="F21" s="35">
        <v>55.88</v>
      </c>
      <c r="G21" s="35" t="s">
        <v>92</v>
      </c>
      <c r="H21" s="35" t="s">
        <v>96</v>
      </c>
      <c r="I21" s="35">
        <v>0</v>
      </c>
      <c r="J21" s="35">
        <v>0</v>
      </c>
      <c r="K21" s="35" t="s">
        <v>164</v>
      </c>
      <c r="L21" s="35">
        <v>0</v>
      </c>
      <c r="M21" s="35">
        <v>0</v>
      </c>
      <c r="N21" s="35"/>
      <c r="O21" s="35">
        <v>0</v>
      </c>
      <c r="P21" s="35">
        <v>0</v>
      </c>
      <c r="Q21" s="35"/>
      <c r="R21" s="37">
        <f t="shared" si="0"/>
        <v>0</v>
      </c>
      <c r="S21" s="38">
        <f t="shared" si="1"/>
        <v>0</v>
      </c>
    </row>
    <row r="22" spans="2:19" ht="18" x14ac:dyDescent="0.35">
      <c r="B22" s="34">
        <v>7</v>
      </c>
      <c r="C22" s="35" t="s">
        <v>106</v>
      </c>
      <c r="D22" s="36" t="s">
        <v>95</v>
      </c>
      <c r="E22" s="35">
        <v>86308</v>
      </c>
      <c r="F22" s="35">
        <v>55.88</v>
      </c>
      <c r="G22" s="35" t="s">
        <v>92</v>
      </c>
      <c r="H22" s="35" t="s">
        <v>163</v>
      </c>
      <c r="I22" s="35">
        <v>0</v>
      </c>
      <c r="J22" s="35">
        <v>0</v>
      </c>
      <c r="K22" s="35" t="s">
        <v>164</v>
      </c>
      <c r="L22" s="35">
        <v>0</v>
      </c>
      <c r="M22" s="35">
        <v>0</v>
      </c>
      <c r="N22" s="35"/>
      <c r="O22" s="35">
        <v>0</v>
      </c>
      <c r="P22" s="35">
        <v>0</v>
      </c>
      <c r="Q22" s="35"/>
      <c r="R22" s="37">
        <f t="shared" si="0"/>
        <v>0</v>
      </c>
      <c r="S22" s="38">
        <f t="shared" si="1"/>
        <v>0</v>
      </c>
    </row>
    <row r="23" spans="2:19" ht="18" x14ac:dyDescent="0.35">
      <c r="B23" s="34">
        <v>8</v>
      </c>
      <c r="C23" s="35" t="s">
        <v>108</v>
      </c>
      <c r="D23" s="36" t="s">
        <v>95</v>
      </c>
      <c r="E23" s="35">
        <v>86308</v>
      </c>
      <c r="F23" s="35">
        <v>55.88</v>
      </c>
      <c r="G23" s="35" t="s">
        <v>92</v>
      </c>
      <c r="H23" s="35" t="s">
        <v>96</v>
      </c>
      <c r="I23" s="35">
        <v>0</v>
      </c>
      <c r="J23" s="35">
        <v>0</v>
      </c>
      <c r="K23" s="35" t="s">
        <v>165</v>
      </c>
      <c r="L23" s="35">
        <v>0</v>
      </c>
      <c r="M23" s="35">
        <v>0</v>
      </c>
      <c r="N23" s="35" t="s">
        <v>165</v>
      </c>
      <c r="O23" s="35">
        <v>0</v>
      </c>
      <c r="P23" s="35">
        <v>0</v>
      </c>
      <c r="Q23" s="35"/>
      <c r="R23" s="37">
        <f t="shared" si="0"/>
        <v>0</v>
      </c>
      <c r="S23" s="38">
        <f t="shared" si="1"/>
        <v>0</v>
      </c>
    </row>
    <row r="24" spans="2:19" ht="18" x14ac:dyDescent="0.35">
      <c r="B24" s="34">
        <v>9</v>
      </c>
      <c r="C24" s="35" t="s">
        <v>102</v>
      </c>
      <c r="D24" s="36"/>
      <c r="E24" s="8" t="s">
        <v>26</v>
      </c>
      <c r="F24" s="35">
        <v>418.2</v>
      </c>
      <c r="G24" s="35">
        <v>90</v>
      </c>
      <c r="H24" s="35" t="s">
        <v>157</v>
      </c>
      <c r="I24" s="35">
        <v>0</v>
      </c>
      <c r="J24" s="35">
        <v>0</v>
      </c>
      <c r="K24" s="35"/>
      <c r="L24" s="35">
        <v>0</v>
      </c>
      <c r="M24" s="35">
        <v>0</v>
      </c>
      <c r="N24" s="35"/>
      <c r="O24" s="35">
        <v>0</v>
      </c>
      <c r="P24" s="35">
        <v>0</v>
      </c>
      <c r="Q24" s="35"/>
      <c r="R24" s="37">
        <f t="shared" si="0"/>
        <v>0</v>
      </c>
      <c r="S24" s="38">
        <f t="shared" si="1"/>
        <v>0</v>
      </c>
    </row>
    <row r="25" spans="2:19" ht="18" x14ac:dyDescent="0.35">
      <c r="B25" s="34">
        <v>10</v>
      </c>
      <c r="C25" s="35" t="s">
        <v>102</v>
      </c>
      <c r="D25" s="36" t="s">
        <v>35</v>
      </c>
      <c r="E25" s="35">
        <v>98814</v>
      </c>
      <c r="F25" s="35">
        <v>304.8</v>
      </c>
      <c r="G25" s="35">
        <v>90</v>
      </c>
      <c r="H25" s="35" t="s">
        <v>175</v>
      </c>
      <c r="I25" s="35">
        <v>150</v>
      </c>
      <c r="J25" s="35">
        <v>100</v>
      </c>
      <c r="K25" s="35"/>
      <c r="L25" s="35">
        <v>400</v>
      </c>
      <c r="M25" s="35">
        <v>390</v>
      </c>
      <c r="N25" s="35"/>
      <c r="O25" s="35">
        <v>0</v>
      </c>
      <c r="P25" s="35">
        <v>0</v>
      </c>
      <c r="Q25" s="35"/>
      <c r="R25" s="37">
        <f t="shared" si="0"/>
        <v>550</v>
      </c>
      <c r="S25" s="38">
        <f t="shared" si="1"/>
        <v>490</v>
      </c>
    </row>
    <row r="26" spans="2:19" ht="18" x14ac:dyDescent="0.35">
      <c r="B26" s="34">
        <v>11</v>
      </c>
      <c r="C26" s="35" t="s">
        <v>102</v>
      </c>
      <c r="D26" s="36" t="s">
        <v>35</v>
      </c>
      <c r="E26" s="35">
        <v>98808</v>
      </c>
      <c r="F26" s="35">
        <v>418.2</v>
      </c>
      <c r="G26" s="35">
        <v>90</v>
      </c>
      <c r="H26" s="35" t="s">
        <v>175</v>
      </c>
      <c r="I26" s="35">
        <v>0</v>
      </c>
      <c r="J26" s="35">
        <v>0</v>
      </c>
      <c r="K26" s="35"/>
      <c r="L26" s="35">
        <v>0</v>
      </c>
      <c r="M26" s="35">
        <v>0</v>
      </c>
      <c r="N26" s="35"/>
      <c r="O26" s="35">
        <v>0</v>
      </c>
      <c r="P26" s="35">
        <v>0</v>
      </c>
      <c r="Q26" s="35"/>
      <c r="R26" s="37">
        <f t="shared" si="0"/>
        <v>0</v>
      </c>
      <c r="S26" s="38">
        <f t="shared" si="1"/>
        <v>0</v>
      </c>
    </row>
    <row r="27" spans="2:19" ht="18" x14ac:dyDescent="0.35">
      <c r="B27" s="34">
        <v>12</v>
      </c>
      <c r="C27" s="35" t="s">
        <v>102</v>
      </c>
      <c r="D27" s="36" t="s">
        <v>35</v>
      </c>
      <c r="E27" s="35">
        <v>98808</v>
      </c>
      <c r="F27" s="35">
        <v>76.2</v>
      </c>
      <c r="G27" s="35">
        <v>90</v>
      </c>
      <c r="H27" s="35" t="s">
        <v>154</v>
      </c>
      <c r="I27" s="35">
        <v>0</v>
      </c>
      <c r="J27" s="35">
        <v>0</v>
      </c>
      <c r="K27" s="35"/>
      <c r="L27" s="35">
        <v>0</v>
      </c>
      <c r="M27" s="35">
        <v>0</v>
      </c>
      <c r="N27" s="35"/>
      <c r="O27" s="35">
        <v>0</v>
      </c>
      <c r="P27" s="35">
        <v>0</v>
      </c>
      <c r="Q27" s="35"/>
      <c r="R27" s="37">
        <f t="shared" si="0"/>
        <v>0</v>
      </c>
      <c r="S27" s="38">
        <f t="shared" si="1"/>
        <v>0</v>
      </c>
    </row>
    <row r="28" spans="2:19" ht="18" x14ac:dyDescent="0.35">
      <c r="B28" s="34">
        <v>13</v>
      </c>
      <c r="C28" s="35" t="s">
        <v>109</v>
      </c>
      <c r="D28" s="36" t="s">
        <v>35</v>
      </c>
      <c r="E28" s="35">
        <v>98812</v>
      </c>
      <c r="F28" s="35">
        <v>292.10000000000002</v>
      </c>
      <c r="G28" s="35">
        <v>90</v>
      </c>
      <c r="H28" s="35" t="s">
        <v>110</v>
      </c>
      <c r="I28" s="35">
        <v>0</v>
      </c>
      <c r="J28" s="35">
        <v>0</v>
      </c>
      <c r="K28" s="35"/>
      <c r="L28" s="35">
        <v>150</v>
      </c>
      <c r="M28" s="35">
        <v>132</v>
      </c>
      <c r="N28" s="35"/>
      <c r="O28" s="35">
        <v>0</v>
      </c>
      <c r="P28" s="35">
        <v>0</v>
      </c>
      <c r="Q28" s="35"/>
      <c r="R28" s="37">
        <f t="shared" si="0"/>
        <v>150</v>
      </c>
      <c r="S28" s="38">
        <f t="shared" si="1"/>
        <v>132</v>
      </c>
    </row>
    <row r="29" spans="2:19" ht="18" x14ac:dyDescent="0.35">
      <c r="B29" s="34">
        <v>14</v>
      </c>
      <c r="C29" s="35" t="s">
        <v>111</v>
      </c>
      <c r="D29" s="36" t="s">
        <v>35</v>
      </c>
      <c r="E29" s="35">
        <v>98811</v>
      </c>
      <c r="F29" s="35">
        <v>63.5</v>
      </c>
      <c r="G29" s="40" t="s">
        <v>112</v>
      </c>
      <c r="H29" s="35" t="s">
        <v>155</v>
      </c>
      <c r="I29" s="35">
        <v>0</v>
      </c>
      <c r="J29" s="35">
        <v>0</v>
      </c>
      <c r="K29" s="35"/>
      <c r="L29" s="35">
        <v>0</v>
      </c>
      <c r="M29" s="35">
        <v>0</v>
      </c>
      <c r="N29" s="35"/>
      <c r="O29" s="35">
        <v>0</v>
      </c>
      <c r="P29" s="35">
        <v>0</v>
      </c>
      <c r="Q29" s="35"/>
      <c r="R29" s="37">
        <f t="shared" si="0"/>
        <v>0</v>
      </c>
      <c r="S29" s="38">
        <f t="shared" si="1"/>
        <v>0</v>
      </c>
    </row>
    <row r="30" spans="2:19" ht="18" x14ac:dyDescent="0.35">
      <c r="B30" s="34">
        <v>15</v>
      </c>
      <c r="C30" s="35" t="s">
        <v>111</v>
      </c>
      <c r="D30" s="36" t="s">
        <v>35</v>
      </c>
      <c r="E30" s="35">
        <v>2122</v>
      </c>
      <c r="F30" s="35" t="s">
        <v>92</v>
      </c>
      <c r="G30" s="40" t="s">
        <v>114</v>
      </c>
      <c r="H30" s="35" t="s">
        <v>115</v>
      </c>
      <c r="I30" s="35">
        <v>0</v>
      </c>
      <c r="J30" s="35">
        <v>0</v>
      </c>
      <c r="K30" s="35"/>
      <c r="L30" s="35">
        <v>0</v>
      </c>
      <c r="M30" s="35">
        <v>0</v>
      </c>
      <c r="N30" s="26"/>
      <c r="O30" s="35">
        <v>50</v>
      </c>
      <c r="P30" s="35">
        <v>40</v>
      </c>
      <c r="Q30" s="26"/>
      <c r="R30" s="37">
        <f t="shared" si="0"/>
        <v>50</v>
      </c>
      <c r="S30" s="38">
        <f t="shared" si="1"/>
        <v>40</v>
      </c>
    </row>
    <row r="31" spans="2:19" ht="18" x14ac:dyDescent="0.35">
      <c r="B31" s="34">
        <v>16</v>
      </c>
      <c r="C31" s="35" t="s">
        <v>116</v>
      </c>
      <c r="D31" s="36" t="s">
        <v>35</v>
      </c>
      <c r="E31" s="35">
        <v>98809</v>
      </c>
      <c r="F31" s="35">
        <v>152.4</v>
      </c>
      <c r="G31" s="40" t="s">
        <v>122</v>
      </c>
      <c r="H31" s="35" t="s">
        <v>154</v>
      </c>
      <c r="I31" s="35">
        <v>0</v>
      </c>
      <c r="J31" s="35">
        <v>0</v>
      </c>
      <c r="K31" s="35"/>
      <c r="L31" s="35">
        <v>0</v>
      </c>
      <c r="M31" s="35">
        <v>0</v>
      </c>
      <c r="N31" s="26"/>
      <c r="O31" s="35">
        <v>0</v>
      </c>
      <c r="P31" s="35">
        <v>0</v>
      </c>
      <c r="Q31" s="26"/>
      <c r="R31" s="37">
        <f t="shared" si="0"/>
        <v>0</v>
      </c>
      <c r="S31" s="38">
        <f t="shared" si="1"/>
        <v>0</v>
      </c>
    </row>
    <row r="32" spans="2:19" ht="18" x14ac:dyDescent="0.35">
      <c r="B32" s="34">
        <v>17</v>
      </c>
      <c r="C32" s="35" t="s">
        <v>116</v>
      </c>
      <c r="D32" s="36" t="s">
        <v>35</v>
      </c>
      <c r="E32" s="35">
        <v>98809</v>
      </c>
      <c r="F32" s="35">
        <v>152.4</v>
      </c>
      <c r="G32" s="40" t="s">
        <v>122</v>
      </c>
      <c r="H32" s="35" t="s">
        <v>154</v>
      </c>
      <c r="I32" s="35">
        <v>0</v>
      </c>
      <c r="J32" s="35">
        <v>0</v>
      </c>
      <c r="K32" s="35"/>
      <c r="L32" s="35">
        <v>0</v>
      </c>
      <c r="M32" s="35">
        <v>0</v>
      </c>
      <c r="N32" s="26"/>
      <c r="O32" s="35">
        <v>0</v>
      </c>
      <c r="P32" s="35">
        <v>0</v>
      </c>
      <c r="Q32" s="26"/>
      <c r="R32" s="37">
        <f t="shared" si="0"/>
        <v>0</v>
      </c>
      <c r="S32" s="38">
        <f t="shared" si="1"/>
        <v>0</v>
      </c>
    </row>
    <row r="33" spans="2:19" ht="18" x14ac:dyDescent="0.35">
      <c r="B33" s="34">
        <v>18</v>
      </c>
      <c r="C33" s="35" t="s">
        <v>180</v>
      </c>
      <c r="D33" s="36" t="s">
        <v>35</v>
      </c>
      <c r="E33" s="35">
        <v>98814</v>
      </c>
      <c r="F33" s="35">
        <v>304.8</v>
      </c>
      <c r="G33" s="40" t="s">
        <v>40</v>
      </c>
      <c r="H33" s="35" t="s">
        <v>118</v>
      </c>
      <c r="I33" s="35">
        <v>250</v>
      </c>
      <c r="J33" s="35">
        <v>214</v>
      </c>
      <c r="K33" s="35"/>
      <c r="L33" s="35">
        <v>100</v>
      </c>
      <c r="M33" s="35">
        <v>90</v>
      </c>
      <c r="N33" s="26"/>
      <c r="O33" s="35">
        <v>300</v>
      </c>
      <c r="P33" s="35">
        <v>300</v>
      </c>
      <c r="Q33" s="26"/>
      <c r="R33" s="37">
        <f t="shared" si="0"/>
        <v>650</v>
      </c>
      <c r="S33" s="38">
        <f t="shared" si="1"/>
        <v>604</v>
      </c>
    </row>
    <row r="34" spans="2:19" ht="18" x14ac:dyDescent="0.35">
      <c r="B34" s="34">
        <v>19</v>
      </c>
      <c r="C34" s="35" t="s">
        <v>119</v>
      </c>
      <c r="D34" s="36" t="s">
        <v>35</v>
      </c>
      <c r="E34" s="35">
        <v>98808</v>
      </c>
      <c r="F34" s="35">
        <v>418.2</v>
      </c>
      <c r="G34" s="40" t="s">
        <v>122</v>
      </c>
      <c r="H34" s="35" t="s">
        <v>120</v>
      </c>
      <c r="I34" s="35">
        <v>0</v>
      </c>
      <c r="J34" s="35">
        <v>0</v>
      </c>
      <c r="K34" s="35"/>
      <c r="L34" s="35">
        <v>0</v>
      </c>
      <c r="M34" s="35">
        <v>0</v>
      </c>
      <c r="N34" s="26"/>
      <c r="O34" s="35">
        <v>0</v>
      </c>
      <c r="P34" s="35">
        <v>0</v>
      </c>
      <c r="Q34" s="26"/>
      <c r="R34" s="37">
        <f t="shared" si="0"/>
        <v>0</v>
      </c>
      <c r="S34" s="38">
        <f t="shared" si="1"/>
        <v>0</v>
      </c>
    </row>
    <row r="35" spans="2:19" ht="18" x14ac:dyDescent="0.35">
      <c r="B35" s="34">
        <v>20</v>
      </c>
      <c r="C35" s="35" t="s">
        <v>176</v>
      </c>
      <c r="D35" s="36" t="s">
        <v>35</v>
      </c>
      <c r="E35" s="35">
        <v>98808</v>
      </c>
      <c r="F35" s="35">
        <v>418.2</v>
      </c>
      <c r="G35" s="40" t="s">
        <v>122</v>
      </c>
      <c r="H35" s="35" t="s">
        <v>118</v>
      </c>
      <c r="I35" s="35">
        <v>300</v>
      </c>
      <c r="J35" s="35">
        <v>270</v>
      </c>
      <c r="K35" s="35"/>
      <c r="L35" s="35">
        <v>0</v>
      </c>
      <c r="M35" s="35">
        <v>0</v>
      </c>
      <c r="N35" s="26"/>
      <c r="O35" s="35">
        <v>0</v>
      </c>
      <c r="P35" s="35">
        <v>0</v>
      </c>
      <c r="Q35" s="26"/>
      <c r="R35" s="37">
        <f t="shared" si="0"/>
        <v>300</v>
      </c>
      <c r="S35" s="38">
        <f t="shared" si="1"/>
        <v>270</v>
      </c>
    </row>
    <row r="36" spans="2:19" ht="18" x14ac:dyDescent="0.35">
      <c r="B36" s="34">
        <v>21</v>
      </c>
      <c r="C36" s="35" t="s">
        <v>121</v>
      </c>
      <c r="D36" s="36" t="s">
        <v>35</v>
      </c>
      <c r="E36" s="35">
        <v>98808</v>
      </c>
      <c r="F36" s="35">
        <v>428.75</v>
      </c>
      <c r="G36" s="40" t="s">
        <v>117</v>
      </c>
      <c r="H36" s="35" t="s">
        <v>118</v>
      </c>
      <c r="I36" s="35">
        <v>600</v>
      </c>
      <c r="J36" s="35">
        <v>504</v>
      </c>
      <c r="K36" s="35"/>
      <c r="L36" s="35">
        <v>270</v>
      </c>
      <c r="M36" s="35">
        <v>270</v>
      </c>
      <c r="N36" s="35"/>
      <c r="O36" s="35">
        <v>0</v>
      </c>
      <c r="P36" s="35">
        <v>0</v>
      </c>
      <c r="Q36" s="26"/>
      <c r="R36" s="37">
        <f t="shared" si="0"/>
        <v>870</v>
      </c>
      <c r="S36" s="38">
        <f t="shared" si="1"/>
        <v>774</v>
      </c>
    </row>
    <row r="37" spans="2:19" ht="18" x14ac:dyDescent="0.35">
      <c r="B37" s="34">
        <v>22</v>
      </c>
      <c r="C37" s="35" t="s">
        <v>121</v>
      </c>
      <c r="D37" s="36" t="s">
        <v>35</v>
      </c>
      <c r="E37" s="35">
        <v>2123</v>
      </c>
      <c r="F37" s="35"/>
      <c r="G37" s="40" t="s">
        <v>123</v>
      </c>
      <c r="H37" s="35" t="s">
        <v>118</v>
      </c>
      <c r="I37" s="35">
        <v>0</v>
      </c>
      <c r="J37" s="35">
        <v>0</v>
      </c>
      <c r="K37" s="35"/>
      <c r="L37" s="35">
        <v>0</v>
      </c>
      <c r="M37" s="35">
        <v>0</v>
      </c>
      <c r="N37" s="35"/>
      <c r="O37" s="35">
        <v>0</v>
      </c>
      <c r="P37" s="35">
        <v>0</v>
      </c>
      <c r="Q37" s="26"/>
      <c r="R37" s="37">
        <f t="shared" si="0"/>
        <v>0</v>
      </c>
      <c r="S37" s="38">
        <f t="shared" si="1"/>
        <v>0</v>
      </c>
    </row>
    <row r="38" spans="2:19" ht="18" x14ac:dyDescent="0.35">
      <c r="B38" s="34">
        <v>23</v>
      </c>
      <c r="C38" s="37" t="s">
        <v>124</v>
      </c>
      <c r="D38" s="36" t="s">
        <v>35</v>
      </c>
      <c r="E38" s="37">
        <v>2191</v>
      </c>
      <c r="F38" s="37"/>
      <c r="G38" s="41" t="s">
        <v>126</v>
      </c>
      <c r="H38" s="26"/>
      <c r="I38" s="35">
        <v>170</v>
      </c>
      <c r="J38" s="35">
        <v>160</v>
      </c>
      <c r="K38" s="26"/>
      <c r="L38" s="35">
        <v>0</v>
      </c>
      <c r="M38" s="35">
        <v>0</v>
      </c>
      <c r="N38" s="35"/>
      <c r="O38" s="35">
        <v>110</v>
      </c>
      <c r="P38" s="35">
        <v>110</v>
      </c>
      <c r="Q38" s="26"/>
      <c r="R38" s="37">
        <f t="shared" si="0"/>
        <v>280</v>
      </c>
      <c r="S38" s="38">
        <f t="shared" si="1"/>
        <v>270</v>
      </c>
    </row>
    <row r="39" spans="2:19" ht="18" x14ac:dyDescent="0.35">
      <c r="B39" s="34">
        <v>24</v>
      </c>
      <c r="C39" s="37" t="s">
        <v>124</v>
      </c>
      <c r="D39" s="36" t="s">
        <v>35</v>
      </c>
      <c r="E39" s="37">
        <v>2191</v>
      </c>
      <c r="F39" s="37"/>
      <c r="G39" s="41" t="s">
        <v>174</v>
      </c>
      <c r="H39" s="26"/>
      <c r="I39" s="35">
        <v>60</v>
      </c>
      <c r="J39" s="35">
        <v>50</v>
      </c>
      <c r="K39" s="26"/>
      <c r="L39" s="35">
        <v>0</v>
      </c>
      <c r="M39" s="35">
        <v>0</v>
      </c>
      <c r="N39" s="35"/>
      <c r="O39" s="35">
        <v>0</v>
      </c>
      <c r="P39" s="35">
        <v>0</v>
      </c>
      <c r="Q39" s="26"/>
      <c r="R39" s="37">
        <f t="shared" si="0"/>
        <v>60</v>
      </c>
      <c r="S39" s="38">
        <f t="shared" si="1"/>
        <v>50</v>
      </c>
    </row>
    <row r="40" spans="2:19" ht="18" x14ac:dyDescent="0.35">
      <c r="B40" s="34">
        <v>25</v>
      </c>
      <c r="C40" s="37" t="s">
        <v>124</v>
      </c>
      <c r="D40" s="36" t="s">
        <v>35</v>
      </c>
      <c r="E40" s="37">
        <v>2122</v>
      </c>
      <c r="F40" s="37"/>
      <c r="G40" s="41" t="s">
        <v>127</v>
      </c>
      <c r="H40" s="26"/>
      <c r="I40" s="35">
        <v>160</v>
      </c>
      <c r="J40" s="35">
        <v>130</v>
      </c>
      <c r="K40" s="26"/>
      <c r="L40" s="35">
        <v>0</v>
      </c>
      <c r="M40" s="35">
        <v>0</v>
      </c>
      <c r="N40" s="35"/>
      <c r="O40" s="35">
        <v>0</v>
      </c>
      <c r="P40" s="35">
        <v>0</v>
      </c>
      <c r="Q40" s="26"/>
      <c r="R40" s="37">
        <f t="shared" si="0"/>
        <v>160</v>
      </c>
      <c r="S40" s="38">
        <f t="shared" si="1"/>
        <v>130</v>
      </c>
    </row>
    <row r="41" spans="2:19" ht="18" x14ac:dyDescent="0.35">
      <c r="B41" s="34">
        <v>26</v>
      </c>
      <c r="C41" s="37" t="s">
        <v>124</v>
      </c>
      <c r="D41" s="36" t="s">
        <v>35</v>
      </c>
      <c r="E41" s="37">
        <v>2122</v>
      </c>
      <c r="F41" s="37"/>
      <c r="G41" s="41" t="s">
        <v>128</v>
      </c>
      <c r="H41" s="26"/>
      <c r="I41" s="35">
        <v>0</v>
      </c>
      <c r="J41" s="35">
        <v>0</v>
      </c>
      <c r="K41" s="26"/>
      <c r="L41" s="35">
        <v>0</v>
      </c>
      <c r="M41" s="35">
        <v>0</v>
      </c>
      <c r="N41" s="26"/>
      <c r="O41" s="35">
        <v>65</v>
      </c>
      <c r="P41" s="35">
        <v>65</v>
      </c>
      <c r="Q41" s="26"/>
      <c r="R41" s="37">
        <f t="shared" si="0"/>
        <v>65</v>
      </c>
      <c r="S41" s="38">
        <f t="shared" si="1"/>
        <v>65</v>
      </c>
    </row>
    <row r="42" spans="2:19" ht="18" x14ac:dyDescent="0.35">
      <c r="B42" s="34">
        <v>27</v>
      </c>
      <c r="C42" s="37" t="s">
        <v>124</v>
      </c>
      <c r="D42" s="36" t="s">
        <v>35</v>
      </c>
      <c r="E42" s="37">
        <v>2123</v>
      </c>
      <c r="F42" s="37"/>
      <c r="G42" s="41" t="s">
        <v>127</v>
      </c>
      <c r="H42" s="26"/>
      <c r="I42" s="35">
        <v>0</v>
      </c>
      <c r="J42" s="35">
        <v>0</v>
      </c>
      <c r="K42" s="26"/>
      <c r="L42" s="35">
        <v>0</v>
      </c>
      <c r="M42" s="35">
        <v>0</v>
      </c>
      <c r="N42" s="26"/>
      <c r="O42" s="35">
        <v>0</v>
      </c>
      <c r="P42" s="35">
        <v>0</v>
      </c>
      <c r="Q42" s="26"/>
      <c r="R42" s="37">
        <f t="shared" si="0"/>
        <v>0</v>
      </c>
      <c r="S42" s="38">
        <f t="shared" si="1"/>
        <v>0</v>
      </c>
    </row>
    <row r="43" spans="2:19" ht="18" x14ac:dyDescent="0.35">
      <c r="B43" s="34">
        <v>28</v>
      </c>
      <c r="C43" s="37" t="s">
        <v>124</v>
      </c>
      <c r="D43" s="36" t="s">
        <v>35</v>
      </c>
      <c r="E43" s="37">
        <v>2123</v>
      </c>
      <c r="F43" s="37"/>
      <c r="G43" s="41" t="s">
        <v>129</v>
      </c>
      <c r="H43" s="26"/>
      <c r="I43" s="35">
        <v>0</v>
      </c>
      <c r="J43" s="35">
        <v>0</v>
      </c>
      <c r="K43" s="26"/>
      <c r="L43" s="35">
        <v>0</v>
      </c>
      <c r="M43" s="35">
        <v>0</v>
      </c>
      <c r="N43" s="26"/>
      <c r="O43" s="35">
        <v>0</v>
      </c>
      <c r="P43" s="35">
        <v>0</v>
      </c>
      <c r="Q43" s="26"/>
      <c r="R43" s="37">
        <f t="shared" si="0"/>
        <v>0</v>
      </c>
      <c r="S43" s="38">
        <f t="shared" si="1"/>
        <v>0</v>
      </c>
    </row>
    <row r="44" spans="2:19" ht="18" x14ac:dyDescent="0.35">
      <c r="B44" s="34">
        <v>29</v>
      </c>
      <c r="C44" s="37" t="s">
        <v>161</v>
      </c>
      <c r="D44" s="36" t="s">
        <v>35</v>
      </c>
      <c r="E44" s="37">
        <v>2123</v>
      </c>
      <c r="F44" s="37"/>
      <c r="G44" s="41"/>
      <c r="H44" s="26"/>
      <c r="I44" s="35">
        <v>0</v>
      </c>
      <c r="J44" s="35">
        <v>0</v>
      </c>
      <c r="K44" s="26"/>
      <c r="L44" s="35">
        <v>0</v>
      </c>
      <c r="M44" s="35">
        <v>0</v>
      </c>
      <c r="N44" s="26"/>
      <c r="O44" s="35">
        <v>0</v>
      </c>
      <c r="P44" s="35">
        <v>0</v>
      </c>
      <c r="Q44" s="26"/>
      <c r="R44" s="37">
        <f t="shared" si="0"/>
        <v>0</v>
      </c>
      <c r="S44" s="38">
        <f t="shared" si="1"/>
        <v>0</v>
      </c>
    </row>
    <row r="45" spans="2:19" ht="18" x14ac:dyDescent="0.35">
      <c r="B45" s="34">
        <v>30</v>
      </c>
      <c r="C45" s="37" t="s">
        <v>131</v>
      </c>
      <c r="D45" s="36" t="s">
        <v>35</v>
      </c>
      <c r="E45" s="37">
        <v>2123</v>
      </c>
      <c r="F45" s="37"/>
      <c r="G45" s="41" t="s">
        <v>128</v>
      </c>
      <c r="H45" s="26"/>
      <c r="I45" s="35">
        <v>0</v>
      </c>
      <c r="J45" s="35">
        <v>0</v>
      </c>
      <c r="K45" s="26"/>
      <c r="L45" s="35">
        <v>40</v>
      </c>
      <c r="M45" s="35">
        <v>30</v>
      </c>
      <c r="N45" s="26"/>
      <c r="O45" s="35">
        <v>0</v>
      </c>
      <c r="P45" s="35">
        <v>0</v>
      </c>
      <c r="Q45" s="26"/>
      <c r="R45" s="37">
        <f t="shared" si="0"/>
        <v>40</v>
      </c>
      <c r="S45" s="38">
        <f t="shared" si="1"/>
        <v>30</v>
      </c>
    </row>
    <row r="46" spans="2:19" ht="18" x14ac:dyDescent="0.35">
      <c r="B46" s="34">
        <v>31</v>
      </c>
      <c r="C46" s="37" t="s">
        <v>162</v>
      </c>
      <c r="D46" s="42" t="s">
        <v>35</v>
      </c>
      <c r="E46" s="37">
        <v>98814</v>
      </c>
      <c r="F46" s="37">
        <v>304.8</v>
      </c>
      <c r="G46" s="41" t="s">
        <v>10</v>
      </c>
      <c r="H46" s="26"/>
      <c r="I46" s="35">
        <v>0</v>
      </c>
      <c r="J46" s="35">
        <v>0</v>
      </c>
      <c r="K46" s="26"/>
      <c r="L46" s="35">
        <v>0</v>
      </c>
      <c r="M46" s="35">
        <v>0</v>
      </c>
      <c r="N46" s="26"/>
      <c r="O46" s="35">
        <v>0</v>
      </c>
      <c r="P46" s="35">
        <v>0</v>
      </c>
      <c r="Q46" s="26"/>
      <c r="R46" s="37">
        <f t="shared" si="0"/>
        <v>0</v>
      </c>
      <c r="S46" s="38">
        <f t="shared" si="1"/>
        <v>0</v>
      </c>
    </row>
    <row r="47" spans="2:19" ht="18" x14ac:dyDescent="0.35">
      <c r="B47" s="34">
        <v>32</v>
      </c>
      <c r="C47" s="37" t="s">
        <v>39</v>
      </c>
      <c r="D47" s="42" t="s">
        <v>35</v>
      </c>
      <c r="E47" s="37">
        <v>98814</v>
      </c>
      <c r="F47" s="37">
        <v>304.8</v>
      </c>
      <c r="G47" s="41" t="s">
        <v>39</v>
      </c>
      <c r="H47" s="37" t="s">
        <v>96</v>
      </c>
      <c r="I47" s="35">
        <v>120</v>
      </c>
      <c r="J47" s="35">
        <v>80</v>
      </c>
      <c r="K47" s="37"/>
      <c r="L47" s="35">
        <v>120</v>
      </c>
      <c r="M47" s="35">
        <v>110</v>
      </c>
      <c r="N47" s="23"/>
      <c r="O47" s="35">
        <v>100</v>
      </c>
      <c r="P47" s="35">
        <v>86</v>
      </c>
      <c r="Q47" s="23"/>
      <c r="R47" s="37">
        <f t="shared" si="0"/>
        <v>340</v>
      </c>
      <c r="S47" s="38">
        <f>J47+M47+P47</f>
        <v>276</v>
      </c>
    </row>
    <row r="48" spans="2:19" ht="18" x14ac:dyDescent="0.35">
      <c r="B48" s="34">
        <v>33</v>
      </c>
      <c r="C48" s="37" t="s">
        <v>132</v>
      </c>
      <c r="D48" s="42" t="s">
        <v>172</v>
      </c>
      <c r="E48" s="37">
        <v>86805</v>
      </c>
      <c r="F48" s="37"/>
      <c r="G48" s="41" t="s">
        <v>12</v>
      </c>
      <c r="H48" s="37" t="s">
        <v>173</v>
      </c>
      <c r="I48" s="35">
        <v>0</v>
      </c>
      <c r="J48" s="35">
        <v>0</v>
      </c>
      <c r="K48" s="37"/>
      <c r="L48" s="35">
        <v>0</v>
      </c>
      <c r="M48" s="35">
        <v>0</v>
      </c>
      <c r="N48" s="26"/>
      <c r="O48" s="35">
        <v>0</v>
      </c>
      <c r="P48" s="35">
        <v>0</v>
      </c>
      <c r="Q48" s="26"/>
      <c r="R48" s="37">
        <f t="shared" si="0"/>
        <v>0</v>
      </c>
      <c r="S48" s="38">
        <f t="shared" si="1"/>
        <v>0</v>
      </c>
    </row>
    <row r="49" spans="2:19" ht="18" x14ac:dyDescent="0.35">
      <c r="B49" s="34">
        <v>34</v>
      </c>
      <c r="C49" s="37" t="s">
        <v>158</v>
      </c>
      <c r="D49" s="42" t="s">
        <v>35</v>
      </c>
      <c r="E49" s="37">
        <v>98815</v>
      </c>
      <c r="F49" s="37">
        <v>406.4</v>
      </c>
      <c r="G49" s="41" t="s">
        <v>135</v>
      </c>
      <c r="H49" s="37" t="s">
        <v>133</v>
      </c>
      <c r="I49" s="35">
        <v>0</v>
      </c>
      <c r="J49" s="35">
        <v>0</v>
      </c>
      <c r="K49" s="37"/>
      <c r="L49" s="35">
        <v>0</v>
      </c>
      <c r="M49" s="35">
        <v>0</v>
      </c>
      <c r="N49" s="26"/>
      <c r="O49" s="35">
        <v>0</v>
      </c>
      <c r="P49" s="35">
        <v>0</v>
      </c>
      <c r="Q49" s="26"/>
      <c r="R49" s="37">
        <f t="shared" si="0"/>
        <v>0</v>
      </c>
      <c r="S49" s="38">
        <f t="shared" si="1"/>
        <v>0</v>
      </c>
    </row>
    <row r="50" spans="2:19" ht="18" x14ac:dyDescent="0.35">
      <c r="B50" s="34">
        <v>35</v>
      </c>
      <c r="C50" s="37" t="s">
        <v>170</v>
      </c>
      <c r="D50" s="42" t="s">
        <v>35</v>
      </c>
      <c r="E50" s="37">
        <v>98815</v>
      </c>
      <c r="F50" s="37">
        <v>406.4</v>
      </c>
      <c r="G50" s="41" t="s">
        <v>159</v>
      </c>
      <c r="H50" s="37" t="s">
        <v>133</v>
      </c>
      <c r="I50" s="35">
        <v>0</v>
      </c>
      <c r="J50" s="35">
        <v>0</v>
      </c>
      <c r="K50" s="37"/>
      <c r="L50" s="35">
        <v>0</v>
      </c>
      <c r="M50" s="35">
        <v>0</v>
      </c>
      <c r="N50" s="26"/>
      <c r="O50" s="35">
        <v>0</v>
      </c>
      <c r="P50" s="35">
        <v>0</v>
      </c>
      <c r="Q50" s="26"/>
      <c r="R50" s="37">
        <f t="shared" si="0"/>
        <v>0</v>
      </c>
      <c r="S50" s="38">
        <f t="shared" si="1"/>
        <v>0</v>
      </c>
    </row>
    <row r="51" spans="2:19" ht="18" x14ac:dyDescent="0.35">
      <c r="B51" s="34">
        <v>36</v>
      </c>
      <c r="C51" s="37" t="s">
        <v>171</v>
      </c>
      <c r="D51" s="42" t="s">
        <v>141</v>
      </c>
      <c r="E51" s="37">
        <v>82527</v>
      </c>
      <c r="F51" s="37">
        <v>155</v>
      </c>
      <c r="G51" s="41" t="s">
        <v>142</v>
      </c>
      <c r="H51" s="37" t="s">
        <v>96</v>
      </c>
      <c r="I51" s="35">
        <v>0</v>
      </c>
      <c r="J51" s="35">
        <v>0</v>
      </c>
      <c r="K51" s="37"/>
      <c r="L51" s="35">
        <v>0</v>
      </c>
      <c r="M51" s="35">
        <v>0</v>
      </c>
      <c r="N51" s="26"/>
      <c r="O51" s="35">
        <v>0</v>
      </c>
      <c r="P51" s="35">
        <v>0</v>
      </c>
      <c r="Q51" s="26"/>
      <c r="R51" s="37">
        <f t="shared" si="0"/>
        <v>0</v>
      </c>
      <c r="S51" s="38">
        <f t="shared" si="1"/>
        <v>0</v>
      </c>
    </row>
    <row r="52" spans="2:19" ht="18" x14ac:dyDescent="0.35">
      <c r="B52" s="34">
        <v>37</v>
      </c>
      <c r="C52" s="37" t="s">
        <v>143</v>
      </c>
      <c r="D52" s="42" t="s">
        <v>144</v>
      </c>
      <c r="E52" s="37">
        <v>83572</v>
      </c>
      <c r="F52" s="37">
        <v>967.65</v>
      </c>
      <c r="G52" s="41" t="s">
        <v>145</v>
      </c>
      <c r="H52" s="37" t="s">
        <v>136</v>
      </c>
      <c r="I52" s="35">
        <v>0</v>
      </c>
      <c r="J52" s="35">
        <v>0</v>
      </c>
      <c r="K52" s="37"/>
      <c r="L52" s="35">
        <v>0</v>
      </c>
      <c r="M52" s="35">
        <v>0</v>
      </c>
      <c r="N52" s="35"/>
      <c r="O52" s="35">
        <v>0</v>
      </c>
      <c r="P52" s="35">
        <v>0</v>
      </c>
      <c r="Q52" s="26"/>
      <c r="R52" s="37">
        <f t="shared" si="0"/>
        <v>0</v>
      </c>
      <c r="S52" s="38">
        <f t="shared" si="1"/>
        <v>0</v>
      </c>
    </row>
    <row r="53" spans="2:19" ht="18" x14ac:dyDescent="0.35">
      <c r="B53" s="34">
        <v>38</v>
      </c>
      <c r="C53" s="37" t="s">
        <v>146</v>
      </c>
      <c r="D53" s="42" t="s">
        <v>144</v>
      </c>
      <c r="E53" s="37">
        <v>83834</v>
      </c>
      <c r="F53" s="37">
        <v>898.89</v>
      </c>
      <c r="G53" s="41" t="s">
        <v>147</v>
      </c>
      <c r="H53" s="37" t="s">
        <v>96</v>
      </c>
      <c r="I53" s="35">
        <v>0</v>
      </c>
      <c r="J53" s="35">
        <v>0</v>
      </c>
      <c r="K53" s="37"/>
      <c r="L53" s="35">
        <v>0</v>
      </c>
      <c r="M53" s="35">
        <v>0</v>
      </c>
      <c r="N53" s="35"/>
      <c r="O53" s="35">
        <v>0</v>
      </c>
      <c r="P53" s="35">
        <v>0</v>
      </c>
      <c r="Q53" s="26"/>
      <c r="R53" s="37">
        <f t="shared" si="0"/>
        <v>0</v>
      </c>
      <c r="S53" s="38">
        <f>J53+M53+P53</f>
        <v>0</v>
      </c>
    </row>
    <row r="54" spans="2:19" ht="36" x14ac:dyDescent="0.35">
      <c r="B54" s="34">
        <v>39</v>
      </c>
      <c r="C54" s="43" t="s">
        <v>148</v>
      </c>
      <c r="D54" s="36" t="s">
        <v>167</v>
      </c>
      <c r="E54" s="35">
        <v>93293</v>
      </c>
      <c r="F54" s="35">
        <v>16.2</v>
      </c>
      <c r="G54" s="40" t="s">
        <v>169</v>
      </c>
      <c r="H54" s="35" t="s">
        <v>104</v>
      </c>
      <c r="I54" s="35">
        <v>0</v>
      </c>
      <c r="J54" s="35">
        <v>0</v>
      </c>
      <c r="K54" s="37"/>
      <c r="L54" s="35">
        <v>0</v>
      </c>
      <c r="M54" s="35">
        <v>0</v>
      </c>
      <c r="N54" s="35"/>
      <c r="O54" s="35">
        <v>0</v>
      </c>
      <c r="P54" s="35">
        <v>0</v>
      </c>
      <c r="Q54" s="35" t="s">
        <v>165</v>
      </c>
      <c r="R54" s="37">
        <f t="shared" si="0"/>
        <v>0</v>
      </c>
      <c r="S54" s="38">
        <f t="shared" si="1"/>
        <v>0</v>
      </c>
    </row>
    <row r="55" spans="2:19" ht="36" x14ac:dyDescent="0.35">
      <c r="B55" s="34">
        <v>40</v>
      </c>
      <c r="C55" s="43" t="s">
        <v>148</v>
      </c>
      <c r="D55" s="36" t="s">
        <v>167</v>
      </c>
      <c r="E55" s="35">
        <v>93290</v>
      </c>
      <c r="F55" s="35">
        <v>2382</v>
      </c>
      <c r="G55" s="40" t="s">
        <v>150</v>
      </c>
      <c r="H55" s="35" t="s">
        <v>113</v>
      </c>
      <c r="I55" s="35">
        <v>2000</v>
      </c>
      <c r="J55" s="35">
        <v>1666</v>
      </c>
      <c r="K55" s="35" t="s">
        <v>168</v>
      </c>
      <c r="L55" s="35">
        <v>2500</v>
      </c>
      <c r="M55" s="35">
        <v>2228</v>
      </c>
      <c r="N55" s="35"/>
      <c r="O55" s="35">
        <v>2000</v>
      </c>
      <c r="P55" s="35">
        <v>1854</v>
      </c>
      <c r="Q55" s="26"/>
      <c r="R55" s="35">
        <f t="shared" si="0"/>
        <v>6500</v>
      </c>
      <c r="S55" s="44">
        <f t="shared" si="1"/>
        <v>5748</v>
      </c>
    </row>
    <row r="56" spans="2:19" ht="36" x14ac:dyDescent="0.35">
      <c r="B56" s="34">
        <v>41</v>
      </c>
      <c r="C56" s="43" t="s">
        <v>151</v>
      </c>
      <c r="D56" s="36" t="s">
        <v>167</v>
      </c>
      <c r="E56" s="35">
        <v>93292</v>
      </c>
      <c r="F56" s="35">
        <v>1134</v>
      </c>
      <c r="G56" s="40" t="s">
        <v>150</v>
      </c>
      <c r="H56" s="35" t="s">
        <v>113</v>
      </c>
      <c r="I56" s="35">
        <v>0</v>
      </c>
      <c r="J56" s="35">
        <v>0</v>
      </c>
      <c r="K56" s="37"/>
      <c r="L56" s="35">
        <v>0</v>
      </c>
      <c r="M56" s="35">
        <v>0</v>
      </c>
      <c r="N56" s="35"/>
      <c r="O56" s="35">
        <v>0</v>
      </c>
      <c r="P56" s="35">
        <v>0</v>
      </c>
      <c r="Q56" s="26"/>
      <c r="R56" s="35">
        <f>O56+L56+I56</f>
        <v>0</v>
      </c>
      <c r="S56" s="44">
        <f t="shared" si="1"/>
        <v>0</v>
      </c>
    </row>
  </sheetData>
  <autoFilter ref="B15:S15" xr:uid="{00000000-0009-0000-0000-000005000000}"/>
  <mergeCells count="12">
    <mergeCell ref="R14:R15"/>
    <mergeCell ref="S14:S15"/>
    <mergeCell ref="B9:S11"/>
    <mergeCell ref="B14:B15"/>
    <mergeCell ref="C14:C15"/>
    <mergeCell ref="D14:D15"/>
    <mergeCell ref="E14:E15"/>
    <mergeCell ref="F14:F15"/>
    <mergeCell ref="G14:G15"/>
    <mergeCell ref="I14:K14"/>
    <mergeCell ref="L14:N14"/>
    <mergeCell ref="O14:Q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8"/>
  <sheetViews>
    <sheetView workbookViewId="0">
      <selection sqref="A1:R48"/>
    </sheetView>
  </sheetViews>
  <sheetFormatPr defaultRowHeight="14.4" x14ac:dyDescent="0.3"/>
  <cols>
    <col min="2" max="2" width="18.44140625" customWidth="1"/>
    <col min="3" max="3" width="21.5546875" customWidth="1"/>
    <col min="4" max="4" width="13.5546875" customWidth="1"/>
    <col min="6" max="6" width="29.33203125" customWidth="1"/>
    <col min="10" max="10" width="11.33203125" customWidth="1"/>
    <col min="13" max="13" width="11.109375" customWidth="1"/>
    <col min="16" max="16" width="11.5546875" customWidth="1"/>
    <col min="17" max="17" width="15.5546875" customWidth="1"/>
    <col min="18" max="18" width="15.109375" customWidth="1"/>
  </cols>
  <sheetData>
    <row r="1" spans="1:18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8" t="s">
        <v>76</v>
      </c>
      <c r="P5" s="29" t="s">
        <v>188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56" t="s">
        <v>83</v>
      </c>
      <c r="L6" s="56"/>
      <c r="M6" s="56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91</v>
      </c>
      <c r="C8" s="36" t="s">
        <v>35</v>
      </c>
      <c r="D8" s="35">
        <v>98812</v>
      </c>
      <c r="E8" s="35">
        <v>292.10000000000002</v>
      </c>
      <c r="F8" s="35" t="s">
        <v>92</v>
      </c>
      <c r="G8" s="35" t="s">
        <v>93</v>
      </c>
      <c r="H8" s="35">
        <v>0</v>
      </c>
      <c r="I8" s="35">
        <v>0</v>
      </c>
      <c r="J8" s="35"/>
      <c r="K8" s="35">
        <v>0</v>
      </c>
      <c r="L8" s="35">
        <v>0</v>
      </c>
      <c r="M8" s="35"/>
      <c r="N8" s="35">
        <v>0</v>
      </c>
      <c r="O8" s="35">
        <v>0</v>
      </c>
      <c r="P8" s="35"/>
      <c r="Q8" s="37">
        <f>N8+K8+H8</f>
        <v>0</v>
      </c>
      <c r="R8" s="38">
        <f>I8+L8+O8</f>
        <v>0</v>
      </c>
    </row>
    <row r="9" spans="1:18" ht="18" x14ac:dyDescent="0.35">
      <c r="A9" s="34">
        <v>2</v>
      </c>
      <c r="B9" s="35" t="s">
        <v>94</v>
      </c>
      <c r="C9" s="36" t="s">
        <v>184</v>
      </c>
      <c r="D9" s="35">
        <v>96720</v>
      </c>
      <c r="E9" s="35">
        <v>5700</v>
      </c>
      <c r="F9" s="35" t="s">
        <v>92</v>
      </c>
      <c r="G9" s="35" t="s">
        <v>96</v>
      </c>
      <c r="H9" s="35">
        <v>0</v>
      </c>
      <c r="I9" s="35">
        <v>0</v>
      </c>
      <c r="J9" s="35"/>
      <c r="K9" s="35">
        <v>50</v>
      </c>
      <c r="L9" s="35">
        <v>42</v>
      </c>
      <c r="M9" s="35"/>
      <c r="N9" s="35">
        <v>40</v>
      </c>
      <c r="O9" s="35">
        <v>33</v>
      </c>
      <c r="P9" s="35"/>
      <c r="Q9" s="37">
        <f t="shared" ref="Q9:Q47" si="0">N9+K9+H9</f>
        <v>90</v>
      </c>
      <c r="R9" s="38">
        <f t="shared" ref="R9:R48" si="1">I9+L9+O9</f>
        <v>75</v>
      </c>
    </row>
    <row r="10" spans="1:18" ht="18" x14ac:dyDescent="0.35">
      <c r="A10" s="34">
        <v>3</v>
      </c>
      <c r="B10" s="35" t="s">
        <v>94</v>
      </c>
      <c r="C10" s="36" t="s">
        <v>35</v>
      </c>
      <c r="D10" s="35">
        <v>98808</v>
      </c>
      <c r="E10" s="35">
        <v>76.2</v>
      </c>
      <c r="F10" s="35" t="s">
        <v>92</v>
      </c>
      <c r="G10" s="35" t="s">
        <v>154</v>
      </c>
      <c r="H10" s="35">
        <v>300</v>
      </c>
      <c r="I10" s="35">
        <v>220</v>
      </c>
      <c r="J10" s="35"/>
      <c r="K10" s="35">
        <v>0</v>
      </c>
      <c r="L10" s="35">
        <v>0</v>
      </c>
      <c r="M10" s="35"/>
      <c r="N10" s="35">
        <v>0</v>
      </c>
      <c r="O10" s="35">
        <v>0</v>
      </c>
      <c r="P10" s="35"/>
      <c r="Q10" s="37">
        <f t="shared" si="0"/>
        <v>300</v>
      </c>
      <c r="R10" s="38">
        <f t="shared" si="1"/>
        <v>220</v>
      </c>
    </row>
    <row r="11" spans="1:18" ht="18" x14ac:dyDescent="0.35">
      <c r="A11" s="34">
        <v>4</v>
      </c>
      <c r="B11" s="35" t="s">
        <v>181</v>
      </c>
      <c r="C11" s="36" t="s">
        <v>97</v>
      </c>
      <c r="D11" s="35">
        <v>93799</v>
      </c>
      <c r="E11" s="35">
        <v>86.36</v>
      </c>
      <c r="F11" s="35" t="s">
        <v>166</v>
      </c>
      <c r="G11" s="35" t="s">
        <v>96</v>
      </c>
      <c r="H11" s="35">
        <v>200</v>
      </c>
      <c r="I11" s="35">
        <v>150</v>
      </c>
      <c r="J11" s="35"/>
      <c r="K11" s="35">
        <v>0</v>
      </c>
      <c r="L11" s="35">
        <v>0</v>
      </c>
      <c r="M11" s="35"/>
      <c r="N11" s="35">
        <v>120</v>
      </c>
      <c r="O11" s="35">
        <v>100</v>
      </c>
      <c r="P11" s="35"/>
      <c r="Q11" s="37">
        <f t="shared" si="0"/>
        <v>320</v>
      </c>
      <c r="R11" s="38">
        <f t="shared" si="1"/>
        <v>250</v>
      </c>
    </row>
    <row r="12" spans="1:18" ht="18" x14ac:dyDescent="0.35">
      <c r="A12" s="34">
        <v>5</v>
      </c>
      <c r="B12" s="35" t="s">
        <v>182</v>
      </c>
      <c r="C12" s="36" t="s">
        <v>97</v>
      </c>
      <c r="D12" s="35">
        <v>93799</v>
      </c>
      <c r="E12" s="35">
        <v>86.36</v>
      </c>
      <c r="F12" s="35" t="s">
        <v>166</v>
      </c>
      <c r="G12" s="35" t="s">
        <v>96</v>
      </c>
      <c r="H12" s="35">
        <v>200</v>
      </c>
      <c r="I12" s="35">
        <v>140</v>
      </c>
      <c r="J12" s="35"/>
      <c r="K12" s="35">
        <v>0</v>
      </c>
      <c r="L12" s="35">
        <v>0</v>
      </c>
      <c r="M12" s="35"/>
      <c r="N12" s="35">
        <v>0</v>
      </c>
      <c r="O12" s="35">
        <v>0</v>
      </c>
      <c r="P12" s="35"/>
      <c r="Q12" s="37">
        <f t="shared" si="0"/>
        <v>200</v>
      </c>
      <c r="R12" s="38">
        <f t="shared" si="1"/>
        <v>140</v>
      </c>
    </row>
    <row r="13" spans="1:18" ht="18" x14ac:dyDescent="0.35">
      <c r="A13" s="34">
        <v>6</v>
      </c>
      <c r="B13" s="35" t="s">
        <v>105</v>
      </c>
      <c r="C13" s="36" t="s">
        <v>95</v>
      </c>
      <c r="D13" s="35">
        <v>86308</v>
      </c>
      <c r="E13" s="35">
        <v>55.88</v>
      </c>
      <c r="F13" s="35" t="s">
        <v>92</v>
      </c>
      <c r="G13" s="35" t="s">
        <v>96</v>
      </c>
      <c r="H13" s="35">
        <v>200</v>
      </c>
      <c r="I13" s="35">
        <v>150</v>
      </c>
      <c r="J13" s="35" t="s">
        <v>164</v>
      </c>
      <c r="K13" s="35">
        <v>150</v>
      </c>
      <c r="L13" s="35">
        <v>106</v>
      </c>
      <c r="M13" s="35"/>
      <c r="N13" s="35">
        <v>0</v>
      </c>
      <c r="O13" s="35">
        <v>0</v>
      </c>
      <c r="P13" s="35"/>
      <c r="Q13" s="37">
        <f t="shared" si="0"/>
        <v>350</v>
      </c>
      <c r="R13" s="38">
        <f t="shared" si="1"/>
        <v>256</v>
      </c>
    </row>
    <row r="14" spans="1:18" ht="18" x14ac:dyDescent="0.35">
      <c r="A14" s="34">
        <v>7</v>
      </c>
      <c r="B14" s="35" t="s">
        <v>106</v>
      </c>
      <c r="C14" s="36" t="s">
        <v>95</v>
      </c>
      <c r="D14" s="35">
        <v>86308</v>
      </c>
      <c r="E14" s="35">
        <v>55.88</v>
      </c>
      <c r="F14" s="35" t="s">
        <v>92</v>
      </c>
      <c r="G14" s="35" t="s">
        <v>163</v>
      </c>
      <c r="H14" s="35">
        <v>150</v>
      </c>
      <c r="I14" s="35">
        <v>106</v>
      </c>
      <c r="J14" s="35" t="s">
        <v>164</v>
      </c>
      <c r="K14" s="35">
        <v>150</v>
      </c>
      <c r="L14" s="35">
        <v>91</v>
      </c>
      <c r="M14" s="35"/>
      <c r="N14" s="35">
        <v>0</v>
      </c>
      <c r="O14" s="35">
        <v>0</v>
      </c>
      <c r="P14" s="35"/>
      <c r="Q14" s="37">
        <f t="shared" si="0"/>
        <v>300</v>
      </c>
      <c r="R14" s="38">
        <f t="shared" si="1"/>
        <v>197</v>
      </c>
    </row>
    <row r="15" spans="1:18" ht="18" x14ac:dyDescent="0.35">
      <c r="A15" s="34">
        <v>8</v>
      </c>
      <c r="B15" s="35" t="s">
        <v>108</v>
      </c>
      <c r="C15" s="36" t="s">
        <v>95</v>
      </c>
      <c r="D15" s="35">
        <v>86308</v>
      </c>
      <c r="E15" s="35">
        <v>55.88</v>
      </c>
      <c r="F15" s="35" t="s">
        <v>92</v>
      </c>
      <c r="G15" s="35" t="s">
        <v>96</v>
      </c>
      <c r="H15" s="35">
        <v>0</v>
      </c>
      <c r="I15" s="35">
        <v>0</v>
      </c>
      <c r="J15" s="35" t="s">
        <v>165</v>
      </c>
      <c r="K15" s="35">
        <v>0</v>
      </c>
      <c r="L15" s="35">
        <v>0</v>
      </c>
      <c r="M15" s="35" t="s">
        <v>165</v>
      </c>
      <c r="N15" s="35">
        <v>0</v>
      </c>
      <c r="O15" s="35">
        <v>0</v>
      </c>
      <c r="P15" s="35"/>
      <c r="Q15" s="37">
        <f t="shared" si="0"/>
        <v>0</v>
      </c>
      <c r="R15" s="38">
        <f t="shared" si="1"/>
        <v>0</v>
      </c>
    </row>
    <row r="16" spans="1:18" ht="18" x14ac:dyDescent="0.35">
      <c r="A16" s="34">
        <v>9</v>
      </c>
      <c r="B16" s="35" t="s">
        <v>185</v>
      </c>
      <c r="C16" s="36" t="s">
        <v>97</v>
      </c>
      <c r="D16" s="35">
        <v>93799</v>
      </c>
      <c r="E16" s="35">
        <v>86.36</v>
      </c>
      <c r="F16" s="35" t="s">
        <v>186</v>
      </c>
      <c r="G16" s="35" t="s">
        <v>187</v>
      </c>
      <c r="H16" s="35">
        <v>0</v>
      </c>
      <c r="I16" s="35">
        <v>0</v>
      </c>
      <c r="J16" s="35"/>
      <c r="K16" s="35">
        <v>0</v>
      </c>
      <c r="L16" s="35">
        <v>0</v>
      </c>
      <c r="M16" s="35"/>
      <c r="N16" s="35">
        <v>300</v>
      </c>
      <c r="O16" s="35">
        <v>280</v>
      </c>
      <c r="P16" s="35"/>
      <c r="Q16" s="37">
        <f t="shared" si="0"/>
        <v>300</v>
      </c>
      <c r="R16" s="38">
        <f t="shared" si="1"/>
        <v>280</v>
      </c>
    </row>
    <row r="17" spans="1:18" ht="18" x14ac:dyDescent="0.35">
      <c r="A17" s="34">
        <v>10</v>
      </c>
      <c r="B17" s="35" t="s">
        <v>102</v>
      </c>
      <c r="C17" s="36" t="s">
        <v>35</v>
      </c>
      <c r="D17" s="35">
        <v>98814</v>
      </c>
      <c r="E17" s="35">
        <v>304.8</v>
      </c>
      <c r="F17" s="35">
        <v>90</v>
      </c>
      <c r="G17" s="35" t="s">
        <v>175</v>
      </c>
      <c r="H17" s="35">
        <v>0</v>
      </c>
      <c r="I17" s="35">
        <v>0</v>
      </c>
      <c r="J17" s="35"/>
      <c r="K17" s="35">
        <v>0</v>
      </c>
      <c r="L17" s="35">
        <v>0</v>
      </c>
      <c r="M17" s="35"/>
      <c r="N17" s="35">
        <v>0</v>
      </c>
      <c r="O17" s="35">
        <v>0</v>
      </c>
      <c r="P17" s="35"/>
      <c r="Q17" s="37">
        <f t="shared" si="0"/>
        <v>0</v>
      </c>
      <c r="R17" s="38">
        <f t="shared" si="1"/>
        <v>0</v>
      </c>
    </row>
    <row r="18" spans="1:18" ht="18" x14ac:dyDescent="0.35">
      <c r="A18" s="34">
        <v>11</v>
      </c>
      <c r="B18" s="35" t="s">
        <v>102</v>
      </c>
      <c r="C18" s="36" t="s">
        <v>35</v>
      </c>
      <c r="D18" s="35">
        <v>98808</v>
      </c>
      <c r="E18" s="35">
        <v>418.2</v>
      </c>
      <c r="F18" s="35">
        <v>90</v>
      </c>
      <c r="G18" s="35" t="s">
        <v>175</v>
      </c>
      <c r="H18" s="35">
        <v>0</v>
      </c>
      <c r="I18" s="35">
        <v>0</v>
      </c>
      <c r="J18" s="35"/>
      <c r="K18" s="35">
        <v>0</v>
      </c>
      <c r="L18" s="35">
        <v>0</v>
      </c>
      <c r="M18" s="35"/>
      <c r="N18" s="35">
        <v>0</v>
      </c>
      <c r="O18" s="35">
        <v>0</v>
      </c>
      <c r="P18" s="35"/>
      <c r="Q18" s="37">
        <f t="shared" si="0"/>
        <v>0</v>
      </c>
      <c r="R18" s="38">
        <f t="shared" si="1"/>
        <v>0</v>
      </c>
    </row>
    <row r="19" spans="1:18" ht="18" x14ac:dyDescent="0.35">
      <c r="A19" s="34">
        <v>12</v>
      </c>
      <c r="B19" s="35" t="s">
        <v>102</v>
      </c>
      <c r="C19" s="36" t="s">
        <v>35</v>
      </c>
      <c r="D19" s="35">
        <v>98808</v>
      </c>
      <c r="E19" s="35">
        <v>76.2</v>
      </c>
      <c r="F19" s="35">
        <v>90</v>
      </c>
      <c r="G19" s="35" t="s">
        <v>154</v>
      </c>
      <c r="H19" s="35">
        <v>0</v>
      </c>
      <c r="I19" s="35">
        <v>0</v>
      </c>
      <c r="J19" s="35"/>
      <c r="K19" s="35">
        <v>0</v>
      </c>
      <c r="L19" s="35">
        <v>0</v>
      </c>
      <c r="M19" s="35"/>
      <c r="N19" s="35">
        <v>0</v>
      </c>
      <c r="O19" s="35">
        <v>0</v>
      </c>
      <c r="P19" s="35"/>
      <c r="Q19" s="37">
        <f t="shared" si="0"/>
        <v>0</v>
      </c>
      <c r="R19" s="38">
        <f t="shared" si="1"/>
        <v>0</v>
      </c>
    </row>
    <row r="20" spans="1:18" ht="18" x14ac:dyDescent="0.35">
      <c r="A20" s="34">
        <v>13</v>
      </c>
      <c r="B20" s="35" t="s">
        <v>109</v>
      </c>
      <c r="C20" s="36" t="s">
        <v>35</v>
      </c>
      <c r="D20" s="35">
        <v>98812</v>
      </c>
      <c r="E20" s="35">
        <v>292.10000000000002</v>
      </c>
      <c r="F20" s="35">
        <v>90</v>
      </c>
      <c r="G20" s="35" t="s">
        <v>110</v>
      </c>
      <c r="H20" s="35">
        <v>0</v>
      </c>
      <c r="I20" s="35">
        <v>0</v>
      </c>
      <c r="J20" s="35"/>
      <c r="K20" s="35">
        <v>0</v>
      </c>
      <c r="L20" s="35">
        <v>0</v>
      </c>
      <c r="M20" s="35"/>
      <c r="N20" s="35">
        <v>0</v>
      </c>
      <c r="O20" s="35">
        <v>0</v>
      </c>
      <c r="P20" s="35"/>
      <c r="Q20" s="37">
        <f t="shared" si="0"/>
        <v>0</v>
      </c>
      <c r="R20" s="38">
        <f t="shared" si="1"/>
        <v>0</v>
      </c>
    </row>
    <row r="21" spans="1:18" ht="18" x14ac:dyDescent="0.35">
      <c r="A21" s="34">
        <v>14</v>
      </c>
      <c r="B21" s="35" t="s">
        <v>111</v>
      </c>
      <c r="C21" s="36" t="s">
        <v>35</v>
      </c>
      <c r="D21" s="35">
        <v>98811</v>
      </c>
      <c r="E21" s="35">
        <v>63.5</v>
      </c>
      <c r="F21" s="40" t="s">
        <v>112</v>
      </c>
      <c r="G21" s="35" t="s">
        <v>155</v>
      </c>
      <c r="H21" s="35">
        <v>0</v>
      </c>
      <c r="I21" s="35">
        <v>0</v>
      </c>
      <c r="J21" s="35"/>
      <c r="K21" s="35">
        <v>0</v>
      </c>
      <c r="L21" s="35">
        <v>0</v>
      </c>
      <c r="M21" s="35"/>
      <c r="N21" s="35">
        <v>0</v>
      </c>
      <c r="O21" s="35">
        <v>0</v>
      </c>
      <c r="P21" s="35"/>
      <c r="Q21" s="37">
        <f t="shared" si="0"/>
        <v>0</v>
      </c>
      <c r="R21" s="38">
        <f t="shared" si="1"/>
        <v>0</v>
      </c>
    </row>
    <row r="22" spans="1:18" ht="18" x14ac:dyDescent="0.35">
      <c r="A22" s="34">
        <v>15</v>
      </c>
      <c r="B22" s="35" t="s">
        <v>121</v>
      </c>
      <c r="C22" s="36" t="s">
        <v>35</v>
      </c>
      <c r="D22" s="35">
        <v>98809</v>
      </c>
      <c r="E22" s="35">
        <v>152.4</v>
      </c>
      <c r="F22" s="40" t="s">
        <v>40</v>
      </c>
      <c r="G22" s="35" t="s">
        <v>154</v>
      </c>
      <c r="H22" s="35">
        <v>0</v>
      </c>
      <c r="I22" s="35">
        <v>0</v>
      </c>
      <c r="J22" s="35"/>
      <c r="K22" s="35">
        <v>0</v>
      </c>
      <c r="L22" s="35">
        <v>0</v>
      </c>
      <c r="M22" s="26"/>
      <c r="N22" s="35">
        <v>250</v>
      </c>
      <c r="O22" s="35">
        <v>250</v>
      </c>
      <c r="P22" s="26"/>
      <c r="Q22" s="37">
        <f t="shared" si="0"/>
        <v>250</v>
      </c>
      <c r="R22" s="38">
        <f t="shared" si="1"/>
        <v>250</v>
      </c>
    </row>
    <row r="23" spans="1:18" ht="18" x14ac:dyDescent="0.35">
      <c r="A23" s="34">
        <v>16</v>
      </c>
      <c r="B23" s="35" t="s">
        <v>116</v>
      </c>
      <c r="C23" s="36" t="s">
        <v>35</v>
      </c>
      <c r="D23" s="35">
        <v>98808</v>
      </c>
      <c r="E23" s="35">
        <v>428.75</v>
      </c>
      <c r="F23" s="40" t="s">
        <v>122</v>
      </c>
      <c r="G23" s="35" t="s">
        <v>154</v>
      </c>
      <c r="H23" s="35">
        <v>0</v>
      </c>
      <c r="I23" s="35">
        <v>0</v>
      </c>
      <c r="J23" s="35"/>
      <c r="K23" s="35">
        <v>150</v>
      </c>
      <c r="L23" s="35">
        <v>110</v>
      </c>
      <c r="M23" s="26"/>
      <c r="N23" s="35">
        <v>0</v>
      </c>
      <c r="O23" s="35">
        <v>0</v>
      </c>
      <c r="P23" s="26"/>
      <c r="Q23" s="37">
        <f t="shared" si="0"/>
        <v>150</v>
      </c>
      <c r="R23" s="38">
        <f t="shared" si="1"/>
        <v>110</v>
      </c>
    </row>
    <row r="24" spans="1:18" ht="18" x14ac:dyDescent="0.35">
      <c r="A24" s="34">
        <v>17</v>
      </c>
      <c r="B24" s="35" t="s">
        <v>116</v>
      </c>
      <c r="C24" s="36" t="s">
        <v>35</v>
      </c>
      <c r="D24" s="35">
        <v>98812</v>
      </c>
      <c r="E24" s="35">
        <v>98812</v>
      </c>
      <c r="F24" s="40" t="s">
        <v>183</v>
      </c>
      <c r="G24" s="35" t="s">
        <v>154</v>
      </c>
      <c r="H24" s="35">
        <v>900</v>
      </c>
      <c r="I24" s="35">
        <v>720</v>
      </c>
      <c r="J24" s="35"/>
      <c r="K24" s="35">
        <v>380</v>
      </c>
      <c r="L24" s="35">
        <v>380</v>
      </c>
      <c r="M24" s="26"/>
      <c r="N24" s="35">
        <v>0</v>
      </c>
      <c r="O24" s="35">
        <v>0</v>
      </c>
      <c r="P24" s="26"/>
      <c r="Q24" s="37">
        <f t="shared" si="0"/>
        <v>1280</v>
      </c>
      <c r="R24" s="38">
        <f t="shared" si="1"/>
        <v>1100</v>
      </c>
    </row>
    <row r="25" spans="1:18" ht="18" x14ac:dyDescent="0.35">
      <c r="A25" s="34">
        <v>18</v>
      </c>
      <c r="B25" s="35" t="s">
        <v>119</v>
      </c>
      <c r="C25" s="36" t="s">
        <v>35</v>
      </c>
      <c r="D25" s="35">
        <v>98808</v>
      </c>
      <c r="E25" s="35">
        <v>428.75</v>
      </c>
      <c r="F25" s="40" t="s">
        <v>40</v>
      </c>
      <c r="G25" s="35" t="s">
        <v>118</v>
      </c>
      <c r="H25" s="35">
        <v>0</v>
      </c>
      <c r="I25" s="35">
        <v>0</v>
      </c>
      <c r="J25" s="35"/>
      <c r="K25" s="35">
        <v>150</v>
      </c>
      <c r="L25" s="35">
        <v>100</v>
      </c>
      <c r="M25" s="26"/>
      <c r="N25" s="35">
        <v>0</v>
      </c>
      <c r="O25" s="35">
        <v>0</v>
      </c>
      <c r="P25" s="26"/>
      <c r="Q25" s="37">
        <f t="shared" si="0"/>
        <v>150</v>
      </c>
      <c r="R25" s="38">
        <f t="shared" si="1"/>
        <v>100</v>
      </c>
    </row>
    <row r="26" spans="1:18" ht="18" x14ac:dyDescent="0.35">
      <c r="A26" s="34">
        <v>19</v>
      </c>
      <c r="B26" s="35" t="s">
        <v>119</v>
      </c>
      <c r="C26" s="36" t="s">
        <v>35</v>
      </c>
      <c r="D26" s="35">
        <v>98812</v>
      </c>
      <c r="E26" s="35">
        <v>98812</v>
      </c>
      <c r="F26" s="40" t="s">
        <v>122</v>
      </c>
      <c r="G26" s="35" t="s">
        <v>120</v>
      </c>
      <c r="H26" s="35">
        <v>900</v>
      </c>
      <c r="I26" s="35">
        <v>720</v>
      </c>
      <c r="J26" s="35"/>
      <c r="K26" s="35">
        <v>380</v>
      </c>
      <c r="L26" s="35">
        <v>340</v>
      </c>
      <c r="M26" s="26"/>
      <c r="N26" s="35">
        <v>0</v>
      </c>
      <c r="O26" s="35">
        <v>0</v>
      </c>
      <c r="P26" s="26"/>
      <c r="Q26" s="37">
        <f t="shared" si="0"/>
        <v>1280</v>
      </c>
      <c r="R26" s="38">
        <f t="shared" si="1"/>
        <v>1060</v>
      </c>
    </row>
    <row r="27" spans="1:18" ht="18" x14ac:dyDescent="0.35">
      <c r="A27" s="34">
        <v>20</v>
      </c>
      <c r="B27" s="35" t="s">
        <v>176</v>
      </c>
      <c r="C27" s="36" t="s">
        <v>35</v>
      </c>
      <c r="D27" s="35">
        <v>98808</v>
      </c>
      <c r="E27" s="35">
        <v>418.2</v>
      </c>
      <c r="F27" s="40" t="s">
        <v>122</v>
      </c>
      <c r="G27" s="35" t="s">
        <v>118</v>
      </c>
      <c r="H27" s="35">
        <v>130</v>
      </c>
      <c r="I27" s="35">
        <v>130</v>
      </c>
      <c r="J27" s="35"/>
      <c r="K27" s="35">
        <v>0</v>
      </c>
      <c r="L27" s="35">
        <v>0</v>
      </c>
      <c r="M27" s="26"/>
      <c r="N27" s="35">
        <v>0</v>
      </c>
      <c r="O27" s="35">
        <v>0</v>
      </c>
      <c r="P27" s="26"/>
      <c r="Q27" s="37">
        <f t="shared" si="0"/>
        <v>130</v>
      </c>
      <c r="R27" s="38">
        <f t="shared" si="1"/>
        <v>130</v>
      </c>
    </row>
    <row r="28" spans="1:18" ht="18" x14ac:dyDescent="0.35">
      <c r="A28" s="34">
        <v>21</v>
      </c>
      <c r="B28" s="35" t="s">
        <v>121</v>
      </c>
      <c r="C28" s="36" t="s">
        <v>35</v>
      </c>
      <c r="D28" s="35">
        <v>98808</v>
      </c>
      <c r="E28" s="35">
        <v>428.75</v>
      </c>
      <c r="F28" s="40" t="s">
        <v>122</v>
      </c>
      <c r="G28" s="35" t="s">
        <v>118</v>
      </c>
      <c r="H28" s="35">
        <v>136</v>
      </c>
      <c r="I28" s="35">
        <v>136</v>
      </c>
      <c r="J28" s="35"/>
      <c r="K28" s="35">
        <v>150</v>
      </c>
      <c r="L28" s="35">
        <v>100</v>
      </c>
      <c r="M28" s="35"/>
      <c r="N28" s="35">
        <v>0</v>
      </c>
      <c r="O28" s="35">
        <v>0</v>
      </c>
      <c r="P28" s="26"/>
      <c r="Q28" s="37">
        <f t="shared" si="0"/>
        <v>286</v>
      </c>
      <c r="R28" s="38">
        <f t="shared" si="1"/>
        <v>236</v>
      </c>
    </row>
    <row r="29" spans="1:18" ht="18" x14ac:dyDescent="0.35">
      <c r="A29" s="34">
        <v>22</v>
      </c>
      <c r="B29" s="35" t="s">
        <v>119</v>
      </c>
      <c r="C29" s="36" t="s">
        <v>35</v>
      </c>
      <c r="D29" s="35">
        <v>98812</v>
      </c>
      <c r="E29" s="35"/>
      <c r="F29" s="40" t="s">
        <v>117</v>
      </c>
      <c r="G29" s="35" t="s">
        <v>118</v>
      </c>
      <c r="H29" s="35">
        <v>800</v>
      </c>
      <c r="I29" s="35">
        <v>650</v>
      </c>
      <c r="J29" s="35"/>
      <c r="K29" s="35">
        <v>380</v>
      </c>
      <c r="L29" s="35">
        <v>380</v>
      </c>
      <c r="M29" s="35"/>
      <c r="N29" s="35">
        <v>0</v>
      </c>
      <c r="O29" s="35">
        <v>0</v>
      </c>
      <c r="P29" s="26"/>
      <c r="Q29" s="37">
        <f t="shared" si="0"/>
        <v>1180</v>
      </c>
      <c r="R29" s="38">
        <f t="shared" si="1"/>
        <v>1030</v>
      </c>
    </row>
    <row r="30" spans="1:18" ht="18" x14ac:dyDescent="0.35">
      <c r="A30" s="34">
        <v>23</v>
      </c>
      <c r="B30" s="37" t="s">
        <v>124</v>
      </c>
      <c r="C30" s="36" t="s">
        <v>35</v>
      </c>
      <c r="D30" s="37">
        <v>2191</v>
      </c>
      <c r="E30" s="37"/>
      <c r="F30" s="41" t="s">
        <v>126</v>
      </c>
      <c r="G30" s="26"/>
      <c r="H30" s="35">
        <v>100</v>
      </c>
      <c r="I30" s="35">
        <v>81</v>
      </c>
      <c r="J30" s="26"/>
      <c r="K30" s="35">
        <v>120</v>
      </c>
      <c r="L30" s="35">
        <v>116</v>
      </c>
      <c r="M30" s="35"/>
      <c r="N30" s="35">
        <v>0</v>
      </c>
      <c r="O30" s="35">
        <v>0</v>
      </c>
      <c r="P30" s="26"/>
      <c r="Q30" s="37">
        <f t="shared" si="0"/>
        <v>220</v>
      </c>
      <c r="R30" s="38">
        <f t="shared" si="1"/>
        <v>197</v>
      </c>
    </row>
    <row r="31" spans="1:18" ht="18" x14ac:dyDescent="0.35">
      <c r="A31" s="34">
        <v>24</v>
      </c>
      <c r="B31" s="37" t="s">
        <v>124</v>
      </c>
      <c r="C31" s="36" t="s">
        <v>35</v>
      </c>
      <c r="D31" s="37">
        <v>2191</v>
      </c>
      <c r="E31" s="37"/>
      <c r="F31" s="41" t="s">
        <v>174</v>
      </c>
      <c r="G31" s="26"/>
      <c r="H31" s="35">
        <v>220</v>
      </c>
      <c r="I31" s="35">
        <v>220</v>
      </c>
      <c r="J31" s="26"/>
      <c r="K31" s="35">
        <v>55</v>
      </c>
      <c r="L31" s="35">
        <v>55</v>
      </c>
      <c r="M31" s="35"/>
      <c r="N31" s="35">
        <v>0</v>
      </c>
      <c r="O31" s="35">
        <v>0</v>
      </c>
      <c r="P31" s="26"/>
      <c r="Q31" s="37">
        <f t="shared" si="0"/>
        <v>275</v>
      </c>
      <c r="R31" s="38">
        <f t="shared" si="1"/>
        <v>275</v>
      </c>
    </row>
    <row r="32" spans="1:18" ht="18" x14ac:dyDescent="0.35">
      <c r="A32" s="34">
        <v>25</v>
      </c>
      <c r="B32" s="37" t="s">
        <v>124</v>
      </c>
      <c r="C32" s="36" t="s">
        <v>35</v>
      </c>
      <c r="D32" s="37">
        <v>2122</v>
      </c>
      <c r="E32" s="37"/>
      <c r="F32" s="41" t="s">
        <v>127</v>
      </c>
      <c r="G32" s="26"/>
      <c r="H32" s="35">
        <v>0</v>
      </c>
      <c r="I32" s="35">
        <v>0</v>
      </c>
      <c r="J32" s="26"/>
      <c r="K32" s="35">
        <v>0</v>
      </c>
      <c r="L32" s="35">
        <v>0</v>
      </c>
      <c r="M32" s="35"/>
      <c r="N32" s="35">
        <v>130</v>
      </c>
      <c r="O32" s="35">
        <v>130</v>
      </c>
      <c r="P32" s="26"/>
      <c r="Q32" s="37">
        <f t="shared" si="0"/>
        <v>130</v>
      </c>
      <c r="R32" s="38">
        <f t="shared" si="1"/>
        <v>130</v>
      </c>
    </row>
    <row r="33" spans="1:18" ht="18" x14ac:dyDescent="0.35">
      <c r="A33" s="34">
        <v>26</v>
      </c>
      <c r="B33" s="37" t="s">
        <v>124</v>
      </c>
      <c r="C33" s="36" t="s">
        <v>35</v>
      </c>
      <c r="D33" s="37">
        <v>2122</v>
      </c>
      <c r="E33" s="37"/>
      <c r="F33" s="41" t="s">
        <v>128</v>
      </c>
      <c r="G33" s="26"/>
      <c r="H33" s="35">
        <v>0</v>
      </c>
      <c r="I33" s="35">
        <v>0</v>
      </c>
      <c r="J33" s="26"/>
      <c r="K33" s="35">
        <v>65</v>
      </c>
      <c r="L33" s="35">
        <v>65</v>
      </c>
      <c r="M33" s="26"/>
      <c r="N33" s="35">
        <v>200</v>
      </c>
      <c r="O33" s="35">
        <v>200</v>
      </c>
      <c r="P33" s="26"/>
      <c r="Q33" s="37">
        <f t="shared" si="0"/>
        <v>265</v>
      </c>
      <c r="R33" s="38">
        <f t="shared" si="1"/>
        <v>265</v>
      </c>
    </row>
    <row r="34" spans="1:18" ht="18" x14ac:dyDescent="0.35">
      <c r="A34" s="34">
        <v>27</v>
      </c>
      <c r="B34" s="37" t="s">
        <v>124</v>
      </c>
      <c r="C34" s="36" t="s">
        <v>35</v>
      </c>
      <c r="D34" s="37">
        <v>2123</v>
      </c>
      <c r="E34" s="37"/>
      <c r="F34" s="41" t="s">
        <v>127</v>
      </c>
      <c r="G34" s="26"/>
      <c r="H34" s="35">
        <v>0</v>
      </c>
      <c r="I34" s="35">
        <v>0</v>
      </c>
      <c r="J34" s="26"/>
      <c r="K34" s="35">
        <v>0</v>
      </c>
      <c r="L34" s="35">
        <v>0</v>
      </c>
      <c r="M34" s="26"/>
      <c r="N34" s="35">
        <v>0</v>
      </c>
      <c r="O34" s="35">
        <v>0</v>
      </c>
      <c r="P34" s="26"/>
      <c r="Q34" s="37">
        <f t="shared" si="0"/>
        <v>0</v>
      </c>
      <c r="R34" s="38">
        <f t="shared" si="1"/>
        <v>0</v>
      </c>
    </row>
    <row r="35" spans="1:18" ht="18" x14ac:dyDescent="0.35">
      <c r="A35" s="34">
        <v>28</v>
      </c>
      <c r="B35" s="37" t="s">
        <v>124</v>
      </c>
      <c r="C35" s="36" t="s">
        <v>35</v>
      </c>
      <c r="D35" s="37">
        <v>2123</v>
      </c>
      <c r="E35" s="37"/>
      <c r="F35" s="41" t="s">
        <v>129</v>
      </c>
      <c r="G35" s="26"/>
      <c r="H35" s="35">
        <v>0</v>
      </c>
      <c r="I35" s="35">
        <v>0</v>
      </c>
      <c r="J35" s="26"/>
      <c r="K35" s="35">
        <v>0</v>
      </c>
      <c r="L35" s="35">
        <v>0</v>
      </c>
      <c r="M35" s="26"/>
      <c r="N35" s="35">
        <v>0</v>
      </c>
      <c r="O35" s="35">
        <v>0</v>
      </c>
      <c r="P35" s="26"/>
      <c r="Q35" s="37">
        <f t="shared" si="0"/>
        <v>0</v>
      </c>
      <c r="R35" s="38">
        <f t="shared" si="1"/>
        <v>0</v>
      </c>
    </row>
    <row r="36" spans="1:18" ht="18" x14ac:dyDescent="0.35">
      <c r="A36" s="34">
        <v>29</v>
      </c>
      <c r="B36" s="37" t="s">
        <v>161</v>
      </c>
      <c r="C36" s="36" t="s">
        <v>35</v>
      </c>
      <c r="D36" s="37">
        <v>2123</v>
      </c>
      <c r="E36" s="37"/>
      <c r="F36" s="41"/>
      <c r="G36" s="26"/>
      <c r="H36" s="35">
        <v>0</v>
      </c>
      <c r="I36" s="35">
        <v>0</v>
      </c>
      <c r="J36" s="26"/>
      <c r="K36" s="35">
        <v>0</v>
      </c>
      <c r="L36" s="35">
        <v>0</v>
      </c>
      <c r="M36" s="26"/>
      <c r="N36" s="35">
        <v>0</v>
      </c>
      <c r="O36" s="35">
        <v>0</v>
      </c>
      <c r="P36" s="26"/>
      <c r="Q36" s="37">
        <f t="shared" si="0"/>
        <v>0</v>
      </c>
      <c r="R36" s="38">
        <f t="shared" si="1"/>
        <v>0</v>
      </c>
    </row>
    <row r="37" spans="1:18" ht="18" x14ac:dyDescent="0.35">
      <c r="A37" s="34">
        <v>30</v>
      </c>
      <c r="B37" s="37" t="s">
        <v>131</v>
      </c>
      <c r="C37" s="36" t="s">
        <v>35</v>
      </c>
      <c r="D37" s="37">
        <v>2123</v>
      </c>
      <c r="E37" s="37"/>
      <c r="F37" s="41" t="s">
        <v>128</v>
      </c>
      <c r="G37" s="26"/>
      <c r="H37" s="35">
        <v>60</v>
      </c>
      <c r="I37" s="35">
        <v>52</v>
      </c>
      <c r="J37" s="26"/>
      <c r="K37" s="35">
        <v>0</v>
      </c>
      <c r="L37" s="35">
        <v>0</v>
      </c>
      <c r="M37" s="26"/>
      <c r="N37" s="35">
        <v>70</v>
      </c>
      <c r="O37" s="35">
        <v>70</v>
      </c>
      <c r="P37" s="26"/>
      <c r="Q37" s="37">
        <f t="shared" si="0"/>
        <v>130</v>
      </c>
      <c r="R37" s="38">
        <f t="shared" si="1"/>
        <v>122</v>
      </c>
    </row>
    <row r="38" spans="1:18" ht="18" x14ac:dyDescent="0.35">
      <c r="A38" s="34">
        <v>31</v>
      </c>
      <c r="B38" s="37" t="s">
        <v>162</v>
      </c>
      <c r="C38" s="42" t="s">
        <v>35</v>
      </c>
      <c r="D38" s="37">
        <v>98814</v>
      </c>
      <c r="E38" s="37">
        <v>304.8</v>
      </c>
      <c r="F38" s="41" t="s">
        <v>10</v>
      </c>
      <c r="G38" s="26"/>
      <c r="H38" s="35">
        <v>0</v>
      </c>
      <c r="I38" s="35">
        <v>0</v>
      </c>
      <c r="J38" s="26"/>
      <c r="K38" s="35">
        <v>0</v>
      </c>
      <c r="L38" s="35">
        <v>0</v>
      </c>
      <c r="M38" s="26"/>
      <c r="N38" s="35">
        <v>0</v>
      </c>
      <c r="O38" s="35">
        <v>0</v>
      </c>
      <c r="P38" s="26"/>
      <c r="Q38" s="37">
        <f t="shared" si="0"/>
        <v>0</v>
      </c>
      <c r="R38" s="38">
        <f t="shared" si="1"/>
        <v>0</v>
      </c>
    </row>
    <row r="39" spans="1:18" ht="18" x14ac:dyDescent="0.35">
      <c r="A39" s="34">
        <v>32</v>
      </c>
      <c r="B39" s="37" t="s">
        <v>39</v>
      </c>
      <c r="C39" s="42" t="s">
        <v>35</v>
      </c>
      <c r="D39" s="37">
        <v>98814</v>
      </c>
      <c r="E39" s="37">
        <v>304.8</v>
      </c>
      <c r="F39" s="41" t="s">
        <v>39</v>
      </c>
      <c r="G39" s="37" t="s">
        <v>96</v>
      </c>
      <c r="H39" s="35">
        <v>0</v>
      </c>
      <c r="I39" s="35">
        <v>0</v>
      </c>
      <c r="J39" s="37"/>
      <c r="K39" s="35">
        <v>220</v>
      </c>
      <c r="L39" s="35">
        <v>190</v>
      </c>
      <c r="M39" s="23"/>
      <c r="N39" s="35">
        <v>200</v>
      </c>
      <c r="O39" s="35">
        <v>200</v>
      </c>
      <c r="P39" s="23"/>
      <c r="Q39" s="37">
        <f t="shared" si="0"/>
        <v>420</v>
      </c>
      <c r="R39" s="38">
        <f>I39+L39+O39</f>
        <v>390</v>
      </c>
    </row>
    <row r="40" spans="1:18" ht="18" x14ac:dyDescent="0.35">
      <c r="A40" s="34">
        <v>33</v>
      </c>
      <c r="B40" s="37" t="s">
        <v>132</v>
      </c>
      <c r="C40" s="42" t="s">
        <v>172</v>
      </c>
      <c r="D40" s="37">
        <v>86805</v>
      </c>
      <c r="E40" s="37"/>
      <c r="F40" s="41" t="s">
        <v>12</v>
      </c>
      <c r="G40" s="37" t="s">
        <v>173</v>
      </c>
      <c r="H40" s="35">
        <v>0</v>
      </c>
      <c r="I40" s="35">
        <v>0</v>
      </c>
      <c r="J40" s="37"/>
      <c r="K40" s="35">
        <v>0</v>
      </c>
      <c r="L40" s="35">
        <v>0</v>
      </c>
      <c r="M40" s="26"/>
      <c r="N40" s="35">
        <v>0</v>
      </c>
      <c r="O40" s="35">
        <v>0</v>
      </c>
      <c r="P40" s="26"/>
      <c r="Q40" s="37">
        <f t="shared" si="0"/>
        <v>0</v>
      </c>
      <c r="R40" s="38">
        <f t="shared" si="1"/>
        <v>0</v>
      </c>
    </row>
    <row r="41" spans="1:18" ht="18" x14ac:dyDescent="0.35">
      <c r="A41" s="34">
        <v>34</v>
      </c>
      <c r="B41" s="37" t="s">
        <v>158</v>
      </c>
      <c r="C41" s="42" t="s">
        <v>35</v>
      </c>
      <c r="D41" s="37">
        <v>98815</v>
      </c>
      <c r="E41" s="37">
        <v>406.4</v>
      </c>
      <c r="F41" s="41" t="s">
        <v>135</v>
      </c>
      <c r="G41" s="37" t="s">
        <v>133</v>
      </c>
      <c r="H41" s="35">
        <v>0</v>
      </c>
      <c r="I41" s="35">
        <v>0</v>
      </c>
      <c r="J41" s="37"/>
      <c r="K41" s="35">
        <v>0</v>
      </c>
      <c r="L41" s="35">
        <v>0</v>
      </c>
      <c r="M41" s="26"/>
      <c r="N41" s="35">
        <v>0</v>
      </c>
      <c r="O41" s="35">
        <v>0</v>
      </c>
      <c r="P41" s="26"/>
      <c r="Q41" s="37">
        <f t="shared" si="0"/>
        <v>0</v>
      </c>
      <c r="R41" s="38">
        <f t="shared" si="1"/>
        <v>0</v>
      </c>
    </row>
    <row r="42" spans="1:18" ht="18" x14ac:dyDescent="0.35">
      <c r="A42" s="34">
        <v>35</v>
      </c>
      <c r="B42" s="37" t="s">
        <v>170</v>
      </c>
      <c r="C42" s="42" t="s">
        <v>35</v>
      </c>
      <c r="D42" s="37">
        <v>98815</v>
      </c>
      <c r="E42" s="37">
        <v>406.4</v>
      </c>
      <c r="F42" s="41" t="s">
        <v>159</v>
      </c>
      <c r="G42" s="37" t="s">
        <v>133</v>
      </c>
      <c r="H42" s="35">
        <v>160</v>
      </c>
      <c r="I42" s="35">
        <v>160</v>
      </c>
      <c r="J42" s="37"/>
      <c r="K42" s="35">
        <v>0</v>
      </c>
      <c r="L42" s="35">
        <v>0</v>
      </c>
      <c r="M42" s="26"/>
      <c r="N42" s="35">
        <v>0</v>
      </c>
      <c r="O42" s="35">
        <v>0</v>
      </c>
      <c r="P42" s="26"/>
      <c r="Q42" s="37">
        <f t="shared" si="0"/>
        <v>160</v>
      </c>
      <c r="R42" s="38">
        <f t="shared" si="1"/>
        <v>160</v>
      </c>
    </row>
    <row r="43" spans="1:18" ht="18" x14ac:dyDescent="0.35">
      <c r="A43" s="34">
        <v>36</v>
      </c>
      <c r="B43" s="37" t="s">
        <v>171</v>
      </c>
      <c r="C43" s="42" t="s">
        <v>141</v>
      </c>
      <c r="D43" s="37">
        <v>82527</v>
      </c>
      <c r="E43" s="37">
        <v>155</v>
      </c>
      <c r="F43" s="41" t="s">
        <v>142</v>
      </c>
      <c r="G43" s="37" t="s">
        <v>96</v>
      </c>
      <c r="H43" s="35">
        <v>0</v>
      </c>
      <c r="I43" s="35">
        <v>0</v>
      </c>
      <c r="J43" s="37"/>
      <c r="K43" s="35">
        <v>0</v>
      </c>
      <c r="L43" s="35">
        <v>0</v>
      </c>
      <c r="M43" s="26"/>
      <c r="N43" s="35">
        <v>0</v>
      </c>
      <c r="O43" s="35">
        <v>0</v>
      </c>
      <c r="P43" s="26"/>
      <c r="Q43" s="37">
        <f t="shared" si="0"/>
        <v>0</v>
      </c>
      <c r="R43" s="38">
        <f t="shared" si="1"/>
        <v>0</v>
      </c>
    </row>
    <row r="44" spans="1:18" ht="18" x14ac:dyDescent="0.35">
      <c r="A44" s="34">
        <v>37</v>
      </c>
      <c r="B44" s="37" t="s">
        <v>143</v>
      </c>
      <c r="C44" s="42" t="s">
        <v>144</v>
      </c>
      <c r="D44" s="37">
        <v>83572</v>
      </c>
      <c r="E44" s="37">
        <v>967.65</v>
      </c>
      <c r="F44" s="41" t="s">
        <v>145</v>
      </c>
      <c r="G44" s="37" t="s">
        <v>136</v>
      </c>
      <c r="H44" s="35">
        <v>0</v>
      </c>
      <c r="I44" s="35">
        <v>0</v>
      </c>
      <c r="J44" s="37"/>
      <c r="K44" s="35">
        <v>0</v>
      </c>
      <c r="L44" s="35">
        <v>0</v>
      </c>
      <c r="M44" s="35"/>
      <c r="N44" s="35">
        <v>0</v>
      </c>
      <c r="O44" s="35">
        <v>0</v>
      </c>
      <c r="P44" s="26"/>
      <c r="Q44" s="37">
        <f t="shared" si="0"/>
        <v>0</v>
      </c>
      <c r="R44" s="38">
        <f t="shared" si="1"/>
        <v>0</v>
      </c>
    </row>
    <row r="45" spans="1:18" ht="18" x14ac:dyDescent="0.35">
      <c r="A45" s="34">
        <v>38</v>
      </c>
      <c r="B45" s="37" t="s">
        <v>146</v>
      </c>
      <c r="C45" s="42" t="s">
        <v>144</v>
      </c>
      <c r="D45" s="37">
        <v>83834</v>
      </c>
      <c r="E45" s="37">
        <v>898.89</v>
      </c>
      <c r="F45" s="41" t="s">
        <v>147</v>
      </c>
      <c r="G45" s="37" t="s">
        <v>96</v>
      </c>
      <c r="H45" s="35">
        <v>0</v>
      </c>
      <c r="I45" s="35">
        <v>0</v>
      </c>
      <c r="J45" s="37"/>
      <c r="K45" s="35">
        <v>0</v>
      </c>
      <c r="L45" s="35">
        <v>0</v>
      </c>
      <c r="M45" s="35"/>
      <c r="N45" s="35">
        <v>0</v>
      </c>
      <c r="O45" s="35">
        <v>0</v>
      </c>
      <c r="P45" s="26"/>
      <c r="Q45" s="37">
        <f t="shared" si="0"/>
        <v>0</v>
      </c>
      <c r="R45" s="38">
        <f>I45+L45+O45</f>
        <v>0</v>
      </c>
    </row>
    <row r="46" spans="1:18" ht="36" x14ac:dyDescent="0.35">
      <c r="A46" s="34">
        <v>39</v>
      </c>
      <c r="B46" s="43" t="s">
        <v>148</v>
      </c>
      <c r="C46" s="36" t="s">
        <v>167</v>
      </c>
      <c r="D46" s="35">
        <v>93293</v>
      </c>
      <c r="E46" s="35">
        <v>16.2</v>
      </c>
      <c r="F46" s="40" t="s">
        <v>169</v>
      </c>
      <c r="G46" s="35" t="s">
        <v>104</v>
      </c>
      <c r="H46" s="35">
        <v>4800</v>
      </c>
      <c r="I46" s="35">
        <v>4640</v>
      </c>
      <c r="J46" s="37"/>
      <c r="K46" s="35">
        <v>4800</v>
      </c>
      <c r="L46" s="35">
        <v>4780</v>
      </c>
      <c r="M46" s="35"/>
      <c r="N46" s="35">
        <v>2400</v>
      </c>
      <c r="O46" s="35">
        <v>2400</v>
      </c>
      <c r="P46" s="35" t="s">
        <v>165</v>
      </c>
      <c r="Q46" s="35">
        <f t="shared" si="0"/>
        <v>12000</v>
      </c>
      <c r="R46" s="44">
        <f t="shared" si="1"/>
        <v>11820</v>
      </c>
    </row>
    <row r="47" spans="1:18" ht="36" x14ac:dyDescent="0.35">
      <c r="A47" s="34">
        <v>40</v>
      </c>
      <c r="B47" s="43" t="s">
        <v>148</v>
      </c>
      <c r="C47" s="36" t="s">
        <v>167</v>
      </c>
      <c r="D47" s="35">
        <v>93290</v>
      </c>
      <c r="E47" s="35">
        <v>2382</v>
      </c>
      <c r="F47" s="40" t="s">
        <v>150</v>
      </c>
      <c r="G47" s="35" t="s">
        <v>113</v>
      </c>
      <c r="H47" s="35">
        <v>1600</v>
      </c>
      <c r="I47" s="35">
        <v>1244</v>
      </c>
      <c r="J47" s="35" t="s">
        <v>168</v>
      </c>
      <c r="K47" s="35">
        <v>2000</v>
      </c>
      <c r="L47" s="35">
        <v>1399</v>
      </c>
      <c r="M47" s="35"/>
      <c r="N47" s="35">
        <v>1550</v>
      </c>
      <c r="O47" s="35">
        <v>1498</v>
      </c>
      <c r="P47" s="26"/>
      <c r="Q47" s="35">
        <f t="shared" si="0"/>
        <v>5150</v>
      </c>
      <c r="R47" s="44">
        <f t="shared" si="1"/>
        <v>4141</v>
      </c>
    </row>
    <row r="48" spans="1:18" ht="36" x14ac:dyDescent="0.35">
      <c r="A48" s="34">
        <v>41</v>
      </c>
      <c r="B48" s="43" t="s">
        <v>151</v>
      </c>
      <c r="C48" s="36" t="s">
        <v>167</v>
      </c>
      <c r="D48" s="35">
        <v>93292</v>
      </c>
      <c r="E48" s="35">
        <v>1134</v>
      </c>
      <c r="F48" s="40" t="s">
        <v>150</v>
      </c>
      <c r="G48" s="35" t="s">
        <v>113</v>
      </c>
      <c r="H48" s="35">
        <v>3000</v>
      </c>
      <c r="I48" s="35">
        <v>2413</v>
      </c>
      <c r="J48" s="37"/>
      <c r="K48" s="35">
        <v>1500</v>
      </c>
      <c r="L48" s="35">
        <v>1279</v>
      </c>
      <c r="M48" s="35"/>
      <c r="N48" s="35">
        <v>1500</v>
      </c>
      <c r="O48" s="35">
        <v>1405</v>
      </c>
      <c r="P48" s="26"/>
      <c r="Q48" s="35">
        <f>N48+K48+H48</f>
        <v>6000</v>
      </c>
      <c r="R48" s="44">
        <f t="shared" si="1"/>
        <v>5097</v>
      </c>
    </row>
  </sheetData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8"/>
  <sheetViews>
    <sheetView zoomScale="115" zoomScaleNormal="115" workbookViewId="0">
      <selection sqref="A1:R48"/>
    </sheetView>
  </sheetViews>
  <sheetFormatPr defaultRowHeight="14.4" x14ac:dyDescent="0.3"/>
  <cols>
    <col min="2" max="2" width="19.33203125" customWidth="1"/>
    <col min="3" max="3" width="20.44140625" customWidth="1"/>
    <col min="6" max="6" width="27.6640625" customWidth="1"/>
    <col min="10" max="10" width="11.88671875" customWidth="1"/>
    <col min="13" max="13" width="12.44140625" customWidth="1"/>
    <col min="16" max="16" width="12.6640625" customWidth="1"/>
    <col min="17" max="17" width="15.88671875" customWidth="1"/>
    <col min="18" max="18" width="20.33203125" customWidth="1"/>
  </cols>
  <sheetData>
    <row r="1" spans="1:18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8" t="s">
        <v>76</v>
      </c>
      <c r="P5" s="29" t="s">
        <v>189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56" t="s">
        <v>83</v>
      </c>
      <c r="L6" s="56"/>
      <c r="M6" s="56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91</v>
      </c>
      <c r="C8" s="36" t="s">
        <v>35</v>
      </c>
      <c r="D8" s="35">
        <v>98812</v>
      </c>
      <c r="E8" s="35">
        <v>292.10000000000002</v>
      </c>
      <c r="F8" s="35" t="s">
        <v>92</v>
      </c>
      <c r="G8" s="35" t="s">
        <v>93</v>
      </c>
      <c r="H8" s="35">
        <v>0</v>
      </c>
      <c r="I8" s="35">
        <v>0</v>
      </c>
      <c r="J8" s="35"/>
      <c r="K8" s="35">
        <v>0</v>
      </c>
      <c r="L8" s="35">
        <v>0</v>
      </c>
      <c r="M8" s="35"/>
      <c r="N8" s="35">
        <v>0</v>
      </c>
      <c r="O8" s="35">
        <v>0</v>
      </c>
      <c r="P8" s="35"/>
      <c r="Q8" s="37">
        <f>N8+K8+H8</f>
        <v>0</v>
      </c>
      <c r="R8" s="38">
        <f>I8+L8+O8</f>
        <v>0</v>
      </c>
    </row>
    <row r="9" spans="1:18" ht="18" x14ac:dyDescent="0.35">
      <c r="A9" s="34">
        <v>2</v>
      </c>
      <c r="B9" s="35" t="s">
        <v>94</v>
      </c>
      <c r="C9" s="36" t="s">
        <v>184</v>
      </c>
      <c r="D9" s="35">
        <v>96720</v>
      </c>
      <c r="E9" s="35">
        <v>5700</v>
      </c>
      <c r="F9" s="35" t="s">
        <v>92</v>
      </c>
      <c r="G9" s="35" t="s">
        <v>96</v>
      </c>
      <c r="H9" s="35">
        <v>80</v>
      </c>
      <c r="I9" s="35">
        <v>75</v>
      </c>
      <c r="J9" s="35"/>
      <c r="K9" s="35">
        <v>70</v>
      </c>
      <c r="L9" s="35">
        <v>56</v>
      </c>
      <c r="M9" s="35"/>
      <c r="N9" s="35">
        <v>0</v>
      </c>
      <c r="O9" s="35">
        <v>0</v>
      </c>
      <c r="P9" s="35"/>
      <c r="Q9" s="37">
        <f t="shared" ref="Q9:Q47" si="0">N9+K9+H9</f>
        <v>150</v>
      </c>
      <c r="R9" s="38">
        <f t="shared" ref="R9:R48" si="1">I9+L9+O9</f>
        <v>131</v>
      </c>
    </row>
    <row r="10" spans="1:18" ht="18" x14ac:dyDescent="0.35">
      <c r="A10" s="34">
        <v>3</v>
      </c>
      <c r="B10" s="35" t="s">
        <v>94</v>
      </c>
      <c r="C10" s="36" t="s">
        <v>35</v>
      </c>
      <c r="D10" s="35">
        <v>98808</v>
      </c>
      <c r="E10" s="35">
        <v>76.2</v>
      </c>
      <c r="F10" s="35" t="s">
        <v>92</v>
      </c>
      <c r="G10" s="35" t="s">
        <v>154</v>
      </c>
      <c r="H10" s="35">
        <v>0</v>
      </c>
      <c r="I10" s="35">
        <v>0</v>
      </c>
      <c r="J10" s="35"/>
      <c r="K10" s="35">
        <v>0</v>
      </c>
      <c r="L10" s="35">
        <v>0</v>
      </c>
      <c r="M10" s="35"/>
      <c r="N10" s="35">
        <v>0</v>
      </c>
      <c r="O10" s="35">
        <v>0</v>
      </c>
      <c r="P10" s="35"/>
      <c r="Q10" s="37">
        <f t="shared" si="0"/>
        <v>0</v>
      </c>
      <c r="R10" s="38">
        <f t="shared" si="1"/>
        <v>0</v>
      </c>
    </row>
    <row r="11" spans="1:18" ht="18" x14ac:dyDescent="0.35">
      <c r="A11" s="34">
        <v>4</v>
      </c>
      <c r="B11" s="35" t="s">
        <v>181</v>
      </c>
      <c r="C11" s="36" t="s">
        <v>97</v>
      </c>
      <c r="D11" s="35">
        <v>93799</v>
      </c>
      <c r="E11" s="35">
        <v>86.36</v>
      </c>
      <c r="F11" s="35" t="s">
        <v>166</v>
      </c>
      <c r="G11" s="35" t="s">
        <v>96</v>
      </c>
      <c r="H11" s="35">
        <v>0</v>
      </c>
      <c r="I11" s="35">
        <v>0</v>
      </c>
      <c r="J11" s="35"/>
      <c r="K11" s="35">
        <v>0</v>
      </c>
      <c r="L11" s="35">
        <v>0</v>
      </c>
      <c r="M11" s="35"/>
      <c r="N11" s="35">
        <v>0</v>
      </c>
      <c r="O11" s="35">
        <v>0</v>
      </c>
      <c r="P11" s="35"/>
      <c r="Q11" s="37">
        <f t="shared" si="0"/>
        <v>0</v>
      </c>
      <c r="R11" s="38">
        <f t="shared" si="1"/>
        <v>0</v>
      </c>
    </row>
    <row r="12" spans="1:18" ht="18" x14ac:dyDescent="0.35">
      <c r="A12" s="34">
        <v>5</v>
      </c>
      <c r="B12" s="35" t="s">
        <v>182</v>
      </c>
      <c r="C12" s="36" t="s">
        <v>97</v>
      </c>
      <c r="D12" s="35">
        <v>93799</v>
      </c>
      <c r="E12" s="35">
        <v>86.36</v>
      </c>
      <c r="F12" s="35" t="s">
        <v>166</v>
      </c>
      <c r="G12" s="35" t="s">
        <v>96</v>
      </c>
      <c r="H12" s="35">
        <v>0</v>
      </c>
      <c r="I12" s="35">
        <v>0</v>
      </c>
      <c r="J12" s="35"/>
      <c r="K12" s="35">
        <v>0</v>
      </c>
      <c r="L12" s="35">
        <v>0</v>
      </c>
      <c r="M12" s="35"/>
      <c r="N12" s="35">
        <v>0</v>
      </c>
      <c r="O12" s="35">
        <v>0</v>
      </c>
      <c r="P12" s="35"/>
      <c r="Q12" s="37">
        <f t="shared" si="0"/>
        <v>0</v>
      </c>
      <c r="R12" s="38">
        <f t="shared" si="1"/>
        <v>0</v>
      </c>
    </row>
    <row r="13" spans="1:18" ht="18" x14ac:dyDescent="0.35">
      <c r="A13" s="34">
        <v>6</v>
      </c>
      <c r="B13" s="35" t="s">
        <v>105</v>
      </c>
      <c r="C13" s="36" t="s">
        <v>95</v>
      </c>
      <c r="D13" s="35">
        <v>86308</v>
      </c>
      <c r="E13" s="35">
        <v>55.88</v>
      </c>
      <c r="F13" s="35" t="s">
        <v>92</v>
      </c>
      <c r="G13" s="35" t="s">
        <v>96</v>
      </c>
      <c r="H13" s="35">
        <v>0</v>
      </c>
      <c r="I13" s="35">
        <v>0</v>
      </c>
      <c r="J13" s="35" t="s">
        <v>164</v>
      </c>
      <c r="K13" s="35">
        <v>0</v>
      </c>
      <c r="L13" s="35">
        <v>0</v>
      </c>
      <c r="M13" s="35"/>
      <c r="N13" s="35">
        <v>0</v>
      </c>
      <c r="O13" s="35">
        <v>0</v>
      </c>
      <c r="P13" s="35"/>
      <c r="Q13" s="37">
        <f t="shared" si="0"/>
        <v>0</v>
      </c>
      <c r="R13" s="38">
        <f t="shared" si="1"/>
        <v>0</v>
      </c>
    </row>
    <row r="14" spans="1:18" ht="18" x14ac:dyDescent="0.35">
      <c r="A14" s="34">
        <v>7</v>
      </c>
      <c r="B14" s="35" t="s">
        <v>106</v>
      </c>
      <c r="C14" s="36" t="s">
        <v>95</v>
      </c>
      <c r="D14" s="35">
        <v>86308</v>
      </c>
      <c r="E14" s="35">
        <v>55.88</v>
      </c>
      <c r="F14" s="35" t="s">
        <v>92</v>
      </c>
      <c r="G14" s="35" t="s">
        <v>163</v>
      </c>
      <c r="H14" s="35">
        <v>0</v>
      </c>
      <c r="I14" s="35">
        <v>0</v>
      </c>
      <c r="J14" s="35" t="s">
        <v>164</v>
      </c>
      <c r="K14" s="35">
        <v>0</v>
      </c>
      <c r="L14" s="35">
        <v>0</v>
      </c>
      <c r="M14" s="35"/>
      <c r="N14" s="35">
        <v>0</v>
      </c>
      <c r="O14" s="35">
        <v>0</v>
      </c>
      <c r="P14" s="35"/>
      <c r="Q14" s="37">
        <f t="shared" si="0"/>
        <v>0</v>
      </c>
      <c r="R14" s="38">
        <f t="shared" si="1"/>
        <v>0</v>
      </c>
    </row>
    <row r="15" spans="1:18" ht="18" x14ac:dyDescent="0.35">
      <c r="A15" s="34">
        <v>8</v>
      </c>
      <c r="B15" s="35" t="s">
        <v>108</v>
      </c>
      <c r="C15" s="36" t="s">
        <v>95</v>
      </c>
      <c r="D15" s="35">
        <v>86308</v>
      </c>
      <c r="E15" s="35">
        <v>55.88</v>
      </c>
      <c r="F15" s="35" t="s">
        <v>92</v>
      </c>
      <c r="G15" s="35" t="s">
        <v>96</v>
      </c>
      <c r="H15" s="35">
        <v>0</v>
      </c>
      <c r="I15" s="35">
        <v>0</v>
      </c>
      <c r="J15" s="35" t="s">
        <v>165</v>
      </c>
      <c r="K15" s="35">
        <v>0</v>
      </c>
      <c r="L15" s="35">
        <v>0</v>
      </c>
      <c r="M15" s="35" t="s">
        <v>165</v>
      </c>
      <c r="N15" s="35">
        <v>0</v>
      </c>
      <c r="O15" s="35">
        <v>0</v>
      </c>
      <c r="P15" s="35"/>
      <c r="Q15" s="37">
        <f t="shared" si="0"/>
        <v>0</v>
      </c>
      <c r="R15" s="38">
        <f t="shared" si="1"/>
        <v>0</v>
      </c>
    </row>
    <row r="16" spans="1:18" ht="18" x14ac:dyDescent="0.35">
      <c r="A16" s="34">
        <v>9</v>
      </c>
      <c r="B16" s="35" t="s">
        <v>185</v>
      </c>
      <c r="C16" s="36" t="s">
        <v>97</v>
      </c>
      <c r="D16" s="35">
        <v>93799</v>
      </c>
      <c r="E16" s="35">
        <v>86.36</v>
      </c>
      <c r="F16" s="35" t="s">
        <v>186</v>
      </c>
      <c r="G16" s="35" t="s">
        <v>187</v>
      </c>
      <c r="H16" s="35">
        <v>0</v>
      </c>
      <c r="I16" s="35">
        <v>0</v>
      </c>
      <c r="J16" s="35"/>
      <c r="K16" s="35">
        <v>0</v>
      </c>
      <c r="L16" s="35">
        <v>0</v>
      </c>
      <c r="M16" s="35"/>
      <c r="N16" s="35">
        <v>0</v>
      </c>
      <c r="O16" s="35">
        <v>0</v>
      </c>
      <c r="P16" s="35"/>
      <c r="Q16" s="37">
        <f t="shared" si="0"/>
        <v>0</v>
      </c>
      <c r="R16" s="38">
        <f t="shared" si="1"/>
        <v>0</v>
      </c>
    </row>
    <row r="17" spans="1:18" ht="18" x14ac:dyDescent="0.35">
      <c r="A17" s="34">
        <v>10</v>
      </c>
      <c r="B17" s="35" t="s">
        <v>102</v>
      </c>
      <c r="C17" s="36" t="s">
        <v>35</v>
      </c>
      <c r="D17" s="35">
        <v>98814</v>
      </c>
      <c r="E17" s="35">
        <v>304.8</v>
      </c>
      <c r="F17" s="35">
        <v>90</v>
      </c>
      <c r="G17" s="35" t="s">
        <v>175</v>
      </c>
      <c r="H17" s="35">
        <v>0</v>
      </c>
      <c r="I17" s="35">
        <v>0</v>
      </c>
      <c r="J17" s="35"/>
      <c r="K17" s="35">
        <v>0</v>
      </c>
      <c r="L17" s="35">
        <v>0</v>
      </c>
      <c r="M17" s="35"/>
      <c r="N17" s="35">
        <v>0</v>
      </c>
      <c r="O17" s="35">
        <v>0</v>
      </c>
      <c r="P17" s="35"/>
      <c r="Q17" s="37">
        <f t="shared" si="0"/>
        <v>0</v>
      </c>
      <c r="R17" s="38">
        <f t="shared" si="1"/>
        <v>0</v>
      </c>
    </row>
    <row r="18" spans="1:18" ht="18" x14ac:dyDescent="0.35">
      <c r="A18" s="34">
        <v>11</v>
      </c>
      <c r="B18" s="35" t="s">
        <v>102</v>
      </c>
      <c r="C18" s="36" t="s">
        <v>35</v>
      </c>
      <c r="D18" s="35">
        <v>98808</v>
      </c>
      <c r="E18" s="35">
        <v>418.2</v>
      </c>
      <c r="F18" s="35">
        <v>90</v>
      </c>
      <c r="G18" s="35" t="s">
        <v>175</v>
      </c>
      <c r="H18" s="35">
        <v>0</v>
      </c>
      <c r="I18" s="35">
        <v>0</v>
      </c>
      <c r="J18" s="35"/>
      <c r="K18" s="35">
        <v>0</v>
      </c>
      <c r="L18" s="35">
        <v>0</v>
      </c>
      <c r="M18" s="35"/>
      <c r="N18" s="35">
        <v>0</v>
      </c>
      <c r="O18" s="35">
        <v>0</v>
      </c>
      <c r="P18" s="35"/>
      <c r="Q18" s="37">
        <f t="shared" si="0"/>
        <v>0</v>
      </c>
      <c r="R18" s="38">
        <f t="shared" si="1"/>
        <v>0</v>
      </c>
    </row>
    <row r="19" spans="1:18" ht="18" x14ac:dyDescent="0.35">
      <c r="A19" s="34">
        <v>12</v>
      </c>
      <c r="B19" s="35" t="s">
        <v>111</v>
      </c>
      <c r="C19" s="36" t="s">
        <v>35</v>
      </c>
      <c r="D19" s="35">
        <v>2123</v>
      </c>
      <c r="E19" s="35"/>
      <c r="F19" s="35" t="s">
        <v>114</v>
      </c>
      <c r="G19" s="35" t="s">
        <v>154</v>
      </c>
      <c r="H19" s="35">
        <v>0</v>
      </c>
      <c r="I19" s="35">
        <v>0</v>
      </c>
      <c r="J19" s="35"/>
      <c r="K19" s="35">
        <v>0</v>
      </c>
      <c r="L19" s="35">
        <v>0</v>
      </c>
      <c r="M19" s="35"/>
      <c r="N19" s="35">
        <v>64</v>
      </c>
      <c r="O19" s="35">
        <v>64</v>
      </c>
      <c r="P19" s="35"/>
      <c r="Q19" s="37">
        <f t="shared" si="0"/>
        <v>64</v>
      </c>
      <c r="R19" s="38">
        <f t="shared" si="1"/>
        <v>64</v>
      </c>
    </row>
    <row r="20" spans="1:18" ht="18" x14ac:dyDescent="0.35">
      <c r="A20" s="34">
        <v>13</v>
      </c>
      <c r="B20" s="35" t="s">
        <v>111</v>
      </c>
      <c r="C20" s="36" t="s">
        <v>35</v>
      </c>
      <c r="D20" s="35">
        <v>98811</v>
      </c>
      <c r="E20" s="35">
        <v>11.05</v>
      </c>
      <c r="F20" s="35">
        <v>90</v>
      </c>
      <c r="G20" s="35" t="s">
        <v>155</v>
      </c>
      <c r="H20" s="35">
        <v>0</v>
      </c>
      <c r="I20" s="35">
        <v>0</v>
      </c>
      <c r="J20" s="35"/>
      <c r="K20" s="35">
        <v>200</v>
      </c>
      <c r="L20" s="35">
        <v>180</v>
      </c>
      <c r="M20" s="35"/>
      <c r="N20" s="35">
        <v>0</v>
      </c>
      <c r="O20" s="35">
        <v>0</v>
      </c>
      <c r="P20" s="35"/>
      <c r="Q20" s="37">
        <f t="shared" si="0"/>
        <v>200</v>
      </c>
      <c r="R20" s="38">
        <f t="shared" si="1"/>
        <v>180</v>
      </c>
    </row>
    <row r="21" spans="1:18" ht="18" x14ac:dyDescent="0.35">
      <c r="A21" s="34">
        <v>14</v>
      </c>
      <c r="B21" s="35" t="s">
        <v>111</v>
      </c>
      <c r="C21" s="36" t="s">
        <v>35</v>
      </c>
      <c r="D21" s="35">
        <v>98811</v>
      </c>
      <c r="E21" s="35">
        <v>20.059999999999999</v>
      </c>
      <c r="F21" s="35">
        <v>90</v>
      </c>
      <c r="G21" s="35" t="s">
        <v>155</v>
      </c>
      <c r="H21" s="35">
        <v>0</v>
      </c>
      <c r="I21" s="35">
        <v>0</v>
      </c>
      <c r="J21" s="35"/>
      <c r="K21" s="35">
        <v>120</v>
      </c>
      <c r="L21" s="35">
        <v>120</v>
      </c>
      <c r="M21" s="35"/>
      <c r="N21" s="35">
        <v>0</v>
      </c>
      <c r="O21" s="35">
        <v>0</v>
      </c>
      <c r="P21" s="35"/>
      <c r="Q21" s="37">
        <f t="shared" si="0"/>
        <v>120</v>
      </c>
      <c r="R21" s="38">
        <f t="shared" si="1"/>
        <v>120</v>
      </c>
    </row>
    <row r="22" spans="1:18" ht="18" x14ac:dyDescent="0.35">
      <c r="A22" s="34">
        <v>15</v>
      </c>
      <c r="B22" s="35" t="s">
        <v>121</v>
      </c>
      <c r="C22" s="36" t="s">
        <v>35</v>
      </c>
      <c r="D22" s="35">
        <v>98809</v>
      </c>
      <c r="E22" s="35">
        <v>152.4</v>
      </c>
      <c r="F22" s="40" t="s">
        <v>190</v>
      </c>
      <c r="G22" s="35" t="s">
        <v>154</v>
      </c>
      <c r="H22" s="35">
        <v>400</v>
      </c>
      <c r="I22" s="35">
        <v>400</v>
      </c>
      <c r="J22" s="35"/>
      <c r="K22" s="35">
        <v>0</v>
      </c>
      <c r="L22" s="35">
        <v>0</v>
      </c>
      <c r="M22" s="26"/>
      <c r="N22" s="35">
        <v>0</v>
      </c>
      <c r="O22" s="35">
        <v>0</v>
      </c>
      <c r="P22" s="26"/>
      <c r="Q22" s="37">
        <f t="shared" si="0"/>
        <v>400</v>
      </c>
      <c r="R22" s="38">
        <f t="shared" si="1"/>
        <v>400</v>
      </c>
    </row>
    <row r="23" spans="1:18" ht="18" x14ac:dyDescent="0.35">
      <c r="A23" s="34">
        <v>16</v>
      </c>
      <c r="B23" s="35" t="s">
        <v>116</v>
      </c>
      <c r="C23" s="36" t="s">
        <v>35</v>
      </c>
      <c r="D23" s="35">
        <v>98808</v>
      </c>
      <c r="E23" s="35">
        <v>428.75</v>
      </c>
      <c r="F23" s="40" t="s">
        <v>122</v>
      </c>
      <c r="G23" s="35" t="s">
        <v>154</v>
      </c>
      <c r="H23" s="35">
        <v>0</v>
      </c>
      <c r="I23" s="35">
        <v>0</v>
      </c>
      <c r="J23" s="35"/>
      <c r="K23" s="35">
        <v>0</v>
      </c>
      <c r="L23" s="35">
        <v>0</v>
      </c>
      <c r="M23" s="26"/>
      <c r="N23" s="35">
        <v>0</v>
      </c>
      <c r="O23" s="35">
        <v>0</v>
      </c>
      <c r="P23" s="26"/>
      <c r="Q23" s="37">
        <f t="shared" si="0"/>
        <v>0</v>
      </c>
      <c r="R23" s="38">
        <f t="shared" si="1"/>
        <v>0</v>
      </c>
    </row>
    <row r="24" spans="1:18" ht="18" x14ac:dyDescent="0.35">
      <c r="A24" s="34">
        <v>17</v>
      </c>
      <c r="B24" s="35" t="s">
        <v>116</v>
      </c>
      <c r="C24" s="36" t="s">
        <v>35</v>
      </c>
      <c r="D24" s="35">
        <v>2123</v>
      </c>
      <c r="E24" s="35"/>
      <c r="F24" s="35" t="s">
        <v>123</v>
      </c>
      <c r="G24" s="35" t="s">
        <v>154</v>
      </c>
      <c r="H24" s="35">
        <v>0</v>
      </c>
      <c r="I24" s="35">
        <v>0</v>
      </c>
      <c r="J24" s="35"/>
      <c r="K24" s="35">
        <v>0</v>
      </c>
      <c r="L24" s="35">
        <v>0</v>
      </c>
      <c r="M24" s="26"/>
      <c r="N24" s="35">
        <v>206</v>
      </c>
      <c r="O24" s="35">
        <v>206</v>
      </c>
      <c r="P24" s="26"/>
      <c r="Q24" s="37">
        <f t="shared" si="0"/>
        <v>206</v>
      </c>
      <c r="R24" s="38">
        <f t="shared" si="1"/>
        <v>206</v>
      </c>
    </row>
    <row r="25" spans="1:18" ht="18" x14ac:dyDescent="0.35">
      <c r="A25" s="34">
        <v>18</v>
      </c>
      <c r="B25" s="35" t="s">
        <v>119</v>
      </c>
      <c r="C25" s="36" t="s">
        <v>35</v>
      </c>
      <c r="D25" s="35">
        <v>98808</v>
      </c>
      <c r="E25" s="35">
        <v>428.75</v>
      </c>
      <c r="F25" s="40" t="s">
        <v>40</v>
      </c>
      <c r="G25" s="35" t="s">
        <v>118</v>
      </c>
      <c r="H25" s="35">
        <v>0</v>
      </c>
      <c r="I25" s="35">
        <v>0</v>
      </c>
      <c r="J25" s="35"/>
      <c r="K25" s="35">
        <v>0</v>
      </c>
      <c r="L25" s="35">
        <v>0</v>
      </c>
      <c r="M25" s="26"/>
      <c r="N25" s="35">
        <v>0</v>
      </c>
      <c r="O25" s="35">
        <v>0</v>
      </c>
      <c r="P25" s="26"/>
      <c r="Q25" s="37">
        <f t="shared" si="0"/>
        <v>0</v>
      </c>
      <c r="R25" s="38">
        <f t="shared" si="1"/>
        <v>0</v>
      </c>
    </row>
    <row r="26" spans="1:18" ht="18" x14ac:dyDescent="0.35">
      <c r="A26" s="34">
        <v>19</v>
      </c>
      <c r="B26" s="35" t="s">
        <v>119</v>
      </c>
      <c r="C26" s="36" t="s">
        <v>35</v>
      </c>
      <c r="D26" s="35">
        <v>98809</v>
      </c>
      <c r="E26" s="35">
        <v>152.4</v>
      </c>
      <c r="F26" s="40" t="s">
        <v>122</v>
      </c>
      <c r="G26" s="35" t="s">
        <v>120</v>
      </c>
      <c r="H26" s="35">
        <v>450</v>
      </c>
      <c r="I26" s="35">
        <v>360</v>
      </c>
      <c r="J26" s="35"/>
      <c r="K26" s="35">
        <v>0</v>
      </c>
      <c r="L26" s="35">
        <v>0</v>
      </c>
      <c r="M26" s="26"/>
      <c r="N26" s="35">
        <v>0</v>
      </c>
      <c r="O26" s="35">
        <v>0</v>
      </c>
      <c r="P26" s="26"/>
      <c r="Q26" s="37">
        <f t="shared" si="0"/>
        <v>450</v>
      </c>
      <c r="R26" s="38">
        <f t="shared" si="1"/>
        <v>360</v>
      </c>
    </row>
    <row r="27" spans="1:18" ht="18" x14ac:dyDescent="0.35">
      <c r="A27" s="34">
        <v>20</v>
      </c>
      <c r="B27" s="35" t="s">
        <v>176</v>
      </c>
      <c r="C27" s="36" t="s">
        <v>35</v>
      </c>
      <c r="D27" s="35">
        <v>98808</v>
      </c>
      <c r="E27" s="35">
        <v>418.2</v>
      </c>
      <c r="F27" s="40" t="s">
        <v>122</v>
      </c>
      <c r="G27" s="35" t="s">
        <v>118</v>
      </c>
      <c r="H27" s="35">
        <v>0</v>
      </c>
      <c r="I27" s="35">
        <v>0</v>
      </c>
      <c r="J27" s="35"/>
      <c r="K27" s="35">
        <v>0</v>
      </c>
      <c r="L27" s="35">
        <v>0</v>
      </c>
      <c r="M27" s="26"/>
      <c r="N27" s="35">
        <v>0</v>
      </c>
      <c r="O27" s="35">
        <v>0</v>
      </c>
      <c r="P27" s="26"/>
      <c r="Q27" s="37">
        <f t="shared" si="0"/>
        <v>0</v>
      </c>
      <c r="R27" s="38">
        <f t="shared" si="1"/>
        <v>0</v>
      </c>
    </row>
    <row r="28" spans="1:18" ht="18" x14ac:dyDescent="0.35">
      <c r="A28" s="34">
        <v>21</v>
      </c>
      <c r="B28" s="35" t="s">
        <v>121</v>
      </c>
      <c r="C28" s="36" t="s">
        <v>35</v>
      </c>
      <c r="D28" s="35">
        <v>98808</v>
      </c>
      <c r="E28" s="35">
        <v>428.75</v>
      </c>
      <c r="F28" s="40" t="s">
        <v>122</v>
      </c>
      <c r="G28" s="35" t="s">
        <v>118</v>
      </c>
      <c r="H28" s="35">
        <v>0</v>
      </c>
      <c r="I28" s="35">
        <v>0</v>
      </c>
      <c r="J28" s="35"/>
      <c r="K28" s="35">
        <v>0</v>
      </c>
      <c r="L28" s="35">
        <v>0</v>
      </c>
      <c r="M28" s="35"/>
      <c r="N28" s="35">
        <v>0</v>
      </c>
      <c r="O28" s="35">
        <v>0</v>
      </c>
      <c r="P28" s="26"/>
      <c r="Q28" s="37">
        <f t="shared" si="0"/>
        <v>0</v>
      </c>
      <c r="R28" s="38">
        <f t="shared" si="1"/>
        <v>0</v>
      </c>
    </row>
    <row r="29" spans="1:18" ht="18" x14ac:dyDescent="0.35">
      <c r="A29" s="34">
        <v>22</v>
      </c>
      <c r="B29" s="35" t="s">
        <v>119</v>
      </c>
      <c r="C29" s="36" t="s">
        <v>35</v>
      </c>
      <c r="D29" s="35">
        <v>98812</v>
      </c>
      <c r="E29" s="35"/>
      <c r="F29" s="40" t="s">
        <v>117</v>
      </c>
      <c r="G29" s="35" t="s">
        <v>118</v>
      </c>
      <c r="H29" s="35">
        <v>0</v>
      </c>
      <c r="I29" s="35">
        <v>0</v>
      </c>
      <c r="J29" s="35"/>
      <c r="K29" s="35">
        <v>0</v>
      </c>
      <c r="L29" s="35">
        <v>0</v>
      </c>
      <c r="M29" s="35"/>
      <c r="N29" s="35">
        <v>0</v>
      </c>
      <c r="O29" s="35">
        <v>0</v>
      </c>
      <c r="P29" s="26"/>
      <c r="Q29" s="37">
        <f t="shared" si="0"/>
        <v>0</v>
      </c>
      <c r="R29" s="38">
        <f t="shared" si="1"/>
        <v>0</v>
      </c>
    </row>
    <row r="30" spans="1:18" ht="18" x14ac:dyDescent="0.35">
      <c r="A30" s="34">
        <v>23</v>
      </c>
      <c r="B30" s="37" t="s">
        <v>124</v>
      </c>
      <c r="C30" s="36" t="s">
        <v>35</v>
      </c>
      <c r="D30" s="37">
        <v>2191</v>
      </c>
      <c r="E30" s="37"/>
      <c r="F30" s="41" t="s">
        <v>126</v>
      </c>
      <c r="G30" s="26"/>
      <c r="H30" s="35">
        <v>120</v>
      </c>
      <c r="I30" s="35">
        <v>116</v>
      </c>
      <c r="J30" s="26"/>
      <c r="K30" s="35">
        <v>0</v>
      </c>
      <c r="L30" s="35">
        <v>0</v>
      </c>
      <c r="M30" s="35"/>
      <c r="N30" s="35">
        <v>0</v>
      </c>
      <c r="O30" s="35">
        <v>0</v>
      </c>
      <c r="P30" s="26"/>
      <c r="Q30" s="37">
        <f t="shared" si="0"/>
        <v>120</v>
      </c>
      <c r="R30" s="38">
        <f t="shared" si="1"/>
        <v>116</v>
      </c>
    </row>
    <row r="31" spans="1:18" ht="18" x14ac:dyDescent="0.35">
      <c r="A31" s="34">
        <v>24</v>
      </c>
      <c r="B31" s="37" t="s">
        <v>124</v>
      </c>
      <c r="C31" s="36" t="s">
        <v>35</v>
      </c>
      <c r="D31" s="37">
        <v>2191</v>
      </c>
      <c r="E31" s="37"/>
      <c r="F31" s="41" t="s">
        <v>174</v>
      </c>
      <c r="G31" s="26"/>
      <c r="H31" s="35">
        <v>180</v>
      </c>
      <c r="I31" s="35">
        <v>170</v>
      </c>
      <c r="J31" s="26"/>
      <c r="K31" s="35">
        <v>0</v>
      </c>
      <c r="L31" s="35">
        <v>0</v>
      </c>
      <c r="M31" s="35"/>
      <c r="N31" s="35">
        <v>70</v>
      </c>
      <c r="O31" s="35">
        <v>62</v>
      </c>
      <c r="P31" s="26"/>
      <c r="Q31" s="37">
        <f t="shared" si="0"/>
        <v>250</v>
      </c>
      <c r="R31" s="38">
        <f t="shared" si="1"/>
        <v>232</v>
      </c>
    </row>
    <row r="32" spans="1:18" ht="18" x14ac:dyDescent="0.35">
      <c r="A32" s="34">
        <v>25</v>
      </c>
      <c r="B32" s="37" t="s">
        <v>124</v>
      </c>
      <c r="C32" s="36" t="s">
        <v>35</v>
      </c>
      <c r="D32" s="37">
        <v>2122</v>
      </c>
      <c r="E32" s="37"/>
      <c r="F32" s="41" t="s">
        <v>127</v>
      </c>
      <c r="G32" s="26"/>
      <c r="H32" s="35">
        <v>80</v>
      </c>
      <c r="I32" s="35">
        <v>70</v>
      </c>
      <c r="J32" s="26"/>
      <c r="K32" s="35">
        <v>0</v>
      </c>
      <c r="L32" s="35">
        <v>0</v>
      </c>
      <c r="M32" s="35"/>
      <c r="N32" s="35">
        <v>0</v>
      </c>
      <c r="O32" s="35">
        <v>0</v>
      </c>
      <c r="P32" s="26"/>
      <c r="Q32" s="37">
        <f t="shared" si="0"/>
        <v>80</v>
      </c>
      <c r="R32" s="38">
        <f t="shared" si="1"/>
        <v>70</v>
      </c>
    </row>
    <row r="33" spans="1:18" ht="18" x14ac:dyDescent="0.35">
      <c r="A33" s="34">
        <v>26</v>
      </c>
      <c r="B33" s="37" t="s">
        <v>124</v>
      </c>
      <c r="C33" s="36" t="s">
        <v>35</v>
      </c>
      <c r="D33" s="37">
        <v>2122</v>
      </c>
      <c r="E33" s="37"/>
      <c r="F33" s="41" t="s">
        <v>128</v>
      </c>
      <c r="G33" s="26"/>
      <c r="H33" s="35">
        <v>0</v>
      </c>
      <c r="I33" s="35">
        <v>0</v>
      </c>
      <c r="J33" s="26"/>
      <c r="K33" s="35">
        <v>0</v>
      </c>
      <c r="L33" s="35">
        <v>0</v>
      </c>
      <c r="M33" s="26"/>
      <c r="N33" s="35">
        <v>0</v>
      </c>
      <c r="O33" s="35">
        <v>0</v>
      </c>
      <c r="P33" s="26"/>
      <c r="Q33" s="37">
        <f t="shared" si="0"/>
        <v>0</v>
      </c>
      <c r="R33" s="38">
        <f t="shared" si="1"/>
        <v>0</v>
      </c>
    </row>
    <row r="34" spans="1:18" ht="18" x14ac:dyDescent="0.35">
      <c r="A34" s="34">
        <v>27</v>
      </c>
      <c r="B34" s="37" t="s">
        <v>124</v>
      </c>
      <c r="C34" s="36" t="s">
        <v>35</v>
      </c>
      <c r="D34" s="37">
        <v>2123</v>
      </c>
      <c r="E34" s="37"/>
      <c r="F34" s="41" t="s">
        <v>127</v>
      </c>
      <c r="G34" s="26"/>
      <c r="H34" s="35">
        <v>0</v>
      </c>
      <c r="I34" s="35">
        <v>0</v>
      </c>
      <c r="J34" s="26"/>
      <c r="K34" s="35">
        <v>183</v>
      </c>
      <c r="L34" s="35">
        <v>183</v>
      </c>
      <c r="M34" s="26"/>
      <c r="N34" s="35">
        <v>80</v>
      </c>
      <c r="O34" s="35">
        <v>64</v>
      </c>
      <c r="P34" s="26"/>
      <c r="Q34" s="37">
        <f t="shared" si="0"/>
        <v>263</v>
      </c>
      <c r="R34" s="38">
        <f t="shared" si="1"/>
        <v>247</v>
      </c>
    </row>
    <row r="35" spans="1:18" ht="18" x14ac:dyDescent="0.35">
      <c r="A35" s="34">
        <v>28</v>
      </c>
      <c r="B35" s="37" t="s">
        <v>124</v>
      </c>
      <c r="C35" s="36" t="s">
        <v>35</v>
      </c>
      <c r="D35" s="37">
        <v>2123</v>
      </c>
      <c r="E35" s="37"/>
      <c r="F35" s="41" t="s">
        <v>129</v>
      </c>
      <c r="G35" s="26"/>
      <c r="H35" s="35">
        <v>0</v>
      </c>
      <c r="I35" s="35">
        <v>0</v>
      </c>
      <c r="J35" s="26"/>
      <c r="K35" s="35">
        <v>183</v>
      </c>
      <c r="L35" s="35">
        <v>183</v>
      </c>
      <c r="M35" s="26"/>
      <c r="N35" s="35">
        <v>120</v>
      </c>
      <c r="O35" s="35">
        <v>100</v>
      </c>
      <c r="P35" s="26"/>
      <c r="Q35" s="37">
        <f t="shared" si="0"/>
        <v>303</v>
      </c>
      <c r="R35" s="38">
        <f t="shared" si="1"/>
        <v>283</v>
      </c>
    </row>
    <row r="36" spans="1:18" ht="18" x14ac:dyDescent="0.35">
      <c r="A36" s="34">
        <v>29</v>
      </c>
      <c r="B36" s="37" t="s">
        <v>124</v>
      </c>
      <c r="C36" s="36" t="s">
        <v>35</v>
      </c>
      <c r="D36" s="37">
        <v>2123</v>
      </c>
      <c r="E36" s="37"/>
      <c r="F36" s="41" t="s">
        <v>128</v>
      </c>
      <c r="G36" s="26"/>
      <c r="H36" s="35">
        <v>0</v>
      </c>
      <c r="I36" s="35">
        <v>0</v>
      </c>
      <c r="J36" s="26"/>
      <c r="K36" s="35">
        <v>0</v>
      </c>
      <c r="L36" s="35">
        <v>0</v>
      </c>
      <c r="M36" s="26"/>
      <c r="N36" s="35">
        <v>120</v>
      </c>
      <c r="O36" s="35">
        <v>100</v>
      </c>
      <c r="P36" s="26"/>
      <c r="Q36" s="37">
        <f t="shared" si="0"/>
        <v>120</v>
      </c>
      <c r="R36" s="38">
        <f t="shared" si="1"/>
        <v>100</v>
      </c>
    </row>
    <row r="37" spans="1:18" ht="18" x14ac:dyDescent="0.35">
      <c r="A37" s="34">
        <v>30</v>
      </c>
      <c r="B37" s="37" t="s">
        <v>131</v>
      </c>
      <c r="C37" s="36" t="s">
        <v>35</v>
      </c>
      <c r="D37" s="37">
        <v>2123</v>
      </c>
      <c r="E37" s="37"/>
      <c r="F37" s="41" t="s">
        <v>128</v>
      </c>
      <c r="G37" s="26"/>
      <c r="H37" s="35">
        <v>70</v>
      </c>
      <c r="I37" s="35">
        <v>62</v>
      </c>
      <c r="J37" s="26"/>
      <c r="K37" s="35">
        <v>70</v>
      </c>
      <c r="L37" s="35">
        <v>59</v>
      </c>
      <c r="M37" s="26"/>
      <c r="N37" s="35">
        <v>80</v>
      </c>
      <c r="O37" s="35">
        <v>65</v>
      </c>
      <c r="P37" s="26"/>
      <c r="Q37" s="37">
        <f t="shared" si="0"/>
        <v>220</v>
      </c>
      <c r="R37" s="38">
        <f t="shared" si="1"/>
        <v>186</v>
      </c>
    </row>
    <row r="38" spans="1:18" ht="18" x14ac:dyDescent="0.35">
      <c r="A38" s="34">
        <v>31</v>
      </c>
      <c r="B38" s="37" t="s">
        <v>162</v>
      </c>
      <c r="C38" s="42" t="s">
        <v>35</v>
      </c>
      <c r="D38" s="37">
        <v>98814</v>
      </c>
      <c r="E38" s="37">
        <v>304.8</v>
      </c>
      <c r="F38" s="41" t="s">
        <v>10</v>
      </c>
      <c r="G38" s="26"/>
      <c r="H38" s="35">
        <v>0</v>
      </c>
      <c r="I38" s="35">
        <v>0</v>
      </c>
      <c r="J38" s="26"/>
      <c r="K38" s="35">
        <v>0</v>
      </c>
      <c r="L38" s="35">
        <v>0</v>
      </c>
      <c r="M38" s="26"/>
      <c r="N38" s="35">
        <v>0</v>
      </c>
      <c r="O38" s="35">
        <v>0</v>
      </c>
      <c r="P38" s="26"/>
      <c r="Q38" s="37">
        <f t="shared" si="0"/>
        <v>0</v>
      </c>
      <c r="R38" s="38">
        <f t="shared" si="1"/>
        <v>0</v>
      </c>
    </row>
    <row r="39" spans="1:18" ht="18" x14ac:dyDescent="0.35">
      <c r="A39" s="34">
        <v>32</v>
      </c>
      <c r="B39" s="37" t="s">
        <v>39</v>
      </c>
      <c r="C39" s="42" t="s">
        <v>35</v>
      </c>
      <c r="D39" s="37">
        <v>98814</v>
      </c>
      <c r="E39" s="37">
        <v>304.8</v>
      </c>
      <c r="F39" s="41" t="s">
        <v>39</v>
      </c>
      <c r="G39" s="37" t="s">
        <v>96</v>
      </c>
      <c r="H39" s="35">
        <v>60</v>
      </c>
      <c r="I39" s="35">
        <v>60</v>
      </c>
      <c r="J39" s="37"/>
      <c r="K39" s="35">
        <v>0</v>
      </c>
      <c r="L39" s="35">
        <v>0</v>
      </c>
      <c r="M39" s="23"/>
      <c r="N39" s="35">
        <v>0</v>
      </c>
      <c r="O39" s="35">
        <v>0</v>
      </c>
      <c r="P39" s="23"/>
      <c r="Q39" s="37">
        <f t="shared" si="0"/>
        <v>60</v>
      </c>
      <c r="R39" s="38">
        <f>I39+L39+O39</f>
        <v>60</v>
      </c>
    </row>
    <row r="40" spans="1:18" ht="18" x14ac:dyDescent="0.35">
      <c r="A40" s="34">
        <v>33</v>
      </c>
      <c r="B40" s="37" t="s">
        <v>132</v>
      </c>
      <c r="C40" s="42" t="s">
        <v>172</v>
      </c>
      <c r="D40" s="37">
        <v>86805</v>
      </c>
      <c r="E40" s="37"/>
      <c r="F40" s="41" t="s">
        <v>12</v>
      </c>
      <c r="G40" s="37" t="s">
        <v>173</v>
      </c>
      <c r="H40" s="35">
        <v>0</v>
      </c>
      <c r="I40" s="35">
        <v>0</v>
      </c>
      <c r="J40" s="37"/>
      <c r="K40" s="35">
        <v>0</v>
      </c>
      <c r="L40" s="35">
        <v>0</v>
      </c>
      <c r="M40" s="26"/>
      <c r="N40" s="35">
        <v>0</v>
      </c>
      <c r="O40" s="35">
        <v>0</v>
      </c>
      <c r="P40" s="26"/>
      <c r="Q40" s="37">
        <f t="shared" si="0"/>
        <v>0</v>
      </c>
      <c r="R40" s="38">
        <f t="shared" si="1"/>
        <v>0</v>
      </c>
    </row>
    <row r="41" spans="1:18" ht="18" x14ac:dyDescent="0.35">
      <c r="A41" s="34">
        <v>34</v>
      </c>
      <c r="B41" s="37" t="s">
        <v>158</v>
      </c>
      <c r="C41" s="42" t="s">
        <v>35</v>
      </c>
      <c r="D41" s="37">
        <v>98815</v>
      </c>
      <c r="E41" s="37">
        <v>406.4</v>
      </c>
      <c r="F41" s="41" t="s">
        <v>135</v>
      </c>
      <c r="G41" s="37" t="s">
        <v>133</v>
      </c>
      <c r="H41" s="35">
        <v>0</v>
      </c>
      <c r="I41" s="35">
        <v>0</v>
      </c>
      <c r="J41" s="37"/>
      <c r="K41" s="35">
        <v>0</v>
      </c>
      <c r="L41" s="35">
        <v>0</v>
      </c>
      <c r="M41" s="26"/>
      <c r="N41" s="35">
        <v>0</v>
      </c>
      <c r="O41" s="35">
        <v>0</v>
      </c>
      <c r="P41" s="26"/>
      <c r="Q41" s="37">
        <f t="shared" si="0"/>
        <v>0</v>
      </c>
      <c r="R41" s="38">
        <f t="shared" si="1"/>
        <v>0</v>
      </c>
    </row>
    <row r="42" spans="1:18" ht="18" x14ac:dyDescent="0.35">
      <c r="A42" s="34">
        <v>35</v>
      </c>
      <c r="B42" s="37" t="s">
        <v>170</v>
      </c>
      <c r="C42" s="42" t="s">
        <v>35</v>
      </c>
      <c r="D42" s="37">
        <v>98815</v>
      </c>
      <c r="E42" s="37">
        <v>406.4</v>
      </c>
      <c r="F42" s="41" t="s">
        <v>159</v>
      </c>
      <c r="G42" s="37" t="s">
        <v>133</v>
      </c>
      <c r="H42" s="35">
        <v>0</v>
      </c>
      <c r="I42" s="35">
        <v>0</v>
      </c>
      <c r="J42" s="37"/>
      <c r="K42" s="35">
        <v>0</v>
      </c>
      <c r="L42" s="35">
        <v>0</v>
      </c>
      <c r="M42" s="26"/>
      <c r="N42" s="35">
        <v>0</v>
      </c>
      <c r="O42" s="35">
        <v>0</v>
      </c>
      <c r="P42" s="26"/>
      <c r="Q42" s="37">
        <f t="shared" si="0"/>
        <v>0</v>
      </c>
      <c r="R42" s="38">
        <f t="shared" si="1"/>
        <v>0</v>
      </c>
    </row>
    <row r="43" spans="1:18" ht="18" x14ac:dyDescent="0.35">
      <c r="A43" s="34">
        <v>36</v>
      </c>
      <c r="B43" s="37" t="s">
        <v>171</v>
      </c>
      <c r="C43" s="42" t="s">
        <v>141</v>
      </c>
      <c r="D43" s="37">
        <v>82527</v>
      </c>
      <c r="E43" s="37">
        <v>155</v>
      </c>
      <c r="F43" s="41" t="s">
        <v>142</v>
      </c>
      <c r="G43" s="37" t="s">
        <v>96</v>
      </c>
      <c r="H43" s="35">
        <v>0</v>
      </c>
      <c r="I43" s="35">
        <v>0</v>
      </c>
      <c r="J43" s="37"/>
      <c r="K43" s="35">
        <v>0</v>
      </c>
      <c r="L43" s="35">
        <v>0</v>
      </c>
      <c r="M43" s="26"/>
      <c r="N43" s="35">
        <v>0</v>
      </c>
      <c r="O43" s="35">
        <v>0</v>
      </c>
      <c r="P43" s="26"/>
      <c r="Q43" s="37">
        <f t="shared" si="0"/>
        <v>0</v>
      </c>
      <c r="R43" s="38">
        <f t="shared" si="1"/>
        <v>0</v>
      </c>
    </row>
    <row r="44" spans="1:18" ht="18" x14ac:dyDescent="0.35">
      <c r="A44" s="34">
        <v>37</v>
      </c>
      <c r="B44" s="37" t="s">
        <v>143</v>
      </c>
      <c r="C44" s="42" t="s">
        <v>144</v>
      </c>
      <c r="D44" s="37">
        <v>83572</v>
      </c>
      <c r="E44" s="37">
        <v>967.65</v>
      </c>
      <c r="F44" s="41" t="s">
        <v>145</v>
      </c>
      <c r="G44" s="37" t="s">
        <v>136</v>
      </c>
      <c r="H44" s="35">
        <v>0</v>
      </c>
      <c r="I44" s="35">
        <v>0</v>
      </c>
      <c r="J44" s="37"/>
      <c r="K44" s="35">
        <v>0</v>
      </c>
      <c r="L44" s="35">
        <v>0</v>
      </c>
      <c r="M44" s="35"/>
      <c r="N44" s="35">
        <v>0</v>
      </c>
      <c r="O44" s="35">
        <v>0</v>
      </c>
      <c r="P44" s="26"/>
      <c r="Q44" s="37">
        <f t="shared" si="0"/>
        <v>0</v>
      </c>
      <c r="R44" s="38">
        <f t="shared" si="1"/>
        <v>0</v>
      </c>
    </row>
    <row r="45" spans="1:18" ht="18" x14ac:dyDescent="0.35">
      <c r="A45" s="34">
        <v>38</v>
      </c>
      <c r="B45" s="37" t="s">
        <v>146</v>
      </c>
      <c r="C45" s="42" t="s">
        <v>144</v>
      </c>
      <c r="D45" s="37">
        <v>83834</v>
      </c>
      <c r="E45" s="37">
        <v>898.89</v>
      </c>
      <c r="F45" s="41" t="s">
        <v>147</v>
      </c>
      <c r="G45" s="37" t="s">
        <v>96</v>
      </c>
      <c r="H45" s="35">
        <v>0</v>
      </c>
      <c r="I45" s="35">
        <v>0</v>
      </c>
      <c r="J45" s="37"/>
      <c r="K45" s="35">
        <v>0</v>
      </c>
      <c r="L45" s="35">
        <v>0</v>
      </c>
      <c r="M45" s="35"/>
      <c r="N45" s="35">
        <v>0</v>
      </c>
      <c r="O45" s="35">
        <v>0</v>
      </c>
      <c r="P45" s="26"/>
      <c r="Q45" s="37">
        <f t="shared" si="0"/>
        <v>0</v>
      </c>
      <c r="R45" s="38">
        <f>I45+L45+O45</f>
        <v>0</v>
      </c>
    </row>
    <row r="46" spans="1:18" ht="36" x14ac:dyDescent="0.35">
      <c r="A46" s="34">
        <v>39</v>
      </c>
      <c r="B46" s="43" t="s">
        <v>148</v>
      </c>
      <c r="C46" s="36" t="s">
        <v>167</v>
      </c>
      <c r="D46" s="35">
        <v>93293</v>
      </c>
      <c r="E46" s="35">
        <v>16.2</v>
      </c>
      <c r="F46" s="40" t="s">
        <v>169</v>
      </c>
      <c r="G46" s="35" t="s">
        <v>104</v>
      </c>
      <c r="H46" s="35">
        <v>4800</v>
      </c>
      <c r="I46" s="35">
        <v>3600</v>
      </c>
      <c r="J46" s="37"/>
      <c r="K46" s="35">
        <v>0</v>
      </c>
      <c r="L46" s="35">
        <v>0</v>
      </c>
      <c r="M46" s="35"/>
      <c r="N46" s="35">
        <v>0</v>
      </c>
      <c r="O46" s="35">
        <v>0</v>
      </c>
      <c r="P46" s="35" t="s">
        <v>165</v>
      </c>
      <c r="Q46" s="35">
        <f t="shared" si="0"/>
        <v>4800</v>
      </c>
      <c r="R46" s="44">
        <f t="shared" si="1"/>
        <v>3600</v>
      </c>
    </row>
    <row r="47" spans="1:18" ht="36" x14ac:dyDescent="0.35">
      <c r="A47" s="34">
        <v>40</v>
      </c>
      <c r="B47" s="43" t="s">
        <v>148</v>
      </c>
      <c r="C47" s="36" t="s">
        <v>167</v>
      </c>
      <c r="D47" s="35">
        <v>93290</v>
      </c>
      <c r="E47" s="35">
        <v>2382</v>
      </c>
      <c r="F47" s="40" t="s">
        <v>150</v>
      </c>
      <c r="G47" s="35" t="s">
        <v>113</v>
      </c>
      <c r="H47" s="35">
        <v>2200</v>
      </c>
      <c r="I47" s="35">
        <v>1891</v>
      </c>
      <c r="J47" s="35" t="s">
        <v>168</v>
      </c>
      <c r="K47" s="35">
        <v>3000</v>
      </c>
      <c r="L47" s="35">
        <v>2601</v>
      </c>
      <c r="M47" s="35"/>
      <c r="N47" s="35">
        <v>3000</v>
      </c>
      <c r="O47" s="35">
        <v>2512</v>
      </c>
      <c r="P47" s="26"/>
      <c r="Q47" s="35">
        <f t="shared" si="0"/>
        <v>8200</v>
      </c>
      <c r="R47" s="44">
        <f t="shared" si="1"/>
        <v>7004</v>
      </c>
    </row>
    <row r="48" spans="1:18" ht="36" x14ac:dyDescent="0.35">
      <c r="A48" s="34">
        <v>41</v>
      </c>
      <c r="B48" s="43" t="s">
        <v>151</v>
      </c>
      <c r="C48" s="36" t="s">
        <v>167</v>
      </c>
      <c r="D48" s="35">
        <v>93292</v>
      </c>
      <c r="E48" s="35">
        <v>1134</v>
      </c>
      <c r="F48" s="40" t="s">
        <v>150</v>
      </c>
      <c r="G48" s="35" t="s">
        <v>113</v>
      </c>
      <c r="H48" s="35">
        <v>0</v>
      </c>
      <c r="I48" s="35">
        <v>0</v>
      </c>
      <c r="J48" s="37"/>
      <c r="K48" s="35">
        <v>0</v>
      </c>
      <c r="L48" s="35">
        <v>0</v>
      </c>
      <c r="M48" s="35"/>
      <c r="N48" s="35">
        <v>0</v>
      </c>
      <c r="O48" s="35">
        <v>0</v>
      </c>
      <c r="P48" s="26"/>
      <c r="Q48" s="35">
        <f>N48+K48+H48</f>
        <v>0</v>
      </c>
      <c r="R48" s="44">
        <f t="shared" si="1"/>
        <v>0</v>
      </c>
    </row>
  </sheetData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9"/>
  <sheetViews>
    <sheetView workbookViewId="0">
      <selection sqref="A1:R49"/>
    </sheetView>
  </sheetViews>
  <sheetFormatPr defaultRowHeight="14.4" x14ac:dyDescent="0.3"/>
  <cols>
    <col min="2" max="2" width="19.33203125" customWidth="1"/>
    <col min="3" max="3" width="20.44140625" customWidth="1"/>
    <col min="6" max="6" width="27.6640625" customWidth="1"/>
    <col min="10" max="10" width="11.88671875" customWidth="1"/>
    <col min="13" max="13" width="17.88671875" bestFit="1" customWidth="1"/>
    <col min="14" max="15" width="9.109375" hidden="1" customWidth="1"/>
    <col min="16" max="16" width="12.6640625" hidden="1" customWidth="1"/>
    <col min="17" max="17" width="15.88671875" customWidth="1"/>
    <col min="18" max="18" width="20.33203125" customWidth="1"/>
  </cols>
  <sheetData>
    <row r="1" spans="1:18" ht="14.25" customHeight="1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8" t="s">
        <v>76</v>
      </c>
      <c r="M5" s="29">
        <v>46072</v>
      </c>
      <c r="N5" s="26"/>
      <c r="O5" s="28" t="s">
        <v>76</v>
      </c>
      <c r="P5" s="29" t="s">
        <v>189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56" t="s">
        <v>83</v>
      </c>
      <c r="L6" s="56"/>
      <c r="M6" s="56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94</v>
      </c>
      <c r="C8" s="36" t="s">
        <v>172</v>
      </c>
      <c r="D8" s="35">
        <v>1770</v>
      </c>
      <c r="E8" s="35">
        <v>280</v>
      </c>
      <c r="F8" s="35" t="s">
        <v>92</v>
      </c>
      <c r="G8" s="35" t="s">
        <v>110</v>
      </c>
      <c r="H8" s="35">
        <v>81</v>
      </c>
      <c r="I8" s="35">
        <v>81</v>
      </c>
      <c r="J8" s="35"/>
      <c r="K8" s="35">
        <v>25</v>
      </c>
      <c r="L8" s="35">
        <v>25</v>
      </c>
      <c r="M8" s="35"/>
      <c r="N8" s="35">
        <v>0</v>
      </c>
      <c r="O8" s="35"/>
      <c r="P8" s="35"/>
      <c r="Q8" s="37">
        <f>N8+K8+H8</f>
        <v>106</v>
      </c>
      <c r="R8" s="38">
        <f>I8+L8+O8</f>
        <v>106</v>
      </c>
    </row>
    <row r="9" spans="1:18" ht="18" x14ac:dyDescent="0.35">
      <c r="A9" s="34">
        <v>2</v>
      </c>
      <c r="B9" s="35" t="s">
        <v>94</v>
      </c>
      <c r="C9" s="36" t="s">
        <v>184</v>
      </c>
      <c r="D9" s="35">
        <v>96720</v>
      </c>
      <c r="E9" s="35">
        <v>5700</v>
      </c>
      <c r="F9" s="35" t="s">
        <v>92</v>
      </c>
      <c r="G9" s="35" t="s">
        <v>96</v>
      </c>
      <c r="H9" s="35">
        <v>46</v>
      </c>
      <c r="I9" s="35">
        <v>46</v>
      </c>
      <c r="J9" s="35"/>
      <c r="K9" s="35">
        <v>70</v>
      </c>
      <c r="L9" s="35">
        <v>0</v>
      </c>
      <c r="M9" s="35"/>
      <c r="N9" s="35">
        <v>0</v>
      </c>
      <c r="O9" s="35"/>
      <c r="P9" s="35"/>
      <c r="Q9" s="37">
        <f t="shared" ref="Q9:Q48" si="0">N9+K9+H9</f>
        <v>116</v>
      </c>
      <c r="R9" s="38">
        <f t="shared" ref="R9:R49" si="1">I9+L9+O9</f>
        <v>46</v>
      </c>
    </row>
    <row r="10" spans="1:18" ht="18" x14ac:dyDescent="0.35">
      <c r="A10" s="34">
        <v>3</v>
      </c>
      <c r="B10" s="35" t="s">
        <v>94</v>
      </c>
      <c r="C10" s="36" t="s">
        <v>172</v>
      </c>
      <c r="D10" s="35">
        <v>99721</v>
      </c>
      <c r="E10" s="35">
        <v>245</v>
      </c>
      <c r="F10" s="35" t="s">
        <v>191</v>
      </c>
      <c r="G10" s="35" t="s">
        <v>96</v>
      </c>
      <c r="H10" s="35">
        <v>28</v>
      </c>
      <c r="I10" s="35">
        <v>28</v>
      </c>
      <c r="J10" s="35"/>
      <c r="K10" s="35">
        <v>0</v>
      </c>
      <c r="L10" s="35">
        <v>0</v>
      </c>
      <c r="M10" s="35"/>
      <c r="N10" s="35">
        <v>0</v>
      </c>
      <c r="O10" s="35"/>
      <c r="P10" s="35"/>
      <c r="Q10" s="37">
        <f t="shared" si="0"/>
        <v>28</v>
      </c>
      <c r="R10" s="38">
        <f t="shared" si="1"/>
        <v>28</v>
      </c>
    </row>
    <row r="11" spans="1:18" ht="18" x14ac:dyDescent="0.35">
      <c r="A11" s="34"/>
      <c r="B11" s="35" t="s">
        <v>94</v>
      </c>
      <c r="C11" s="36" t="s">
        <v>35</v>
      </c>
      <c r="D11" s="35">
        <v>98808</v>
      </c>
      <c r="E11" s="35">
        <v>76.2</v>
      </c>
      <c r="F11" s="35" t="s">
        <v>192</v>
      </c>
      <c r="G11" s="35" t="s">
        <v>110</v>
      </c>
      <c r="H11" s="35">
        <v>100</v>
      </c>
      <c r="I11" s="35">
        <v>0</v>
      </c>
      <c r="J11" s="35"/>
      <c r="K11" s="35">
        <v>100</v>
      </c>
      <c r="L11" s="35">
        <v>100</v>
      </c>
      <c r="M11" s="35"/>
      <c r="N11" s="35"/>
      <c r="O11" s="35"/>
      <c r="P11" s="35"/>
      <c r="Q11" s="37"/>
      <c r="R11" s="38"/>
    </row>
    <row r="12" spans="1:18" ht="18" x14ac:dyDescent="0.35">
      <c r="A12" s="34">
        <v>4</v>
      </c>
      <c r="B12" s="35" t="s">
        <v>181</v>
      </c>
      <c r="C12" s="36" t="s">
        <v>97</v>
      </c>
      <c r="D12" s="35">
        <v>93799</v>
      </c>
      <c r="E12" s="35">
        <v>86.36</v>
      </c>
      <c r="F12" s="35" t="s">
        <v>166</v>
      </c>
      <c r="G12" s="35" t="s">
        <v>96</v>
      </c>
      <c r="H12" s="35">
        <v>0</v>
      </c>
      <c r="I12" s="35">
        <v>0</v>
      </c>
      <c r="J12" s="35"/>
      <c r="K12" s="35">
        <v>0</v>
      </c>
      <c r="L12" s="35">
        <v>0</v>
      </c>
      <c r="M12" s="35"/>
      <c r="N12" s="35">
        <v>0</v>
      </c>
      <c r="O12" s="35"/>
      <c r="P12" s="35"/>
      <c r="Q12" s="37">
        <f t="shared" si="0"/>
        <v>0</v>
      </c>
      <c r="R12" s="38">
        <f t="shared" si="1"/>
        <v>0</v>
      </c>
    </row>
    <row r="13" spans="1:18" ht="18" x14ac:dyDescent="0.35">
      <c r="A13" s="34">
        <v>5</v>
      </c>
      <c r="B13" s="35" t="s">
        <v>182</v>
      </c>
      <c r="C13" s="36" t="s">
        <v>97</v>
      </c>
      <c r="D13" s="35">
        <v>93799</v>
      </c>
      <c r="E13" s="35">
        <v>86.36</v>
      </c>
      <c r="F13" s="35" t="s">
        <v>166</v>
      </c>
      <c r="G13" s="35" t="s">
        <v>96</v>
      </c>
      <c r="H13" s="35">
        <v>0</v>
      </c>
      <c r="I13" s="35">
        <v>0</v>
      </c>
      <c r="J13" s="35"/>
      <c r="K13" s="35">
        <v>0</v>
      </c>
      <c r="L13" s="35">
        <v>0</v>
      </c>
      <c r="M13" s="35"/>
      <c r="N13" s="35">
        <v>0</v>
      </c>
      <c r="O13" s="35"/>
      <c r="P13" s="35"/>
      <c r="Q13" s="37">
        <f t="shared" si="0"/>
        <v>0</v>
      </c>
      <c r="R13" s="38">
        <f t="shared" si="1"/>
        <v>0</v>
      </c>
    </row>
    <row r="14" spans="1:18" ht="18" x14ac:dyDescent="0.35">
      <c r="A14" s="34">
        <v>6</v>
      </c>
      <c r="B14" s="35" t="s">
        <v>105</v>
      </c>
      <c r="C14" s="36" t="s">
        <v>95</v>
      </c>
      <c r="D14" s="35">
        <v>86308</v>
      </c>
      <c r="E14" s="35">
        <v>55.88</v>
      </c>
      <c r="F14" s="35" t="s">
        <v>92</v>
      </c>
      <c r="G14" s="35" t="s">
        <v>96</v>
      </c>
      <c r="H14" s="35">
        <v>0</v>
      </c>
      <c r="I14" s="35">
        <v>0</v>
      </c>
      <c r="J14" s="35"/>
      <c r="K14" s="35">
        <v>0</v>
      </c>
      <c r="L14" s="35">
        <v>0</v>
      </c>
      <c r="M14" s="35"/>
      <c r="N14" s="35">
        <v>0</v>
      </c>
      <c r="O14" s="35"/>
      <c r="P14" s="35"/>
      <c r="Q14" s="37">
        <f t="shared" si="0"/>
        <v>0</v>
      </c>
      <c r="R14" s="38">
        <f t="shared" si="1"/>
        <v>0</v>
      </c>
    </row>
    <row r="15" spans="1:18" ht="18" x14ac:dyDescent="0.35">
      <c r="A15" s="34">
        <v>7</v>
      </c>
      <c r="B15" s="35" t="s">
        <v>106</v>
      </c>
      <c r="C15" s="36" t="s">
        <v>95</v>
      </c>
      <c r="D15" s="35">
        <v>86308</v>
      </c>
      <c r="E15" s="35">
        <v>55.88</v>
      </c>
      <c r="F15" s="35" t="s">
        <v>92</v>
      </c>
      <c r="G15" s="35" t="s">
        <v>163</v>
      </c>
      <c r="H15" s="35">
        <v>0</v>
      </c>
      <c r="I15" s="35">
        <v>0</v>
      </c>
      <c r="J15" s="35"/>
      <c r="K15" s="35">
        <v>0</v>
      </c>
      <c r="L15" s="35">
        <v>0</v>
      </c>
      <c r="M15" s="35"/>
      <c r="N15" s="35">
        <v>0</v>
      </c>
      <c r="O15" s="35"/>
      <c r="P15" s="35"/>
      <c r="Q15" s="37">
        <f t="shared" si="0"/>
        <v>0</v>
      </c>
      <c r="R15" s="38">
        <f t="shared" si="1"/>
        <v>0</v>
      </c>
    </row>
    <row r="16" spans="1:18" ht="18" x14ac:dyDescent="0.35">
      <c r="A16" s="34">
        <v>8</v>
      </c>
      <c r="B16" s="35" t="s">
        <v>108</v>
      </c>
      <c r="C16" s="36" t="s">
        <v>95</v>
      </c>
      <c r="D16" s="35">
        <v>86308</v>
      </c>
      <c r="E16" s="35">
        <v>55.88</v>
      </c>
      <c r="F16" s="35" t="s">
        <v>92</v>
      </c>
      <c r="G16" s="35" t="s">
        <v>96</v>
      </c>
      <c r="H16" s="35">
        <v>0</v>
      </c>
      <c r="I16" s="35">
        <v>0</v>
      </c>
      <c r="J16" s="35"/>
      <c r="K16" s="35">
        <v>0</v>
      </c>
      <c r="L16" s="35">
        <v>0</v>
      </c>
      <c r="M16" s="35" t="s">
        <v>165</v>
      </c>
      <c r="N16" s="35">
        <v>0</v>
      </c>
      <c r="O16" s="35"/>
      <c r="P16" s="35"/>
      <c r="Q16" s="37">
        <f t="shared" si="0"/>
        <v>0</v>
      </c>
      <c r="R16" s="38">
        <f t="shared" si="1"/>
        <v>0</v>
      </c>
    </row>
    <row r="17" spans="1:18" ht="18" x14ac:dyDescent="0.35">
      <c r="A17" s="34">
        <v>9</v>
      </c>
      <c r="B17" s="35" t="s">
        <v>185</v>
      </c>
      <c r="C17" s="36" t="s">
        <v>97</v>
      </c>
      <c r="D17" s="35">
        <v>93799</v>
      </c>
      <c r="E17" s="35">
        <v>86.36</v>
      </c>
      <c r="F17" s="35" t="s">
        <v>186</v>
      </c>
      <c r="G17" s="35" t="s">
        <v>187</v>
      </c>
      <c r="H17" s="35">
        <v>0</v>
      </c>
      <c r="I17" s="35">
        <v>0</v>
      </c>
      <c r="J17" s="35"/>
      <c r="K17" s="35">
        <v>0</v>
      </c>
      <c r="L17" s="35">
        <v>0</v>
      </c>
      <c r="M17" s="35"/>
      <c r="N17" s="35">
        <v>0</v>
      </c>
      <c r="O17" s="35"/>
      <c r="P17" s="35"/>
      <c r="Q17" s="37">
        <f t="shared" si="0"/>
        <v>0</v>
      </c>
      <c r="R17" s="38">
        <f t="shared" si="1"/>
        <v>0</v>
      </c>
    </row>
    <row r="18" spans="1:18" ht="18" x14ac:dyDescent="0.35">
      <c r="A18" s="34">
        <v>10</v>
      </c>
      <c r="B18" s="35" t="s">
        <v>102</v>
      </c>
      <c r="C18" s="36" t="s">
        <v>35</v>
      </c>
      <c r="D18" s="35">
        <v>98814</v>
      </c>
      <c r="E18" s="35">
        <v>304.8</v>
      </c>
      <c r="F18" s="35">
        <v>90</v>
      </c>
      <c r="G18" s="35" t="s">
        <v>175</v>
      </c>
      <c r="H18" s="35">
        <v>0</v>
      </c>
      <c r="I18" s="35">
        <v>0</v>
      </c>
      <c r="J18" s="35"/>
      <c r="K18" s="35">
        <v>0</v>
      </c>
      <c r="L18" s="35">
        <v>0</v>
      </c>
      <c r="M18" s="35"/>
      <c r="N18" s="35">
        <v>0</v>
      </c>
      <c r="O18" s="35"/>
      <c r="P18" s="35"/>
      <c r="Q18" s="37">
        <f t="shared" si="0"/>
        <v>0</v>
      </c>
      <c r="R18" s="38">
        <f t="shared" si="1"/>
        <v>0</v>
      </c>
    </row>
    <row r="19" spans="1:18" ht="18" x14ac:dyDescent="0.35">
      <c r="A19" s="34">
        <v>11</v>
      </c>
      <c r="B19" s="35" t="s">
        <v>102</v>
      </c>
      <c r="C19" s="36" t="s">
        <v>35</v>
      </c>
      <c r="D19" s="35">
        <v>98808</v>
      </c>
      <c r="E19" s="35">
        <v>418.2</v>
      </c>
      <c r="F19" s="35">
        <v>90</v>
      </c>
      <c r="G19" s="35" t="s">
        <v>175</v>
      </c>
      <c r="H19" s="35">
        <v>0</v>
      </c>
      <c r="I19" s="35">
        <v>0</v>
      </c>
      <c r="J19" s="35"/>
      <c r="K19" s="35">
        <v>0</v>
      </c>
      <c r="L19" s="35">
        <v>0</v>
      </c>
      <c r="M19" s="35"/>
      <c r="N19" s="35">
        <v>0</v>
      </c>
      <c r="O19" s="35"/>
      <c r="P19" s="35"/>
      <c r="Q19" s="37">
        <f t="shared" si="0"/>
        <v>0</v>
      </c>
      <c r="R19" s="38">
        <f t="shared" si="1"/>
        <v>0</v>
      </c>
    </row>
    <row r="20" spans="1:18" ht="18" x14ac:dyDescent="0.35">
      <c r="A20" s="34">
        <v>12</v>
      </c>
      <c r="B20" s="35" t="s">
        <v>111</v>
      </c>
      <c r="C20" s="36" t="s">
        <v>35</v>
      </c>
      <c r="D20" s="35">
        <v>2123</v>
      </c>
      <c r="E20" s="35"/>
      <c r="F20" s="35" t="s">
        <v>114</v>
      </c>
      <c r="G20" s="35" t="s">
        <v>154</v>
      </c>
      <c r="H20" s="35">
        <v>0</v>
      </c>
      <c r="I20" s="35">
        <v>0</v>
      </c>
      <c r="J20" s="35"/>
      <c r="K20" s="35">
        <v>140</v>
      </c>
      <c r="L20" s="35">
        <v>135</v>
      </c>
      <c r="M20" s="35"/>
      <c r="N20" s="35">
        <v>64</v>
      </c>
      <c r="O20" s="35"/>
      <c r="P20" s="35"/>
      <c r="Q20" s="37">
        <f t="shared" si="0"/>
        <v>204</v>
      </c>
      <c r="R20" s="38">
        <f t="shared" si="1"/>
        <v>135</v>
      </c>
    </row>
    <row r="21" spans="1:18" ht="18" x14ac:dyDescent="0.35">
      <c r="A21" s="34">
        <v>13</v>
      </c>
      <c r="B21" s="35" t="s">
        <v>111</v>
      </c>
      <c r="C21" s="36" t="s">
        <v>35</v>
      </c>
      <c r="D21" s="35">
        <v>98811</v>
      </c>
      <c r="E21" s="35">
        <v>11.05</v>
      </c>
      <c r="F21" s="35">
        <v>90</v>
      </c>
      <c r="G21" s="35" t="s">
        <v>155</v>
      </c>
      <c r="H21" s="35">
        <v>0</v>
      </c>
      <c r="I21" s="35">
        <v>0</v>
      </c>
      <c r="J21" s="35"/>
      <c r="K21" s="35">
        <v>200</v>
      </c>
      <c r="L21" s="35">
        <v>0</v>
      </c>
      <c r="M21" s="35"/>
      <c r="N21" s="35">
        <v>0</v>
      </c>
      <c r="O21" s="35"/>
      <c r="P21" s="35"/>
      <c r="Q21" s="37">
        <f t="shared" si="0"/>
        <v>200</v>
      </c>
      <c r="R21" s="38">
        <f t="shared" si="1"/>
        <v>0</v>
      </c>
    </row>
    <row r="22" spans="1:18" ht="18" x14ac:dyDescent="0.35">
      <c r="A22" s="34">
        <v>14</v>
      </c>
      <c r="B22" s="35" t="s">
        <v>111</v>
      </c>
      <c r="C22" s="36" t="s">
        <v>35</v>
      </c>
      <c r="D22" s="35">
        <v>98811</v>
      </c>
      <c r="E22" s="35">
        <v>20.059999999999999</v>
      </c>
      <c r="F22" s="35">
        <v>90</v>
      </c>
      <c r="G22" s="35" t="s">
        <v>155</v>
      </c>
      <c r="H22" s="35">
        <v>0</v>
      </c>
      <c r="I22" s="35">
        <v>0</v>
      </c>
      <c r="J22" s="35"/>
      <c r="K22" s="35">
        <v>120</v>
      </c>
      <c r="L22" s="35">
        <v>0</v>
      </c>
      <c r="M22" s="35"/>
      <c r="N22" s="35">
        <v>0</v>
      </c>
      <c r="O22" s="35"/>
      <c r="P22" s="35"/>
      <c r="Q22" s="37">
        <f t="shared" si="0"/>
        <v>120</v>
      </c>
      <c r="R22" s="38">
        <f t="shared" si="1"/>
        <v>0</v>
      </c>
    </row>
    <row r="23" spans="1:18" ht="18" x14ac:dyDescent="0.35">
      <c r="A23" s="34">
        <v>15</v>
      </c>
      <c r="B23" s="35" t="s">
        <v>121</v>
      </c>
      <c r="C23" s="36" t="s">
        <v>35</v>
      </c>
      <c r="D23" s="35">
        <v>98809</v>
      </c>
      <c r="E23" s="35">
        <v>152.4</v>
      </c>
      <c r="F23" s="40" t="s">
        <v>190</v>
      </c>
      <c r="G23" s="35" t="s">
        <v>154</v>
      </c>
      <c r="H23" s="35">
        <v>400</v>
      </c>
      <c r="I23" s="35">
        <v>0</v>
      </c>
      <c r="J23" s="35"/>
      <c r="K23" s="35">
        <v>0</v>
      </c>
      <c r="L23" s="35">
        <v>0</v>
      </c>
      <c r="M23" s="26"/>
      <c r="N23" s="35">
        <v>0</v>
      </c>
      <c r="O23" s="35"/>
      <c r="P23" s="26"/>
      <c r="Q23" s="37">
        <f t="shared" si="0"/>
        <v>400</v>
      </c>
      <c r="R23" s="38">
        <f t="shared" si="1"/>
        <v>0</v>
      </c>
    </row>
    <row r="24" spans="1:18" ht="18" x14ac:dyDescent="0.35">
      <c r="A24" s="34">
        <v>16</v>
      </c>
      <c r="B24" s="35" t="s">
        <v>116</v>
      </c>
      <c r="C24" s="36" t="s">
        <v>35</v>
      </c>
      <c r="D24" s="35">
        <v>98808</v>
      </c>
      <c r="E24" s="35">
        <v>428.75</v>
      </c>
      <c r="F24" s="40" t="s">
        <v>122</v>
      </c>
      <c r="G24" s="35" t="s">
        <v>154</v>
      </c>
      <c r="H24" s="35">
        <v>0</v>
      </c>
      <c r="I24" s="35">
        <v>0</v>
      </c>
      <c r="J24" s="35"/>
      <c r="K24" s="35">
        <v>0</v>
      </c>
      <c r="L24" s="35">
        <v>0</v>
      </c>
      <c r="M24" s="26"/>
      <c r="N24" s="35">
        <v>0</v>
      </c>
      <c r="O24" s="35"/>
      <c r="P24" s="26"/>
      <c r="Q24" s="37">
        <f t="shared" si="0"/>
        <v>0</v>
      </c>
      <c r="R24" s="38">
        <f t="shared" si="1"/>
        <v>0</v>
      </c>
    </row>
    <row r="25" spans="1:18" ht="18" x14ac:dyDescent="0.35">
      <c r="A25" s="34">
        <v>17</v>
      </c>
      <c r="B25" s="35" t="s">
        <v>116</v>
      </c>
      <c r="C25" s="36" t="s">
        <v>35</v>
      </c>
      <c r="D25" s="35">
        <v>2123</v>
      </c>
      <c r="E25" s="35"/>
      <c r="F25" s="35" t="s">
        <v>123</v>
      </c>
      <c r="G25" s="35" t="s">
        <v>154</v>
      </c>
      <c r="H25" s="35">
        <v>0</v>
      </c>
      <c r="I25" s="35">
        <v>0</v>
      </c>
      <c r="J25" s="35"/>
      <c r="K25" s="35">
        <v>0</v>
      </c>
      <c r="L25" s="35">
        <v>0</v>
      </c>
      <c r="M25" s="26"/>
      <c r="N25" s="35">
        <v>206</v>
      </c>
      <c r="O25" s="35"/>
      <c r="P25" s="26"/>
      <c r="Q25" s="37">
        <f t="shared" si="0"/>
        <v>206</v>
      </c>
      <c r="R25" s="38">
        <f t="shared" si="1"/>
        <v>0</v>
      </c>
    </row>
    <row r="26" spans="1:18" ht="18" x14ac:dyDescent="0.35">
      <c r="A26" s="34">
        <v>18</v>
      </c>
      <c r="B26" s="35" t="s">
        <v>119</v>
      </c>
      <c r="C26" s="36" t="s">
        <v>35</v>
      </c>
      <c r="D26" s="35">
        <v>98808</v>
      </c>
      <c r="E26" s="35">
        <v>428.75</v>
      </c>
      <c r="F26" s="40" t="s">
        <v>40</v>
      </c>
      <c r="G26" s="35" t="s">
        <v>118</v>
      </c>
      <c r="H26" s="35">
        <v>0</v>
      </c>
      <c r="I26" s="35">
        <v>0</v>
      </c>
      <c r="J26" s="35"/>
      <c r="K26" s="35">
        <v>0</v>
      </c>
      <c r="L26" s="35">
        <v>0</v>
      </c>
      <c r="M26" s="26"/>
      <c r="N26" s="35">
        <v>0</v>
      </c>
      <c r="O26" s="35"/>
      <c r="P26" s="26"/>
      <c r="Q26" s="37">
        <f t="shared" si="0"/>
        <v>0</v>
      </c>
      <c r="R26" s="38">
        <f t="shared" si="1"/>
        <v>0</v>
      </c>
    </row>
    <row r="27" spans="1:18" ht="18" x14ac:dyDescent="0.35">
      <c r="A27" s="34">
        <v>19</v>
      </c>
      <c r="B27" s="35" t="s">
        <v>119</v>
      </c>
      <c r="C27" s="36" t="s">
        <v>35</v>
      </c>
      <c r="D27" s="35">
        <v>98809</v>
      </c>
      <c r="E27" s="35">
        <v>152.4</v>
      </c>
      <c r="F27" s="40" t="s">
        <v>122</v>
      </c>
      <c r="G27" s="35" t="s">
        <v>120</v>
      </c>
      <c r="H27" s="35">
        <v>450</v>
      </c>
      <c r="I27" s="35">
        <v>390</v>
      </c>
      <c r="J27" s="35"/>
      <c r="K27" s="35">
        <v>0</v>
      </c>
      <c r="L27" s="35">
        <v>0</v>
      </c>
      <c r="M27" s="26"/>
      <c r="N27" s="35">
        <v>0</v>
      </c>
      <c r="O27" s="35"/>
      <c r="P27" s="26"/>
      <c r="Q27" s="37">
        <f t="shared" si="0"/>
        <v>450</v>
      </c>
      <c r="R27" s="38">
        <f t="shared" si="1"/>
        <v>390</v>
      </c>
    </row>
    <row r="28" spans="1:18" ht="18" x14ac:dyDescent="0.35">
      <c r="A28" s="34">
        <v>20</v>
      </c>
      <c r="B28" s="35" t="s">
        <v>176</v>
      </c>
      <c r="C28" s="36" t="s">
        <v>35</v>
      </c>
      <c r="D28" s="35">
        <v>98808</v>
      </c>
      <c r="E28" s="35">
        <v>418.2</v>
      </c>
      <c r="F28" s="40" t="s">
        <v>122</v>
      </c>
      <c r="G28" s="35" t="s">
        <v>118</v>
      </c>
      <c r="H28" s="35">
        <v>0</v>
      </c>
      <c r="I28" s="35">
        <v>0</v>
      </c>
      <c r="J28" s="35"/>
      <c r="K28" s="35">
        <v>0</v>
      </c>
      <c r="L28" s="35">
        <v>0</v>
      </c>
      <c r="M28" s="26"/>
      <c r="N28" s="35">
        <v>0</v>
      </c>
      <c r="O28" s="35"/>
      <c r="P28" s="26"/>
      <c r="Q28" s="37">
        <f t="shared" si="0"/>
        <v>0</v>
      </c>
      <c r="R28" s="38">
        <f t="shared" si="1"/>
        <v>0</v>
      </c>
    </row>
    <row r="29" spans="1:18" ht="18" x14ac:dyDescent="0.35">
      <c r="A29" s="34">
        <v>21</v>
      </c>
      <c r="B29" s="35" t="s">
        <v>121</v>
      </c>
      <c r="C29" s="36" t="s">
        <v>35</v>
      </c>
      <c r="D29" s="35">
        <v>98810</v>
      </c>
      <c r="E29" s="35">
        <v>105.4</v>
      </c>
      <c r="F29" s="40" t="s">
        <v>122</v>
      </c>
      <c r="G29" s="35" t="s">
        <v>118</v>
      </c>
      <c r="H29" s="35">
        <v>800</v>
      </c>
      <c r="I29" s="35">
        <v>670</v>
      </c>
      <c r="J29" s="35"/>
      <c r="K29" s="35">
        <v>0</v>
      </c>
      <c r="L29" s="35">
        <v>0</v>
      </c>
      <c r="M29" s="35"/>
      <c r="N29" s="35">
        <v>0</v>
      </c>
      <c r="O29" s="35"/>
      <c r="P29" s="26"/>
      <c r="Q29" s="37">
        <f t="shared" si="0"/>
        <v>800</v>
      </c>
      <c r="R29" s="38">
        <f t="shared" si="1"/>
        <v>670</v>
      </c>
    </row>
    <row r="30" spans="1:18" ht="18" x14ac:dyDescent="0.35">
      <c r="A30" s="34">
        <v>22</v>
      </c>
      <c r="B30" s="35" t="s">
        <v>119</v>
      </c>
      <c r="C30" s="36" t="s">
        <v>35</v>
      </c>
      <c r="D30" s="35">
        <v>98812</v>
      </c>
      <c r="E30" s="35"/>
      <c r="F30" s="40" t="s">
        <v>117</v>
      </c>
      <c r="G30" s="35" t="s">
        <v>118</v>
      </c>
      <c r="H30" s="35">
        <v>0</v>
      </c>
      <c r="I30" s="35">
        <v>0</v>
      </c>
      <c r="J30" s="35"/>
      <c r="K30" s="35">
        <v>0</v>
      </c>
      <c r="L30" s="35">
        <v>0</v>
      </c>
      <c r="M30" s="35"/>
      <c r="N30" s="35">
        <v>0</v>
      </c>
      <c r="O30" s="35"/>
      <c r="P30" s="26"/>
      <c r="Q30" s="37">
        <f t="shared" si="0"/>
        <v>0</v>
      </c>
      <c r="R30" s="38">
        <f t="shared" si="1"/>
        <v>0</v>
      </c>
    </row>
    <row r="31" spans="1:18" ht="18" x14ac:dyDescent="0.35">
      <c r="A31" s="34">
        <v>23</v>
      </c>
      <c r="B31" s="37" t="s">
        <v>124</v>
      </c>
      <c r="C31" s="36" t="s">
        <v>35</v>
      </c>
      <c r="D31" s="37">
        <v>2191</v>
      </c>
      <c r="E31" s="37"/>
      <c r="F31" s="41" t="s">
        <v>126</v>
      </c>
      <c r="G31" s="26"/>
      <c r="H31" s="35">
        <v>120</v>
      </c>
      <c r="I31" s="35">
        <v>116</v>
      </c>
      <c r="J31" s="26"/>
      <c r="K31" s="35">
        <v>0</v>
      </c>
      <c r="L31" s="35">
        <v>0</v>
      </c>
      <c r="M31" s="35"/>
      <c r="N31" s="35">
        <v>0</v>
      </c>
      <c r="O31" s="35"/>
      <c r="P31" s="26"/>
      <c r="Q31" s="37">
        <f t="shared" si="0"/>
        <v>120</v>
      </c>
      <c r="R31" s="38">
        <f t="shared" si="1"/>
        <v>116</v>
      </c>
    </row>
    <row r="32" spans="1:18" ht="18" x14ac:dyDescent="0.35">
      <c r="A32" s="34">
        <v>24</v>
      </c>
      <c r="B32" s="37" t="s">
        <v>124</v>
      </c>
      <c r="C32" s="36" t="s">
        <v>35</v>
      </c>
      <c r="D32" s="37">
        <v>2191</v>
      </c>
      <c r="E32" s="37"/>
      <c r="F32" s="41" t="s">
        <v>174</v>
      </c>
      <c r="G32" s="26"/>
      <c r="H32" s="35">
        <v>110</v>
      </c>
      <c r="I32" s="35">
        <v>86</v>
      </c>
      <c r="J32" s="26"/>
      <c r="K32" s="35">
        <v>0</v>
      </c>
      <c r="L32" s="35">
        <v>0</v>
      </c>
      <c r="M32" s="35"/>
      <c r="N32" s="35">
        <v>70</v>
      </c>
      <c r="O32" s="35"/>
      <c r="P32" s="26"/>
      <c r="Q32" s="37">
        <f t="shared" si="0"/>
        <v>180</v>
      </c>
      <c r="R32" s="38">
        <f t="shared" si="1"/>
        <v>86</v>
      </c>
    </row>
    <row r="33" spans="1:18" ht="18" x14ac:dyDescent="0.35">
      <c r="A33" s="34">
        <v>25</v>
      </c>
      <c r="B33" s="37" t="s">
        <v>124</v>
      </c>
      <c r="C33" s="36" t="s">
        <v>35</v>
      </c>
      <c r="D33" s="37">
        <v>2122</v>
      </c>
      <c r="E33" s="37"/>
      <c r="F33" s="41" t="s">
        <v>127</v>
      </c>
      <c r="G33" s="26"/>
      <c r="H33" s="35">
        <v>0</v>
      </c>
      <c r="I33" s="35">
        <v>0</v>
      </c>
      <c r="J33" s="26"/>
      <c r="K33" s="35">
        <v>50</v>
      </c>
      <c r="L33" s="35">
        <v>48</v>
      </c>
      <c r="M33" s="35"/>
      <c r="N33" s="35">
        <v>0</v>
      </c>
      <c r="O33" s="35"/>
      <c r="P33" s="26"/>
      <c r="Q33" s="37">
        <f t="shared" si="0"/>
        <v>50</v>
      </c>
      <c r="R33" s="38">
        <f t="shared" si="1"/>
        <v>48</v>
      </c>
    </row>
    <row r="34" spans="1:18" ht="18" x14ac:dyDescent="0.35">
      <c r="A34" s="34">
        <v>26</v>
      </c>
      <c r="B34" s="37" t="s">
        <v>124</v>
      </c>
      <c r="C34" s="36" t="s">
        <v>35</v>
      </c>
      <c r="D34" s="37">
        <v>2122</v>
      </c>
      <c r="E34" s="37"/>
      <c r="F34" s="41" t="s">
        <v>128</v>
      </c>
      <c r="G34" s="26"/>
      <c r="H34" s="35">
        <v>220</v>
      </c>
      <c r="I34" s="35">
        <v>0</v>
      </c>
      <c r="J34" s="26"/>
      <c r="K34" s="35">
        <v>200</v>
      </c>
      <c r="L34" s="35">
        <v>195</v>
      </c>
      <c r="M34" s="26"/>
      <c r="N34" s="35">
        <v>0</v>
      </c>
      <c r="O34" s="35"/>
      <c r="P34" s="26"/>
      <c r="Q34" s="37">
        <f t="shared" si="0"/>
        <v>420</v>
      </c>
      <c r="R34" s="38">
        <f t="shared" si="1"/>
        <v>195</v>
      </c>
    </row>
    <row r="35" spans="1:18" ht="18" x14ac:dyDescent="0.35">
      <c r="A35" s="34">
        <v>27</v>
      </c>
      <c r="B35" s="37" t="s">
        <v>124</v>
      </c>
      <c r="C35" s="36" t="s">
        <v>35</v>
      </c>
      <c r="D35" s="37">
        <v>2123</v>
      </c>
      <c r="E35" s="37"/>
      <c r="F35" s="41" t="s">
        <v>127</v>
      </c>
      <c r="G35" s="26"/>
      <c r="H35" s="35">
        <v>250</v>
      </c>
      <c r="I35" s="35">
        <v>250</v>
      </c>
      <c r="J35" s="26"/>
      <c r="K35" s="35">
        <v>120</v>
      </c>
      <c r="L35" s="35">
        <v>120</v>
      </c>
      <c r="M35" s="26"/>
      <c r="N35" s="35">
        <v>80</v>
      </c>
      <c r="O35" s="35"/>
      <c r="P35" s="26"/>
      <c r="Q35" s="37">
        <f t="shared" si="0"/>
        <v>450</v>
      </c>
      <c r="R35" s="38">
        <f t="shared" si="1"/>
        <v>370</v>
      </c>
    </row>
    <row r="36" spans="1:18" ht="18" x14ac:dyDescent="0.35">
      <c r="A36" s="34">
        <v>28</v>
      </c>
      <c r="B36" s="37" t="s">
        <v>124</v>
      </c>
      <c r="C36" s="36" t="s">
        <v>35</v>
      </c>
      <c r="D36" s="37">
        <v>2123</v>
      </c>
      <c r="E36" s="37"/>
      <c r="F36" s="41" t="s">
        <v>129</v>
      </c>
      <c r="G36" s="26"/>
      <c r="H36" s="35">
        <v>180</v>
      </c>
      <c r="I36" s="35">
        <v>180</v>
      </c>
      <c r="J36" s="26"/>
      <c r="K36" s="35">
        <v>120</v>
      </c>
      <c r="L36" s="35">
        <v>120</v>
      </c>
      <c r="M36" s="26"/>
      <c r="N36" s="35">
        <v>120</v>
      </c>
      <c r="O36" s="35"/>
      <c r="P36" s="26"/>
      <c r="Q36" s="37">
        <f t="shared" si="0"/>
        <v>420</v>
      </c>
      <c r="R36" s="38">
        <f t="shared" si="1"/>
        <v>300</v>
      </c>
    </row>
    <row r="37" spans="1:18" ht="18" x14ac:dyDescent="0.35">
      <c r="A37" s="34">
        <v>29</v>
      </c>
      <c r="B37" s="37" t="s">
        <v>124</v>
      </c>
      <c r="C37" s="36" t="s">
        <v>35</v>
      </c>
      <c r="D37" s="37">
        <v>2123</v>
      </c>
      <c r="E37" s="37"/>
      <c r="F37" s="41" t="s">
        <v>128</v>
      </c>
      <c r="G37" s="26"/>
      <c r="H37" s="35">
        <v>35</v>
      </c>
      <c r="I37" s="35">
        <v>35</v>
      </c>
      <c r="J37" s="26"/>
      <c r="K37" s="35">
        <v>0</v>
      </c>
      <c r="L37" s="35">
        <v>0</v>
      </c>
      <c r="M37" s="26"/>
      <c r="N37" s="35">
        <v>120</v>
      </c>
      <c r="O37" s="35"/>
      <c r="P37" s="26"/>
      <c r="Q37" s="37">
        <f t="shared" si="0"/>
        <v>155</v>
      </c>
      <c r="R37" s="38">
        <f t="shared" si="1"/>
        <v>35</v>
      </c>
    </row>
    <row r="38" spans="1:18" ht="18" x14ac:dyDescent="0.35">
      <c r="A38" s="34">
        <v>30</v>
      </c>
      <c r="B38" s="37" t="s">
        <v>131</v>
      </c>
      <c r="C38" s="36" t="s">
        <v>35</v>
      </c>
      <c r="D38" s="37">
        <v>2123</v>
      </c>
      <c r="E38" s="37"/>
      <c r="F38" s="41" t="s">
        <v>128</v>
      </c>
      <c r="G38" s="26"/>
      <c r="H38" s="35">
        <v>120</v>
      </c>
      <c r="I38" s="35">
        <v>120</v>
      </c>
      <c r="J38" s="26"/>
      <c r="K38" s="35">
        <v>70</v>
      </c>
      <c r="L38" s="35">
        <v>70</v>
      </c>
      <c r="M38" s="26"/>
      <c r="N38" s="35">
        <v>80</v>
      </c>
      <c r="O38" s="35"/>
      <c r="P38" s="26"/>
      <c r="Q38" s="37">
        <f t="shared" si="0"/>
        <v>270</v>
      </c>
      <c r="R38" s="38">
        <f t="shared" si="1"/>
        <v>190</v>
      </c>
    </row>
    <row r="39" spans="1:18" ht="18" x14ac:dyDescent="0.35">
      <c r="A39" s="34">
        <v>31</v>
      </c>
      <c r="B39" s="37" t="s">
        <v>162</v>
      </c>
      <c r="C39" s="42" t="s">
        <v>35</v>
      </c>
      <c r="D39" s="37">
        <v>98814</v>
      </c>
      <c r="E39" s="37">
        <v>304.8</v>
      </c>
      <c r="F39" s="41" t="s">
        <v>10</v>
      </c>
      <c r="G39" s="26"/>
      <c r="H39" s="35">
        <v>0</v>
      </c>
      <c r="I39" s="35">
        <v>0</v>
      </c>
      <c r="J39" s="26"/>
      <c r="K39" s="35">
        <v>0</v>
      </c>
      <c r="L39" s="35">
        <v>0</v>
      </c>
      <c r="M39" s="26"/>
      <c r="N39" s="35">
        <v>0</v>
      </c>
      <c r="O39" s="35"/>
      <c r="P39" s="26"/>
      <c r="Q39" s="37">
        <f t="shared" si="0"/>
        <v>0</v>
      </c>
      <c r="R39" s="38">
        <f t="shared" si="1"/>
        <v>0</v>
      </c>
    </row>
    <row r="40" spans="1:18" ht="18" x14ac:dyDescent="0.35">
      <c r="A40" s="34">
        <v>32</v>
      </c>
      <c r="B40" s="37" t="s">
        <v>39</v>
      </c>
      <c r="C40" s="42" t="s">
        <v>35</v>
      </c>
      <c r="D40" s="37">
        <v>98814</v>
      </c>
      <c r="E40" s="37">
        <v>304.8</v>
      </c>
      <c r="F40" s="41" t="s">
        <v>39</v>
      </c>
      <c r="G40" s="37" t="s">
        <v>96</v>
      </c>
      <c r="H40" s="35">
        <v>60</v>
      </c>
      <c r="I40" s="35">
        <v>0</v>
      </c>
      <c r="J40" s="37"/>
      <c r="K40" s="35">
        <v>0</v>
      </c>
      <c r="L40" s="35">
        <v>0</v>
      </c>
      <c r="M40" s="23"/>
      <c r="N40" s="35">
        <v>0</v>
      </c>
      <c r="O40" s="35"/>
      <c r="P40" s="23"/>
      <c r="Q40" s="37">
        <f t="shared" si="0"/>
        <v>60</v>
      </c>
      <c r="R40" s="38">
        <f>I40+L40+O40</f>
        <v>0</v>
      </c>
    </row>
    <row r="41" spans="1:18" ht="18" x14ac:dyDescent="0.35">
      <c r="A41" s="34">
        <v>33</v>
      </c>
      <c r="B41" s="37" t="s">
        <v>132</v>
      </c>
      <c r="C41" s="42" t="s">
        <v>172</v>
      </c>
      <c r="D41" s="37">
        <v>86805</v>
      </c>
      <c r="E41" s="37"/>
      <c r="F41" s="41" t="s">
        <v>12</v>
      </c>
      <c r="G41" s="37" t="s">
        <v>173</v>
      </c>
      <c r="H41" s="35">
        <v>0</v>
      </c>
      <c r="I41" s="35">
        <v>0</v>
      </c>
      <c r="J41" s="37"/>
      <c r="K41" s="35">
        <v>0</v>
      </c>
      <c r="L41" s="35">
        <v>0</v>
      </c>
      <c r="M41" s="26"/>
      <c r="N41" s="35">
        <v>0</v>
      </c>
      <c r="O41" s="35"/>
      <c r="P41" s="26"/>
      <c r="Q41" s="37">
        <f t="shared" si="0"/>
        <v>0</v>
      </c>
      <c r="R41" s="38">
        <f t="shared" si="1"/>
        <v>0</v>
      </c>
    </row>
    <row r="42" spans="1:18" ht="18" x14ac:dyDescent="0.35">
      <c r="A42" s="34">
        <v>34</v>
      </c>
      <c r="B42" s="37" t="s">
        <v>158</v>
      </c>
      <c r="C42" s="42" t="s">
        <v>35</v>
      </c>
      <c r="D42" s="37">
        <v>98815</v>
      </c>
      <c r="E42" s="37">
        <v>406.4</v>
      </c>
      <c r="F42" s="41" t="s">
        <v>135</v>
      </c>
      <c r="G42" s="37" t="s">
        <v>133</v>
      </c>
      <c r="H42" s="35">
        <v>0</v>
      </c>
      <c r="I42" s="35">
        <v>0</v>
      </c>
      <c r="J42" s="37"/>
      <c r="K42" s="35">
        <v>0</v>
      </c>
      <c r="L42" s="35">
        <v>0</v>
      </c>
      <c r="M42" s="26"/>
      <c r="N42" s="35">
        <v>0</v>
      </c>
      <c r="O42" s="35"/>
      <c r="P42" s="26"/>
      <c r="Q42" s="37">
        <f t="shared" si="0"/>
        <v>0</v>
      </c>
      <c r="R42" s="38">
        <f t="shared" si="1"/>
        <v>0</v>
      </c>
    </row>
    <row r="43" spans="1:18" ht="18" x14ac:dyDescent="0.35">
      <c r="A43" s="34">
        <v>35</v>
      </c>
      <c r="B43" s="37" t="s">
        <v>170</v>
      </c>
      <c r="C43" s="42" t="s">
        <v>35</v>
      </c>
      <c r="D43" s="37">
        <v>98815</v>
      </c>
      <c r="E43" s="37">
        <v>406.4</v>
      </c>
      <c r="F43" s="41" t="s">
        <v>159</v>
      </c>
      <c r="G43" s="37" t="s">
        <v>133</v>
      </c>
      <c r="H43" s="35">
        <v>0</v>
      </c>
      <c r="I43" s="35">
        <v>0</v>
      </c>
      <c r="J43" s="37"/>
      <c r="K43" s="35">
        <v>0</v>
      </c>
      <c r="L43" s="35">
        <v>0</v>
      </c>
      <c r="M43" s="26"/>
      <c r="N43" s="35">
        <v>0</v>
      </c>
      <c r="O43" s="35"/>
      <c r="P43" s="26"/>
      <c r="Q43" s="37">
        <f t="shared" si="0"/>
        <v>0</v>
      </c>
      <c r="R43" s="38">
        <f t="shared" si="1"/>
        <v>0</v>
      </c>
    </row>
    <row r="44" spans="1:18" ht="18" x14ac:dyDescent="0.35">
      <c r="A44" s="34">
        <v>36</v>
      </c>
      <c r="B44" s="37" t="s">
        <v>171</v>
      </c>
      <c r="C44" s="42" t="s">
        <v>141</v>
      </c>
      <c r="D44" s="37">
        <v>82527</v>
      </c>
      <c r="E44" s="37">
        <v>155</v>
      </c>
      <c r="F44" s="41" t="s">
        <v>142</v>
      </c>
      <c r="G44" s="37" t="s">
        <v>96</v>
      </c>
      <c r="H44" s="35">
        <v>0</v>
      </c>
      <c r="I44" s="35">
        <v>0</v>
      </c>
      <c r="J44" s="37"/>
      <c r="K44" s="35">
        <v>0</v>
      </c>
      <c r="L44" s="35">
        <v>0</v>
      </c>
      <c r="M44" s="26"/>
      <c r="N44" s="35">
        <v>0</v>
      </c>
      <c r="O44" s="35"/>
      <c r="P44" s="26"/>
      <c r="Q44" s="37">
        <f t="shared" si="0"/>
        <v>0</v>
      </c>
      <c r="R44" s="38">
        <f t="shared" si="1"/>
        <v>0</v>
      </c>
    </row>
    <row r="45" spans="1:18" ht="18" x14ac:dyDescent="0.35">
      <c r="A45" s="34">
        <v>37</v>
      </c>
      <c r="B45" s="37" t="s">
        <v>143</v>
      </c>
      <c r="C45" s="42" t="s">
        <v>144</v>
      </c>
      <c r="D45" s="37">
        <v>83872</v>
      </c>
      <c r="E45" s="37">
        <v>967.65</v>
      </c>
      <c r="F45" s="41" t="s">
        <v>145</v>
      </c>
      <c r="G45" s="37" t="s">
        <v>136</v>
      </c>
      <c r="H45" s="35">
        <v>100</v>
      </c>
      <c r="I45" s="35">
        <v>92</v>
      </c>
      <c r="J45" s="37"/>
      <c r="K45" s="35">
        <v>49</v>
      </c>
      <c r="L45" s="35">
        <v>49</v>
      </c>
      <c r="M45" s="35"/>
      <c r="N45" s="35"/>
      <c r="O45" s="35"/>
      <c r="P45" s="26"/>
      <c r="Q45" s="37">
        <f t="shared" si="0"/>
        <v>149</v>
      </c>
      <c r="R45" s="38">
        <f t="shared" si="1"/>
        <v>141</v>
      </c>
    </row>
    <row r="46" spans="1:18" ht="18" x14ac:dyDescent="0.35">
      <c r="A46" s="34">
        <v>38</v>
      </c>
      <c r="B46" s="37" t="s">
        <v>146</v>
      </c>
      <c r="C46" s="42" t="s">
        <v>144</v>
      </c>
      <c r="D46" s="37">
        <v>83834</v>
      </c>
      <c r="E46" s="37">
        <v>898.89</v>
      </c>
      <c r="F46" s="41" t="s">
        <v>147</v>
      </c>
      <c r="G46" s="37" t="s">
        <v>96</v>
      </c>
      <c r="H46" s="35">
        <v>0</v>
      </c>
      <c r="I46" s="35">
        <v>0</v>
      </c>
      <c r="J46" s="37"/>
      <c r="K46" s="35">
        <v>0</v>
      </c>
      <c r="L46" s="35">
        <v>0</v>
      </c>
      <c r="M46" s="35"/>
      <c r="N46" s="35">
        <v>0</v>
      </c>
      <c r="O46" s="35"/>
      <c r="P46" s="26"/>
      <c r="Q46" s="37">
        <f t="shared" si="0"/>
        <v>0</v>
      </c>
      <c r="R46" s="38">
        <f>I46+L46+O46</f>
        <v>0</v>
      </c>
    </row>
    <row r="47" spans="1:18" ht="36" x14ac:dyDescent="0.35">
      <c r="A47" s="34">
        <v>39</v>
      </c>
      <c r="B47" s="43" t="s">
        <v>151</v>
      </c>
      <c r="C47" s="36" t="s">
        <v>167</v>
      </c>
      <c r="D47" s="35">
        <v>93293</v>
      </c>
      <c r="E47" s="35">
        <v>16.2</v>
      </c>
      <c r="F47" s="40" t="s">
        <v>169</v>
      </c>
      <c r="G47" s="35" t="s">
        <v>104</v>
      </c>
      <c r="H47" s="35">
        <v>0</v>
      </c>
      <c r="I47" s="35">
        <v>0</v>
      </c>
      <c r="J47" s="37"/>
      <c r="K47" s="35">
        <v>0</v>
      </c>
      <c r="L47" s="35">
        <v>0</v>
      </c>
      <c r="M47" s="35"/>
      <c r="N47" s="35">
        <v>0</v>
      </c>
      <c r="O47" s="35"/>
      <c r="P47" s="35"/>
      <c r="Q47" s="35">
        <f t="shared" si="0"/>
        <v>0</v>
      </c>
      <c r="R47" s="44">
        <f t="shared" si="1"/>
        <v>0</v>
      </c>
    </row>
    <row r="48" spans="1:18" ht="36" x14ac:dyDescent="0.35">
      <c r="A48" s="34">
        <v>40</v>
      </c>
      <c r="B48" s="43" t="s">
        <v>148</v>
      </c>
      <c r="C48" s="36" t="s">
        <v>167</v>
      </c>
      <c r="D48" s="35">
        <v>93290</v>
      </c>
      <c r="E48" s="35">
        <v>2382</v>
      </c>
      <c r="F48" s="40" t="s">
        <v>150</v>
      </c>
      <c r="G48" s="35" t="s">
        <v>113</v>
      </c>
      <c r="H48" s="35">
        <v>4300</v>
      </c>
      <c r="I48" s="35">
        <v>4258</v>
      </c>
      <c r="J48" s="35"/>
      <c r="K48" s="35">
        <v>2000</v>
      </c>
      <c r="L48" s="35">
        <v>1778</v>
      </c>
      <c r="M48" s="35" t="s">
        <v>168</v>
      </c>
      <c r="N48" s="35">
        <v>3000</v>
      </c>
      <c r="O48" s="35"/>
      <c r="P48" s="26"/>
      <c r="Q48" s="35">
        <f t="shared" si="0"/>
        <v>9300</v>
      </c>
      <c r="R48" s="44">
        <f t="shared" si="1"/>
        <v>6036</v>
      </c>
    </row>
    <row r="49" spans="1:18" ht="36" x14ac:dyDescent="0.35">
      <c r="A49" s="34">
        <v>41</v>
      </c>
      <c r="B49" s="43" t="s">
        <v>151</v>
      </c>
      <c r="C49" s="36" t="s">
        <v>167</v>
      </c>
      <c r="D49" s="35">
        <v>93292</v>
      </c>
      <c r="E49" s="35">
        <v>1134</v>
      </c>
      <c r="F49" s="40" t="s">
        <v>150</v>
      </c>
      <c r="G49" s="35" t="s">
        <v>113</v>
      </c>
      <c r="H49" s="35">
        <v>0</v>
      </c>
      <c r="I49" s="35">
        <v>0</v>
      </c>
      <c r="J49" s="37"/>
      <c r="K49" s="35">
        <v>0</v>
      </c>
      <c r="L49" s="35">
        <v>0</v>
      </c>
      <c r="M49" s="35"/>
      <c r="N49" s="35">
        <v>0</v>
      </c>
      <c r="O49" s="35"/>
      <c r="P49" s="26"/>
      <c r="Q49" s="35">
        <f>N49+K49+H49</f>
        <v>0</v>
      </c>
      <c r="R49" s="44">
        <f t="shared" si="1"/>
        <v>0</v>
      </c>
    </row>
  </sheetData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R51"/>
  <sheetViews>
    <sheetView zoomScale="85" zoomScaleNormal="85" workbookViewId="0">
      <selection activeCell="D52" sqref="D52"/>
    </sheetView>
  </sheetViews>
  <sheetFormatPr defaultRowHeight="14.4" x14ac:dyDescent="0.3"/>
  <cols>
    <col min="2" max="2" width="19.33203125" customWidth="1"/>
    <col min="3" max="3" width="20.44140625" customWidth="1"/>
    <col min="6" max="6" width="27.6640625" customWidth="1"/>
    <col min="10" max="10" width="11.88671875" customWidth="1"/>
    <col min="11" max="12" width="0" hidden="1" customWidth="1"/>
    <col min="13" max="13" width="17.88671875" hidden="1" customWidth="1"/>
    <col min="14" max="15" width="9.109375" customWidth="1"/>
    <col min="16" max="16" width="17.88671875" bestFit="1" customWidth="1"/>
    <col min="17" max="17" width="15.88671875" customWidth="1"/>
    <col min="18" max="18" width="20.33203125" customWidth="1"/>
  </cols>
  <sheetData>
    <row r="1" spans="1:18" ht="14.25" customHeight="1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8" t="s">
        <v>76</v>
      </c>
      <c r="M5" s="29">
        <v>46072</v>
      </c>
      <c r="N5" s="26"/>
      <c r="O5" s="28" t="s">
        <v>76</v>
      </c>
      <c r="P5" s="29">
        <v>46073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56" t="s">
        <v>83</v>
      </c>
      <c r="L6" s="56"/>
      <c r="M6" s="56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94</v>
      </c>
      <c r="C8" s="36" t="s">
        <v>172</v>
      </c>
      <c r="D8" s="35">
        <v>1770</v>
      </c>
      <c r="E8" s="35">
        <v>280</v>
      </c>
      <c r="F8" s="35" t="s">
        <v>92</v>
      </c>
      <c r="G8" s="35" t="s">
        <v>195</v>
      </c>
      <c r="H8" s="35">
        <v>100</v>
      </c>
      <c r="I8" s="35">
        <v>100</v>
      </c>
      <c r="J8" s="35"/>
      <c r="K8" s="35"/>
      <c r="L8" s="35"/>
      <c r="M8" s="35"/>
      <c r="N8" s="35"/>
      <c r="O8" s="35"/>
      <c r="P8" s="35"/>
      <c r="Q8" s="37">
        <f>N8+K8+H8</f>
        <v>100</v>
      </c>
      <c r="R8" s="38">
        <f>I8+L8+O8</f>
        <v>100</v>
      </c>
    </row>
    <row r="9" spans="1:18" ht="18" x14ac:dyDescent="0.35">
      <c r="A9" s="34">
        <v>2</v>
      </c>
      <c r="B9" s="35" t="s">
        <v>94</v>
      </c>
      <c r="C9" s="36" t="s">
        <v>172</v>
      </c>
      <c r="D9" s="35">
        <v>1770</v>
      </c>
      <c r="E9" s="35">
        <v>280</v>
      </c>
      <c r="F9" s="35" t="s">
        <v>194</v>
      </c>
      <c r="G9" s="35" t="s">
        <v>96</v>
      </c>
      <c r="H9" s="35">
        <v>150</v>
      </c>
      <c r="I9" s="35">
        <v>138</v>
      </c>
      <c r="J9" s="35"/>
      <c r="K9" s="35"/>
      <c r="L9" s="35"/>
      <c r="M9" s="35"/>
      <c r="N9" s="35"/>
      <c r="O9" s="35"/>
      <c r="P9" s="35"/>
      <c r="Q9" s="37">
        <f t="shared" ref="Q9:Q51" si="0">N9+K9+H9</f>
        <v>150</v>
      </c>
      <c r="R9" s="38">
        <f t="shared" ref="R9:R51" si="1">I9+L9+O9</f>
        <v>138</v>
      </c>
    </row>
    <row r="10" spans="1:18" ht="18" hidden="1" x14ac:dyDescent="0.35">
      <c r="A10" s="34">
        <v>3</v>
      </c>
      <c r="B10" s="35" t="s">
        <v>94</v>
      </c>
      <c r="C10" s="36" t="s">
        <v>172</v>
      </c>
      <c r="D10" s="35">
        <v>99721</v>
      </c>
      <c r="E10" s="35">
        <v>245</v>
      </c>
      <c r="F10" s="35" t="s">
        <v>193</v>
      </c>
      <c r="G10" s="35" t="s">
        <v>96</v>
      </c>
      <c r="H10" s="35"/>
      <c r="I10" s="35"/>
      <c r="J10" s="35"/>
      <c r="K10" s="35"/>
      <c r="L10" s="35"/>
      <c r="M10" s="35"/>
      <c r="N10" s="35"/>
      <c r="O10" s="35"/>
      <c r="P10" s="35"/>
      <c r="Q10" s="37">
        <f t="shared" si="0"/>
        <v>0</v>
      </c>
      <c r="R10" s="38">
        <f t="shared" si="1"/>
        <v>0</v>
      </c>
    </row>
    <row r="11" spans="1:18" ht="18" x14ac:dyDescent="0.35">
      <c r="A11" s="34"/>
      <c r="B11" s="35" t="s">
        <v>94</v>
      </c>
      <c r="C11" s="36" t="s">
        <v>35</v>
      </c>
      <c r="D11" s="35">
        <v>98808</v>
      </c>
      <c r="E11" s="35">
        <v>76.2</v>
      </c>
      <c r="F11" s="35" t="s">
        <v>192</v>
      </c>
      <c r="G11" s="35" t="s">
        <v>110</v>
      </c>
      <c r="H11" s="35"/>
      <c r="I11" s="35"/>
      <c r="J11" s="35"/>
      <c r="K11" s="35"/>
      <c r="L11" s="35"/>
      <c r="M11" s="35"/>
      <c r="N11" s="35"/>
      <c r="O11" s="35"/>
      <c r="P11" s="35"/>
      <c r="Q11" s="37">
        <f t="shared" si="0"/>
        <v>0</v>
      </c>
      <c r="R11" s="38"/>
    </row>
    <row r="12" spans="1:18" ht="18" x14ac:dyDescent="0.35">
      <c r="A12" s="34">
        <v>4</v>
      </c>
      <c r="B12" s="35" t="s">
        <v>181</v>
      </c>
      <c r="C12" s="36" t="s">
        <v>97</v>
      </c>
      <c r="D12" s="35">
        <v>86308</v>
      </c>
      <c r="E12" s="35">
        <v>55.88</v>
      </c>
      <c r="F12" s="35" t="s">
        <v>166</v>
      </c>
      <c r="G12" s="35" t="s">
        <v>96</v>
      </c>
      <c r="H12" s="35">
        <v>480</v>
      </c>
      <c r="I12" s="35">
        <v>400</v>
      </c>
      <c r="J12" s="35"/>
      <c r="K12" s="35"/>
      <c r="L12" s="35"/>
      <c r="M12" s="35"/>
      <c r="N12" s="35"/>
      <c r="O12" s="35"/>
      <c r="P12" s="35"/>
      <c r="Q12" s="37">
        <f t="shared" si="0"/>
        <v>480</v>
      </c>
      <c r="R12" s="38">
        <f t="shared" si="1"/>
        <v>400</v>
      </c>
    </row>
    <row r="13" spans="1:18" ht="18" x14ac:dyDescent="0.35">
      <c r="A13" s="34">
        <v>5</v>
      </c>
      <c r="B13" s="35" t="s">
        <v>182</v>
      </c>
      <c r="C13" s="36" t="s">
        <v>97</v>
      </c>
      <c r="D13" s="35">
        <v>86308</v>
      </c>
      <c r="E13" s="35">
        <v>55.88</v>
      </c>
      <c r="F13" s="35" t="s">
        <v>166</v>
      </c>
      <c r="G13" s="35" t="s">
        <v>96</v>
      </c>
      <c r="H13" s="35">
        <v>480</v>
      </c>
      <c r="I13" s="35">
        <v>400</v>
      </c>
      <c r="J13" s="35"/>
      <c r="K13" s="35"/>
      <c r="L13" s="35"/>
      <c r="M13" s="35"/>
      <c r="N13" s="35"/>
      <c r="O13" s="35"/>
      <c r="P13" s="35"/>
      <c r="Q13" s="37">
        <f t="shared" si="0"/>
        <v>480</v>
      </c>
      <c r="R13" s="38">
        <f t="shared" si="1"/>
        <v>400</v>
      </c>
    </row>
    <row r="14" spans="1:18" ht="18" x14ac:dyDescent="0.35">
      <c r="A14" s="34">
        <v>6</v>
      </c>
      <c r="B14" s="35" t="s">
        <v>198</v>
      </c>
      <c r="C14" s="36" t="s">
        <v>97</v>
      </c>
      <c r="D14" s="35">
        <v>86308</v>
      </c>
      <c r="E14" s="35">
        <v>55.88</v>
      </c>
      <c r="F14" s="35" t="s">
        <v>166</v>
      </c>
      <c r="G14" s="35" t="s">
        <v>96</v>
      </c>
      <c r="H14" s="35">
        <v>480</v>
      </c>
      <c r="I14" s="35">
        <v>230</v>
      </c>
      <c r="J14" s="35"/>
      <c r="K14" s="35"/>
      <c r="L14" s="35"/>
      <c r="M14" s="35"/>
      <c r="N14" s="35"/>
      <c r="O14" s="35"/>
      <c r="P14" s="35"/>
      <c r="Q14" s="37">
        <f t="shared" si="0"/>
        <v>480</v>
      </c>
      <c r="R14" s="38">
        <f t="shared" si="1"/>
        <v>230</v>
      </c>
    </row>
    <row r="15" spans="1:18" ht="18" x14ac:dyDescent="0.35">
      <c r="A15" s="34">
        <v>7</v>
      </c>
      <c r="B15" s="35" t="s">
        <v>105</v>
      </c>
      <c r="C15" s="36" t="s">
        <v>95</v>
      </c>
      <c r="D15" s="35">
        <v>93799</v>
      </c>
      <c r="E15" s="35">
        <v>183.39</v>
      </c>
      <c r="F15" s="35" t="s">
        <v>92</v>
      </c>
      <c r="G15" s="35" t="s">
        <v>163</v>
      </c>
      <c r="H15" s="35">
        <v>240</v>
      </c>
      <c r="I15" s="35">
        <v>233</v>
      </c>
      <c r="J15" s="35"/>
      <c r="K15" s="35"/>
      <c r="L15" s="35"/>
      <c r="M15" s="35"/>
      <c r="N15" s="35">
        <v>240</v>
      </c>
      <c r="O15" s="35">
        <v>240</v>
      </c>
      <c r="P15" s="35"/>
      <c r="Q15" s="37">
        <f t="shared" si="0"/>
        <v>480</v>
      </c>
      <c r="R15" s="38">
        <f t="shared" si="1"/>
        <v>473</v>
      </c>
    </row>
    <row r="16" spans="1:18" ht="18" x14ac:dyDescent="0.35">
      <c r="A16" s="34">
        <v>8</v>
      </c>
      <c r="B16" s="35" t="s">
        <v>94</v>
      </c>
      <c r="C16" s="36" t="s">
        <v>95</v>
      </c>
      <c r="D16" s="35">
        <v>93799</v>
      </c>
      <c r="E16" s="35">
        <v>183.39</v>
      </c>
      <c r="F16" s="35" t="s">
        <v>92</v>
      </c>
      <c r="G16" s="35" t="s">
        <v>199</v>
      </c>
      <c r="H16" s="35">
        <v>340</v>
      </c>
      <c r="I16" s="35">
        <v>285</v>
      </c>
      <c r="J16" s="35"/>
      <c r="K16" s="35"/>
      <c r="L16" s="35"/>
      <c r="M16" s="35"/>
      <c r="N16" s="35">
        <v>240</v>
      </c>
      <c r="O16" s="35">
        <v>138</v>
      </c>
      <c r="P16" s="35"/>
      <c r="Q16" s="37">
        <f t="shared" si="0"/>
        <v>580</v>
      </c>
      <c r="R16" s="38">
        <f t="shared" si="1"/>
        <v>423</v>
      </c>
    </row>
    <row r="17" spans="1:18" ht="18" x14ac:dyDescent="0.35">
      <c r="A17" s="34">
        <v>8</v>
      </c>
      <c r="B17" s="35" t="s">
        <v>106</v>
      </c>
      <c r="C17" s="36" t="s">
        <v>95</v>
      </c>
      <c r="D17" s="35">
        <v>93799</v>
      </c>
      <c r="E17" s="35">
        <v>183.39</v>
      </c>
      <c r="F17" s="35" t="s">
        <v>92</v>
      </c>
      <c r="G17" s="35" t="s">
        <v>199</v>
      </c>
      <c r="H17" s="35">
        <v>340</v>
      </c>
      <c r="I17" s="35">
        <v>285</v>
      </c>
      <c r="J17" s="35"/>
      <c r="K17" s="35"/>
      <c r="L17" s="35"/>
      <c r="M17" s="35"/>
      <c r="N17" s="35">
        <v>240</v>
      </c>
      <c r="O17" s="35">
        <v>240</v>
      </c>
      <c r="P17" s="35"/>
      <c r="Q17" s="37">
        <f t="shared" ref="Q17" si="2">N17+K17+H17</f>
        <v>580</v>
      </c>
      <c r="R17" s="38">
        <f t="shared" ref="R17" si="3">I17+L17+O17</f>
        <v>525</v>
      </c>
    </row>
    <row r="18" spans="1:18" ht="18" x14ac:dyDescent="0.35">
      <c r="A18" s="34">
        <v>8</v>
      </c>
      <c r="B18" s="35" t="s">
        <v>196</v>
      </c>
      <c r="C18" s="36" t="s">
        <v>95</v>
      </c>
      <c r="D18" s="35">
        <v>86308</v>
      </c>
      <c r="E18" s="35">
        <v>55.88</v>
      </c>
      <c r="F18" s="35"/>
      <c r="G18" s="35" t="s">
        <v>197</v>
      </c>
      <c r="H18" s="35">
        <v>1188</v>
      </c>
      <c r="I18" s="35">
        <v>1188</v>
      </c>
      <c r="J18" s="35"/>
      <c r="K18" s="35"/>
      <c r="L18" s="35"/>
      <c r="M18" s="35"/>
      <c r="N18" s="35"/>
      <c r="O18" s="35"/>
      <c r="P18" s="35"/>
      <c r="Q18" s="37">
        <f t="shared" ref="Q18" si="4">N18+K18+H18</f>
        <v>1188</v>
      </c>
      <c r="R18" s="38">
        <f t="shared" ref="R18" si="5">I18+L18+O18</f>
        <v>1188</v>
      </c>
    </row>
    <row r="19" spans="1:18" ht="18" hidden="1" x14ac:dyDescent="0.35">
      <c r="A19" s="34">
        <v>9</v>
      </c>
      <c r="B19" s="35" t="s">
        <v>185</v>
      </c>
      <c r="C19" s="36" t="s">
        <v>97</v>
      </c>
      <c r="D19" s="35">
        <v>93799</v>
      </c>
      <c r="E19" s="35">
        <v>86.36</v>
      </c>
      <c r="F19" s="35" t="s">
        <v>186</v>
      </c>
      <c r="G19" s="35" t="s">
        <v>187</v>
      </c>
      <c r="H19" s="35"/>
      <c r="I19" s="35"/>
      <c r="J19" s="35"/>
      <c r="K19" s="35"/>
      <c r="L19" s="35"/>
      <c r="M19" s="35"/>
      <c r="N19" s="35"/>
      <c r="O19" s="35"/>
      <c r="P19" s="35"/>
      <c r="Q19" s="37">
        <f t="shared" si="0"/>
        <v>0</v>
      </c>
      <c r="R19" s="38">
        <f t="shared" si="1"/>
        <v>0</v>
      </c>
    </row>
    <row r="20" spans="1:18" ht="18" hidden="1" x14ac:dyDescent="0.35">
      <c r="A20" s="34">
        <v>10</v>
      </c>
      <c r="B20" s="35" t="s">
        <v>102</v>
      </c>
      <c r="C20" s="36" t="s">
        <v>35</v>
      </c>
      <c r="D20" s="35">
        <v>98814</v>
      </c>
      <c r="E20" s="35">
        <v>304.8</v>
      </c>
      <c r="F20" s="35">
        <v>90</v>
      </c>
      <c r="G20" s="35" t="s">
        <v>175</v>
      </c>
      <c r="H20" s="35"/>
      <c r="I20" s="35"/>
      <c r="J20" s="35"/>
      <c r="K20" s="35"/>
      <c r="L20" s="35"/>
      <c r="M20" s="35"/>
      <c r="N20" s="35"/>
      <c r="O20" s="35"/>
      <c r="P20" s="35"/>
      <c r="Q20" s="37">
        <f t="shared" si="0"/>
        <v>0</v>
      </c>
      <c r="R20" s="38">
        <f t="shared" si="1"/>
        <v>0</v>
      </c>
    </row>
    <row r="21" spans="1:18" ht="18" hidden="1" x14ac:dyDescent="0.35">
      <c r="A21" s="34">
        <v>11</v>
      </c>
      <c r="B21" s="35" t="s">
        <v>102</v>
      </c>
      <c r="C21" s="36" t="s">
        <v>35</v>
      </c>
      <c r="D21" s="35">
        <v>98808</v>
      </c>
      <c r="E21" s="35">
        <v>418.2</v>
      </c>
      <c r="F21" s="35">
        <v>90</v>
      </c>
      <c r="G21" s="35" t="s">
        <v>175</v>
      </c>
      <c r="H21" s="35"/>
      <c r="I21" s="35"/>
      <c r="J21" s="35"/>
      <c r="K21" s="35"/>
      <c r="L21" s="35"/>
      <c r="M21" s="35"/>
      <c r="N21" s="35"/>
      <c r="O21" s="35"/>
      <c r="P21" s="35"/>
      <c r="Q21" s="37">
        <f t="shared" si="0"/>
        <v>0</v>
      </c>
      <c r="R21" s="38">
        <f t="shared" si="1"/>
        <v>0</v>
      </c>
    </row>
    <row r="22" spans="1:18" ht="18" x14ac:dyDescent="0.35">
      <c r="A22" s="34">
        <v>12</v>
      </c>
      <c r="B22" s="35" t="s">
        <v>111</v>
      </c>
      <c r="C22" s="36" t="s">
        <v>35</v>
      </c>
      <c r="D22" s="35">
        <v>2123</v>
      </c>
      <c r="E22" s="35"/>
      <c r="F22" s="35" t="s">
        <v>114</v>
      </c>
      <c r="G22" s="35" t="s">
        <v>154</v>
      </c>
      <c r="H22" s="35"/>
      <c r="I22" s="35"/>
      <c r="J22" s="35"/>
      <c r="K22" s="35"/>
      <c r="L22" s="35"/>
      <c r="M22" s="35"/>
      <c r="N22" s="35">
        <v>50</v>
      </c>
      <c r="O22" s="35">
        <v>20</v>
      </c>
      <c r="P22" s="35"/>
      <c r="Q22" s="37">
        <f t="shared" si="0"/>
        <v>50</v>
      </c>
      <c r="R22" s="38">
        <f t="shared" si="1"/>
        <v>20</v>
      </c>
    </row>
    <row r="23" spans="1:18" ht="18" hidden="1" x14ac:dyDescent="0.35">
      <c r="A23" s="34">
        <v>13</v>
      </c>
      <c r="B23" s="35" t="s">
        <v>111</v>
      </c>
      <c r="C23" s="36" t="s">
        <v>35</v>
      </c>
      <c r="D23" s="35">
        <v>98811</v>
      </c>
      <c r="E23" s="35">
        <v>11.05</v>
      </c>
      <c r="F23" s="35">
        <v>90</v>
      </c>
      <c r="G23" s="35" t="s">
        <v>155</v>
      </c>
      <c r="H23" s="35"/>
      <c r="I23" s="35"/>
      <c r="J23" s="35"/>
      <c r="K23" s="35"/>
      <c r="L23" s="35"/>
      <c r="M23" s="35"/>
      <c r="N23" s="35"/>
      <c r="O23" s="35"/>
      <c r="P23" s="35"/>
      <c r="Q23" s="37">
        <f t="shared" si="0"/>
        <v>0</v>
      </c>
      <c r="R23" s="38">
        <f t="shared" si="1"/>
        <v>0</v>
      </c>
    </row>
    <row r="24" spans="1:18" ht="18" hidden="1" x14ac:dyDescent="0.35">
      <c r="A24" s="34">
        <v>14</v>
      </c>
      <c r="B24" s="35" t="s">
        <v>111</v>
      </c>
      <c r="C24" s="36" t="s">
        <v>35</v>
      </c>
      <c r="D24" s="35">
        <v>98811</v>
      </c>
      <c r="E24" s="35">
        <v>20.059999999999999</v>
      </c>
      <c r="F24" s="35">
        <v>90</v>
      </c>
      <c r="G24" s="35" t="s">
        <v>155</v>
      </c>
      <c r="H24" s="35"/>
      <c r="I24" s="35"/>
      <c r="J24" s="35"/>
      <c r="K24" s="35"/>
      <c r="L24" s="35"/>
      <c r="M24" s="35"/>
      <c r="N24" s="35"/>
      <c r="O24" s="35"/>
      <c r="P24" s="35"/>
      <c r="Q24" s="37">
        <f t="shared" si="0"/>
        <v>0</v>
      </c>
      <c r="R24" s="38">
        <f t="shared" si="1"/>
        <v>0</v>
      </c>
    </row>
    <row r="25" spans="1:18" ht="18" hidden="1" x14ac:dyDescent="0.35">
      <c r="A25" s="34">
        <v>15</v>
      </c>
      <c r="B25" s="35" t="s">
        <v>121</v>
      </c>
      <c r="C25" s="36" t="s">
        <v>35</v>
      </c>
      <c r="D25" s="35">
        <v>98809</v>
      </c>
      <c r="E25" s="35">
        <v>152.4</v>
      </c>
      <c r="F25" s="40" t="s">
        <v>190</v>
      </c>
      <c r="G25" s="35" t="s">
        <v>154</v>
      </c>
      <c r="H25" s="35"/>
      <c r="I25" s="35"/>
      <c r="J25" s="35"/>
      <c r="K25" s="35"/>
      <c r="L25" s="35"/>
      <c r="M25" s="26"/>
      <c r="N25" s="35"/>
      <c r="O25" s="35"/>
      <c r="P25" s="26"/>
      <c r="Q25" s="37">
        <f t="shared" si="0"/>
        <v>0</v>
      </c>
      <c r="R25" s="38">
        <f t="shared" si="1"/>
        <v>0</v>
      </c>
    </row>
    <row r="26" spans="1:18" ht="18" hidden="1" x14ac:dyDescent="0.35">
      <c r="A26" s="34">
        <v>16</v>
      </c>
      <c r="B26" s="35" t="s">
        <v>116</v>
      </c>
      <c r="C26" s="36" t="s">
        <v>35</v>
      </c>
      <c r="D26" s="35">
        <v>98808</v>
      </c>
      <c r="E26" s="35">
        <v>428.75</v>
      </c>
      <c r="F26" s="40" t="s">
        <v>122</v>
      </c>
      <c r="G26" s="35" t="s">
        <v>154</v>
      </c>
      <c r="H26" s="35"/>
      <c r="I26" s="35"/>
      <c r="J26" s="35"/>
      <c r="K26" s="35"/>
      <c r="L26" s="35"/>
      <c r="M26" s="26"/>
      <c r="N26" s="35"/>
      <c r="O26" s="35"/>
      <c r="P26" s="26"/>
      <c r="Q26" s="37">
        <f t="shared" si="0"/>
        <v>0</v>
      </c>
      <c r="R26" s="38">
        <f t="shared" si="1"/>
        <v>0</v>
      </c>
    </row>
    <row r="27" spans="1:18" ht="18" x14ac:dyDescent="0.35">
      <c r="A27" s="34">
        <v>17</v>
      </c>
      <c r="B27" s="35" t="s">
        <v>116</v>
      </c>
      <c r="C27" s="36" t="s">
        <v>35</v>
      </c>
      <c r="D27" s="35">
        <v>2123</v>
      </c>
      <c r="E27" s="35"/>
      <c r="F27" s="35" t="s">
        <v>123</v>
      </c>
      <c r="G27" s="35" t="s">
        <v>154</v>
      </c>
      <c r="H27" s="35"/>
      <c r="I27" s="35"/>
      <c r="J27" s="35"/>
      <c r="K27" s="35"/>
      <c r="L27" s="35"/>
      <c r="M27" s="26"/>
      <c r="N27" s="35">
        <v>180</v>
      </c>
      <c r="O27" s="35">
        <v>176</v>
      </c>
      <c r="P27" s="26"/>
      <c r="Q27" s="37">
        <f>N27+K27+H27</f>
        <v>180</v>
      </c>
      <c r="R27" s="38">
        <f t="shared" si="1"/>
        <v>176</v>
      </c>
    </row>
    <row r="28" spans="1:18" ht="18" hidden="1" x14ac:dyDescent="0.35">
      <c r="A28" s="34">
        <v>18</v>
      </c>
      <c r="B28" s="35" t="s">
        <v>119</v>
      </c>
      <c r="C28" s="36" t="s">
        <v>35</v>
      </c>
      <c r="D28" s="35">
        <v>98808</v>
      </c>
      <c r="E28" s="35">
        <v>428.75</v>
      </c>
      <c r="F28" s="40" t="s">
        <v>40</v>
      </c>
      <c r="G28" s="35" t="s">
        <v>118</v>
      </c>
      <c r="H28" s="35"/>
      <c r="I28" s="35"/>
      <c r="J28" s="35"/>
      <c r="K28" s="35"/>
      <c r="L28" s="35"/>
      <c r="M28" s="26"/>
      <c r="N28" s="35"/>
      <c r="O28" s="35"/>
      <c r="P28" s="26"/>
      <c r="Q28" s="37">
        <f t="shared" si="0"/>
        <v>0</v>
      </c>
      <c r="R28" s="38">
        <f t="shared" si="1"/>
        <v>0</v>
      </c>
    </row>
    <row r="29" spans="1:18" ht="18" hidden="1" x14ac:dyDescent="0.35">
      <c r="A29" s="34">
        <v>19</v>
      </c>
      <c r="B29" s="35" t="s">
        <v>119</v>
      </c>
      <c r="C29" s="36" t="s">
        <v>35</v>
      </c>
      <c r="D29" s="35">
        <v>98809</v>
      </c>
      <c r="E29" s="35">
        <v>152.4</v>
      </c>
      <c r="F29" s="40" t="s">
        <v>122</v>
      </c>
      <c r="G29" s="35" t="s">
        <v>120</v>
      </c>
      <c r="H29" s="35"/>
      <c r="I29" s="35"/>
      <c r="J29" s="35"/>
      <c r="K29" s="35"/>
      <c r="L29" s="35"/>
      <c r="M29" s="26"/>
      <c r="N29" s="35"/>
      <c r="O29" s="35"/>
      <c r="P29" s="26"/>
      <c r="Q29" s="37">
        <f t="shared" si="0"/>
        <v>0</v>
      </c>
      <c r="R29" s="38">
        <f t="shared" si="1"/>
        <v>0</v>
      </c>
    </row>
    <row r="30" spans="1:18" ht="18" hidden="1" x14ac:dyDescent="0.35">
      <c r="A30" s="34">
        <v>20</v>
      </c>
      <c r="B30" s="35" t="s">
        <v>176</v>
      </c>
      <c r="C30" s="36" t="s">
        <v>35</v>
      </c>
      <c r="D30" s="35">
        <v>98808</v>
      </c>
      <c r="E30" s="35">
        <v>418.2</v>
      </c>
      <c r="F30" s="40" t="s">
        <v>122</v>
      </c>
      <c r="G30" s="35" t="s">
        <v>118</v>
      </c>
      <c r="H30" s="35"/>
      <c r="I30" s="35"/>
      <c r="J30" s="35"/>
      <c r="K30" s="35"/>
      <c r="L30" s="35"/>
      <c r="M30" s="26"/>
      <c r="N30" s="35"/>
      <c r="O30" s="35"/>
      <c r="P30" s="26"/>
      <c r="Q30" s="37">
        <f t="shared" si="0"/>
        <v>0</v>
      </c>
      <c r="R30" s="38">
        <f t="shared" si="1"/>
        <v>0</v>
      </c>
    </row>
    <row r="31" spans="1:18" ht="18" hidden="1" x14ac:dyDescent="0.35">
      <c r="A31" s="34">
        <v>21</v>
      </c>
      <c r="B31" s="35" t="s">
        <v>121</v>
      </c>
      <c r="C31" s="36" t="s">
        <v>35</v>
      </c>
      <c r="D31" s="35">
        <v>98810</v>
      </c>
      <c r="E31" s="35">
        <v>105.4</v>
      </c>
      <c r="F31" s="40" t="s">
        <v>122</v>
      </c>
      <c r="G31" s="35" t="s">
        <v>118</v>
      </c>
      <c r="H31" s="35"/>
      <c r="I31" s="35"/>
      <c r="J31" s="35"/>
      <c r="K31" s="35"/>
      <c r="L31" s="35"/>
      <c r="M31" s="35"/>
      <c r="N31" s="35"/>
      <c r="O31" s="35"/>
      <c r="P31" s="26"/>
      <c r="Q31" s="37">
        <f t="shared" si="0"/>
        <v>0</v>
      </c>
      <c r="R31" s="38">
        <f t="shared" si="1"/>
        <v>0</v>
      </c>
    </row>
    <row r="32" spans="1:18" ht="18" hidden="1" x14ac:dyDescent="0.35">
      <c r="A32" s="34">
        <v>22</v>
      </c>
      <c r="B32" s="35" t="s">
        <v>119</v>
      </c>
      <c r="C32" s="36" t="s">
        <v>35</v>
      </c>
      <c r="D32" s="35">
        <v>98812</v>
      </c>
      <c r="E32" s="35"/>
      <c r="F32" s="40" t="s">
        <v>117</v>
      </c>
      <c r="G32" s="35" t="s">
        <v>118</v>
      </c>
      <c r="H32" s="35"/>
      <c r="I32" s="35"/>
      <c r="J32" s="35"/>
      <c r="K32" s="35"/>
      <c r="L32" s="35"/>
      <c r="M32" s="35"/>
      <c r="N32" s="35"/>
      <c r="O32" s="35"/>
      <c r="P32" s="26"/>
      <c r="Q32" s="37">
        <f t="shared" si="0"/>
        <v>0</v>
      </c>
      <c r="R32" s="38">
        <f t="shared" si="1"/>
        <v>0</v>
      </c>
    </row>
    <row r="33" spans="1:18" ht="18" hidden="1" x14ac:dyDescent="0.35">
      <c r="A33" s="34">
        <v>23</v>
      </c>
      <c r="B33" s="37" t="s">
        <v>124</v>
      </c>
      <c r="C33" s="36" t="s">
        <v>35</v>
      </c>
      <c r="D33" s="37">
        <v>2191</v>
      </c>
      <c r="E33" s="37"/>
      <c r="F33" s="41" t="s">
        <v>126</v>
      </c>
      <c r="G33" s="26"/>
      <c r="H33" s="35"/>
      <c r="I33" s="35"/>
      <c r="J33" s="26"/>
      <c r="K33" s="35"/>
      <c r="L33" s="35"/>
      <c r="M33" s="35"/>
      <c r="N33" s="35"/>
      <c r="O33" s="35"/>
      <c r="P33" s="26"/>
      <c r="Q33" s="37">
        <f t="shared" si="0"/>
        <v>0</v>
      </c>
      <c r="R33" s="38">
        <f t="shared" si="1"/>
        <v>0</v>
      </c>
    </row>
    <row r="34" spans="1:18" ht="18" hidden="1" x14ac:dyDescent="0.35">
      <c r="A34" s="34">
        <v>24</v>
      </c>
      <c r="B34" s="37" t="s">
        <v>124</v>
      </c>
      <c r="C34" s="36" t="s">
        <v>35</v>
      </c>
      <c r="D34" s="37">
        <v>2191</v>
      </c>
      <c r="E34" s="37"/>
      <c r="F34" s="41" t="s">
        <v>174</v>
      </c>
      <c r="G34" s="26"/>
      <c r="H34" s="35"/>
      <c r="I34" s="35"/>
      <c r="J34" s="26"/>
      <c r="K34" s="35"/>
      <c r="L34" s="35"/>
      <c r="M34" s="35"/>
      <c r="N34" s="35"/>
      <c r="O34" s="35"/>
      <c r="P34" s="26"/>
      <c r="Q34" s="37">
        <f t="shared" si="0"/>
        <v>0</v>
      </c>
      <c r="R34" s="38">
        <f t="shared" si="1"/>
        <v>0</v>
      </c>
    </row>
    <row r="35" spans="1:18" ht="18" x14ac:dyDescent="0.35">
      <c r="A35" s="34">
        <v>25</v>
      </c>
      <c r="B35" s="37" t="s">
        <v>124</v>
      </c>
      <c r="C35" s="36" t="s">
        <v>35</v>
      </c>
      <c r="D35" s="37">
        <v>2122</v>
      </c>
      <c r="E35" s="37"/>
      <c r="F35" s="41" t="s">
        <v>127</v>
      </c>
      <c r="G35" s="26"/>
      <c r="H35" s="35">
        <v>80</v>
      </c>
      <c r="I35" s="35">
        <v>66</v>
      </c>
      <c r="J35" s="26"/>
      <c r="K35" s="35"/>
      <c r="L35" s="35"/>
      <c r="M35" s="35"/>
      <c r="N35" s="35"/>
      <c r="O35" s="35"/>
      <c r="P35" s="26"/>
      <c r="Q35" s="37">
        <f t="shared" si="0"/>
        <v>80</v>
      </c>
      <c r="R35" s="38">
        <f t="shared" si="1"/>
        <v>66</v>
      </c>
    </row>
    <row r="36" spans="1:18" ht="18" x14ac:dyDescent="0.35">
      <c r="A36" s="34">
        <v>26</v>
      </c>
      <c r="B36" s="37" t="s">
        <v>124</v>
      </c>
      <c r="C36" s="36" t="s">
        <v>35</v>
      </c>
      <c r="D36" s="37">
        <v>2122</v>
      </c>
      <c r="E36" s="37"/>
      <c r="F36" s="41" t="s">
        <v>128</v>
      </c>
      <c r="G36" s="26"/>
      <c r="H36" s="35">
        <v>300</v>
      </c>
      <c r="I36" s="35">
        <f>270+50</f>
        <v>320</v>
      </c>
      <c r="J36" s="26"/>
      <c r="K36" s="35"/>
      <c r="L36" s="35"/>
      <c r="M36" s="26"/>
      <c r="N36" s="35"/>
      <c r="O36" s="35"/>
      <c r="P36" s="26"/>
      <c r="Q36" s="37">
        <f t="shared" si="0"/>
        <v>300</v>
      </c>
      <c r="R36" s="38">
        <f t="shared" si="1"/>
        <v>320</v>
      </c>
    </row>
    <row r="37" spans="1:18" ht="18" x14ac:dyDescent="0.35">
      <c r="A37" s="34">
        <v>27</v>
      </c>
      <c r="B37" s="37" t="s">
        <v>124</v>
      </c>
      <c r="C37" s="36" t="s">
        <v>35</v>
      </c>
      <c r="D37" s="37">
        <v>2123</v>
      </c>
      <c r="E37" s="37"/>
      <c r="F37" s="41" t="s">
        <v>127</v>
      </c>
      <c r="G37" s="26"/>
      <c r="H37" s="35">
        <v>80</v>
      </c>
      <c r="I37" s="35">
        <v>70</v>
      </c>
      <c r="J37" s="26"/>
      <c r="K37" s="35"/>
      <c r="L37" s="35"/>
      <c r="M37" s="26"/>
      <c r="N37" s="35">
        <v>100</v>
      </c>
      <c r="O37" s="35">
        <v>93</v>
      </c>
      <c r="P37" s="26"/>
      <c r="Q37" s="37">
        <f t="shared" si="0"/>
        <v>180</v>
      </c>
      <c r="R37" s="38">
        <f t="shared" si="1"/>
        <v>163</v>
      </c>
    </row>
    <row r="38" spans="1:18" ht="18" x14ac:dyDescent="0.35">
      <c r="A38" s="34">
        <v>28</v>
      </c>
      <c r="B38" s="37" t="s">
        <v>124</v>
      </c>
      <c r="C38" s="36" t="s">
        <v>35</v>
      </c>
      <c r="D38" s="37">
        <v>2123</v>
      </c>
      <c r="E38" s="37"/>
      <c r="F38" s="41" t="s">
        <v>129</v>
      </c>
      <c r="G38" s="26"/>
      <c r="H38" s="35">
        <v>75</v>
      </c>
      <c r="I38" s="35">
        <v>70</v>
      </c>
      <c r="J38" s="26"/>
      <c r="K38" s="35"/>
      <c r="L38" s="35"/>
      <c r="M38" s="26"/>
      <c r="N38" s="35">
        <v>180</v>
      </c>
      <c r="O38" s="35">
        <v>160</v>
      </c>
      <c r="P38" s="26"/>
      <c r="Q38" s="37">
        <f t="shared" si="0"/>
        <v>255</v>
      </c>
      <c r="R38" s="38">
        <f t="shared" si="1"/>
        <v>230</v>
      </c>
    </row>
    <row r="39" spans="1:18" ht="18" x14ac:dyDescent="0.35">
      <c r="A39" s="34">
        <v>29</v>
      </c>
      <c r="B39" s="37" t="s">
        <v>124</v>
      </c>
      <c r="C39" s="36" t="s">
        <v>35</v>
      </c>
      <c r="D39" s="37">
        <v>2123</v>
      </c>
      <c r="E39" s="37"/>
      <c r="F39" s="41" t="s">
        <v>128</v>
      </c>
      <c r="G39" s="26"/>
      <c r="H39" s="35"/>
      <c r="I39" s="35"/>
      <c r="J39" s="26"/>
      <c r="K39" s="35"/>
      <c r="L39" s="35"/>
      <c r="M39" s="26"/>
      <c r="N39" s="35">
        <v>100</v>
      </c>
      <c r="O39" s="35">
        <v>100</v>
      </c>
      <c r="P39" s="26"/>
      <c r="Q39" s="37">
        <f>N39+K39+H39</f>
        <v>100</v>
      </c>
      <c r="R39" s="38">
        <f t="shared" si="1"/>
        <v>100</v>
      </c>
    </row>
    <row r="40" spans="1:18" ht="18" hidden="1" x14ac:dyDescent="0.35">
      <c r="A40" s="34">
        <v>30</v>
      </c>
      <c r="B40" s="37" t="s">
        <v>131</v>
      </c>
      <c r="C40" s="36" t="s">
        <v>35</v>
      </c>
      <c r="D40" s="37">
        <v>2123</v>
      </c>
      <c r="E40" s="37"/>
      <c r="F40" s="41" t="s">
        <v>128</v>
      </c>
      <c r="G40" s="26"/>
      <c r="H40" s="35"/>
      <c r="I40" s="35"/>
      <c r="J40" s="26"/>
      <c r="K40" s="35"/>
      <c r="L40" s="35"/>
      <c r="M40" s="26"/>
      <c r="N40" s="35"/>
      <c r="O40" s="35"/>
      <c r="P40" s="26"/>
      <c r="Q40" s="37">
        <f t="shared" si="0"/>
        <v>0</v>
      </c>
      <c r="R40" s="38">
        <f t="shared" si="1"/>
        <v>0</v>
      </c>
    </row>
    <row r="41" spans="1:18" ht="18" hidden="1" x14ac:dyDescent="0.35">
      <c r="A41" s="34">
        <v>31</v>
      </c>
      <c r="B41" s="37" t="s">
        <v>162</v>
      </c>
      <c r="C41" s="42" t="s">
        <v>35</v>
      </c>
      <c r="D41" s="37">
        <v>98814</v>
      </c>
      <c r="E41" s="37">
        <v>304.8</v>
      </c>
      <c r="F41" s="41" t="s">
        <v>10</v>
      </c>
      <c r="G41" s="26"/>
      <c r="H41" s="35"/>
      <c r="I41" s="35"/>
      <c r="J41" s="26"/>
      <c r="K41" s="35"/>
      <c r="L41" s="35"/>
      <c r="M41" s="26"/>
      <c r="N41" s="35"/>
      <c r="O41" s="35"/>
      <c r="P41" s="26"/>
      <c r="Q41" s="37">
        <f t="shared" si="0"/>
        <v>0</v>
      </c>
      <c r="R41" s="38">
        <f t="shared" si="1"/>
        <v>0</v>
      </c>
    </row>
    <row r="42" spans="1:18" ht="18" hidden="1" x14ac:dyDescent="0.35">
      <c r="A42" s="34">
        <v>32</v>
      </c>
      <c r="B42" s="37" t="s">
        <v>39</v>
      </c>
      <c r="C42" s="42" t="s">
        <v>35</v>
      </c>
      <c r="D42" s="37">
        <v>98814</v>
      </c>
      <c r="E42" s="37">
        <v>304.8</v>
      </c>
      <c r="F42" s="41" t="s">
        <v>39</v>
      </c>
      <c r="G42" s="37" t="s">
        <v>96</v>
      </c>
      <c r="H42" s="35"/>
      <c r="I42" s="35"/>
      <c r="J42" s="37"/>
      <c r="K42" s="35"/>
      <c r="L42" s="35"/>
      <c r="M42" s="23"/>
      <c r="N42" s="35"/>
      <c r="O42" s="35"/>
      <c r="P42" s="23"/>
      <c r="Q42" s="37">
        <f t="shared" si="0"/>
        <v>0</v>
      </c>
      <c r="R42" s="38">
        <f>I42+L42+O42</f>
        <v>0</v>
      </c>
    </row>
    <row r="43" spans="1:18" ht="18" hidden="1" x14ac:dyDescent="0.35">
      <c r="A43" s="34">
        <v>33</v>
      </c>
      <c r="B43" s="37" t="s">
        <v>132</v>
      </c>
      <c r="C43" s="42" t="s">
        <v>172</v>
      </c>
      <c r="D43" s="37">
        <v>86805</v>
      </c>
      <c r="E43" s="37"/>
      <c r="F43" s="41" t="s">
        <v>12</v>
      </c>
      <c r="G43" s="37" t="s">
        <v>173</v>
      </c>
      <c r="H43" s="35"/>
      <c r="I43" s="35"/>
      <c r="J43" s="37"/>
      <c r="K43" s="35"/>
      <c r="L43" s="35"/>
      <c r="M43" s="26"/>
      <c r="N43" s="35"/>
      <c r="O43" s="35"/>
      <c r="P43" s="26"/>
      <c r="Q43" s="37">
        <f t="shared" si="0"/>
        <v>0</v>
      </c>
      <c r="R43" s="38">
        <f t="shared" si="1"/>
        <v>0</v>
      </c>
    </row>
    <row r="44" spans="1:18" ht="18" hidden="1" x14ac:dyDescent="0.35">
      <c r="A44" s="34">
        <v>34</v>
      </c>
      <c r="B44" s="37" t="s">
        <v>158</v>
      </c>
      <c r="C44" s="42" t="s">
        <v>35</v>
      </c>
      <c r="D44" s="37">
        <v>98815</v>
      </c>
      <c r="E44" s="37">
        <v>406.4</v>
      </c>
      <c r="F44" s="41" t="s">
        <v>135</v>
      </c>
      <c r="G44" s="37" t="s">
        <v>133</v>
      </c>
      <c r="H44" s="35"/>
      <c r="I44" s="35"/>
      <c r="J44" s="37"/>
      <c r="K44" s="35"/>
      <c r="L44" s="35"/>
      <c r="M44" s="26"/>
      <c r="N44" s="35"/>
      <c r="O44" s="35"/>
      <c r="P44" s="26"/>
      <c r="Q44" s="37">
        <f t="shared" si="0"/>
        <v>0</v>
      </c>
      <c r="R44" s="38">
        <f t="shared" si="1"/>
        <v>0</v>
      </c>
    </row>
    <row r="45" spans="1:18" ht="18" hidden="1" x14ac:dyDescent="0.35">
      <c r="A45" s="34">
        <v>35</v>
      </c>
      <c r="B45" s="37" t="s">
        <v>170</v>
      </c>
      <c r="C45" s="42" t="s">
        <v>35</v>
      </c>
      <c r="D45" s="37">
        <v>98815</v>
      </c>
      <c r="E45" s="37">
        <v>406.4</v>
      </c>
      <c r="F45" s="41" t="s">
        <v>159</v>
      </c>
      <c r="G45" s="37" t="s">
        <v>133</v>
      </c>
      <c r="H45" s="35"/>
      <c r="I45" s="35"/>
      <c r="J45" s="37"/>
      <c r="K45" s="35"/>
      <c r="L45" s="35"/>
      <c r="M45" s="26"/>
      <c r="N45" s="35"/>
      <c r="O45" s="35"/>
      <c r="P45" s="26"/>
      <c r="Q45" s="37">
        <f t="shared" si="0"/>
        <v>0</v>
      </c>
      <c r="R45" s="38">
        <f t="shared" si="1"/>
        <v>0</v>
      </c>
    </row>
    <row r="46" spans="1:18" ht="18" hidden="1" x14ac:dyDescent="0.35">
      <c r="A46" s="34">
        <v>36</v>
      </c>
      <c r="B46" s="37" t="s">
        <v>171</v>
      </c>
      <c r="C46" s="42" t="s">
        <v>141</v>
      </c>
      <c r="D46" s="37">
        <v>82527</v>
      </c>
      <c r="E46" s="37">
        <v>155</v>
      </c>
      <c r="F46" s="41" t="s">
        <v>142</v>
      </c>
      <c r="G46" s="37" t="s">
        <v>96</v>
      </c>
      <c r="H46" s="35"/>
      <c r="I46" s="35"/>
      <c r="J46" s="37"/>
      <c r="K46" s="35"/>
      <c r="L46" s="35"/>
      <c r="M46" s="26"/>
      <c r="N46" s="35"/>
      <c r="O46" s="35"/>
      <c r="P46" s="26"/>
      <c r="Q46" s="37">
        <f t="shared" si="0"/>
        <v>0</v>
      </c>
      <c r="R46" s="38">
        <f t="shared" si="1"/>
        <v>0</v>
      </c>
    </row>
    <row r="47" spans="1:18" ht="18" x14ac:dyDescent="0.35">
      <c r="A47" s="34">
        <v>37</v>
      </c>
      <c r="B47" s="37" t="s">
        <v>143</v>
      </c>
      <c r="C47" s="42" t="s">
        <v>144</v>
      </c>
      <c r="D47" s="37">
        <v>83872</v>
      </c>
      <c r="E47" s="37">
        <v>967.65</v>
      </c>
      <c r="F47" s="41" t="s">
        <v>12</v>
      </c>
      <c r="G47" s="37" t="s">
        <v>136</v>
      </c>
      <c r="H47" s="35">
        <v>100</v>
      </c>
      <c r="I47" s="35">
        <v>85</v>
      </c>
      <c r="J47" s="37"/>
      <c r="K47" s="35"/>
      <c r="L47" s="35"/>
      <c r="M47" s="35"/>
      <c r="N47" s="35"/>
      <c r="O47" s="35"/>
      <c r="P47" s="26"/>
      <c r="Q47" s="37">
        <f t="shared" si="0"/>
        <v>100</v>
      </c>
      <c r="R47" s="38">
        <f t="shared" si="1"/>
        <v>85</v>
      </c>
    </row>
    <row r="48" spans="1:18" ht="18" hidden="1" x14ac:dyDescent="0.35">
      <c r="A48" s="34">
        <v>38</v>
      </c>
      <c r="B48" s="37" t="s">
        <v>146</v>
      </c>
      <c r="C48" s="42" t="s">
        <v>144</v>
      </c>
      <c r="D48" s="37">
        <v>83834</v>
      </c>
      <c r="E48" s="37">
        <v>898.89</v>
      </c>
      <c r="F48" s="41" t="s">
        <v>147</v>
      </c>
      <c r="G48" s="37" t="s">
        <v>96</v>
      </c>
      <c r="H48" s="35"/>
      <c r="I48" s="35"/>
      <c r="J48" s="37"/>
      <c r="K48" s="35"/>
      <c r="L48" s="35"/>
      <c r="M48" s="35"/>
      <c r="N48" s="35"/>
      <c r="O48" s="35"/>
      <c r="P48" s="26"/>
      <c r="Q48" s="37">
        <f t="shared" si="0"/>
        <v>0</v>
      </c>
      <c r="R48" s="38">
        <f>I48+L48+O48</f>
        <v>0</v>
      </c>
    </row>
    <row r="49" spans="1:18" ht="36" hidden="1" x14ac:dyDescent="0.35">
      <c r="A49" s="34">
        <v>39</v>
      </c>
      <c r="B49" s="43" t="s">
        <v>151</v>
      </c>
      <c r="C49" s="36" t="s">
        <v>167</v>
      </c>
      <c r="D49" s="35">
        <v>93293</v>
      </c>
      <c r="E49" s="35">
        <v>16.2</v>
      </c>
      <c r="F49" s="40" t="s">
        <v>169</v>
      </c>
      <c r="G49" s="35" t="s">
        <v>104</v>
      </c>
      <c r="H49" s="35"/>
      <c r="I49" s="35"/>
      <c r="J49" s="37"/>
      <c r="K49" s="35"/>
      <c r="L49" s="35"/>
      <c r="M49" s="35"/>
      <c r="N49" s="35"/>
      <c r="O49" s="35"/>
      <c r="P49" s="35"/>
      <c r="Q49" s="37">
        <f t="shared" si="0"/>
        <v>0</v>
      </c>
      <c r="R49" s="44">
        <f t="shared" si="1"/>
        <v>0</v>
      </c>
    </row>
    <row r="50" spans="1:18" ht="36" hidden="1" x14ac:dyDescent="0.35">
      <c r="A50" s="34">
        <v>40</v>
      </c>
      <c r="B50" s="43" t="s">
        <v>148</v>
      </c>
      <c r="C50" s="36" t="s">
        <v>167</v>
      </c>
      <c r="D50" s="35">
        <v>93290</v>
      </c>
      <c r="E50" s="35">
        <v>2382</v>
      </c>
      <c r="F50" s="40" t="s">
        <v>150</v>
      </c>
      <c r="G50" s="35" t="s">
        <v>113</v>
      </c>
      <c r="H50" s="35"/>
      <c r="I50" s="35"/>
      <c r="J50" s="35"/>
      <c r="K50" s="35"/>
      <c r="L50" s="35"/>
      <c r="M50" s="35"/>
      <c r="N50" s="35"/>
      <c r="O50" s="35"/>
      <c r="P50" s="26"/>
      <c r="Q50" s="37">
        <f t="shared" si="0"/>
        <v>0</v>
      </c>
      <c r="R50" s="44">
        <f t="shared" si="1"/>
        <v>0</v>
      </c>
    </row>
    <row r="51" spans="1:18" ht="36" hidden="1" x14ac:dyDescent="0.35">
      <c r="A51" s="34">
        <v>41</v>
      </c>
      <c r="B51" s="43" t="s">
        <v>151</v>
      </c>
      <c r="C51" s="36" t="s">
        <v>167</v>
      </c>
      <c r="D51" s="35">
        <v>93292</v>
      </c>
      <c r="E51" s="35">
        <v>1134</v>
      </c>
      <c r="F51" s="40" t="s">
        <v>150</v>
      </c>
      <c r="G51" s="35" t="s">
        <v>113</v>
      </c>
      <c r="H51" s="35"/>
      <c r="I51" s="35"/>
      <c r="J51" s="37"/>
      <c r="K51" s="35"/>
      <c r="L51" s="35"/>
      <c r="M51" s="35"/>
      <c r="N51" s="35"/>
      <c r="O51" s="35"/>
      <c r="P51" s="26"/>
      <c r="Q51" s="37">
        <f t="shared" si="0"/>
        <v>0</v>
      </c>
      <c r="R51" s="44">
        <f t="shared" si="1"/>
        <v>0</v>
      </c>
    </row>
  </sheetData>
  <autoFilter ref="A6:R51" xr:uid="{00000000-0009-0000-0000-000009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7">
      <filters blank="1">
        <filter val="100"/>
        <filter val="1188"/>
        <filter val="138"/>
        <filter val="163"/>
        <filter val="176"/>
        <filter val="20"/>
        <filter val="230"/>
        <filter val="320"/>
        <filter val="400"/>
        <filter val="423"/>
        <filter val="473"/>
        <filter val="525"/>
        <filter val="66"/>
        <filter val="85"/>
      </filters>
    </filterColumn>
  </autoFilter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R49"/>
  <sheetViews>
    <sheetView zoomScale="85" zoomScaleNormal="85" workbookViewId="0">
      <selection activeCell="G53" sqref="G53"/>
    </sheetView>
  </sheetViews>
  <sheetFormatPr defaultRowHeight="14.4" x14ac:dyDescent="0.3"/>
  <cols>
    <col min="2" max="2" width="21" customWidth="1"/>
    <col min="3" max="3" width="22.6640625" customWidth="1"/>
    <col min="6" max="6" width="28.33203125" customWidth="1"/>
    <col min="10" max="10" width="12.109375" customWidth="1"/>
    <col min="11" max="11" width="16.5546875" hidden="1" customWidth="1"/>
    <col min="12" max="12" width="19.6640625" hidden="1" customWidth="1"/>
    <col min="13" max="13" width="0.33203125" hidden="1" customWidth="1"/>
    <col min="16" max="16" width="12.44140625" customWidth="1"/>
    <col min="17" max="17" width="14.5546875" customWidth="1"/>
    <col min="18" max="18" width="16.5546875" customWidth="1"/>
  </cols>
  <sheetData>
    <row r="1" spans="1:18" ht="45" customHeight="1" x14ac:dyDescent="0.3">
      <c r="A1" s="84" t="s">
        <v>74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6"/>
    </row>
    <row r="2" spans="1:18" ht="15" hidden="1" customHeight="1" x14ac:dyDescent="0.3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9"/>
    </row>
    <row r="3" spans="1:18" ht="15" hidden="1" customHeight="1" x14ac:dyDescent="0.3">
      <c r="A3" s="90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2"/>
    </row>
    <row r="4" spans="1:18" ht="18" hidden="1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8" t="s">
        <v>76</v>
      </c>
      <c r="M5" s="29">
        <v>46072</v>
      </c>
      <c r="N5" s="26"/>
      <c r="O5" s="28" t="s">
        <v>76</v>
      </c>
      <c r="P5" s="29" t="s">
        <v>201</v>
      </c>
      <c r="Q5" s="23"/>
      <c r="R5" s="23"/>
    </row>
    <row r="6" spans="1:18" ht="17.399999999999999" x14ac:dyDescent="0.3">
      <c r="A6" s="53" t="s">
        <v>77</v>
      </c>
      <c r="B6" s="53" t="s">
        <v>185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56" t="s">
        <v>83</v>
      </c>
      <c r="L6" s="56"/>
      <c r="M6" s="56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94</v>
      </c>
      <c r="C8" s="36" t="s">
        <v>97</v>
      </c>
      <c r="D8" s="35">
        <v>93799</v>
      </c>
      <c r="E8" s="35">
        <v>183.39</v>
      </c>
      <c r="F8" s="35" t="s">
        <v>92</v>
      </c>
      <c r="G8" s="35" t="s">
        <v>96</v>
      </c>
      <c r="H8" s="35">
        <v>120</v>
      </c>
      <c r="I8" s="35">
        <v>105</v>
      </c>
      <c r="J8" s="35"/>
      <c r="K8" s="35">
        <v>0</v>
      </c>
      <c r="L8" s="35">
        <v>0</v>
      </c>
      <c r="M8" s="35"/>
      <c r="N8" s="35">
        <v>0</v>
      </c>
      <c r="O8" s="35">
        <v>0</v>
      </c>
      <c r="P8" s="35"/>
      <c r="Q8" s="37">
        <f>N8+K8+H8</f>
        <v>120</v>
      </c>
      <c r="R8" s="38">
        <f>I8+L8+O8</f>
        <v>105</v>
      </c>
    </row>
    <row r="9" spans="1:18" ht="18" x14ac:dyDescent="0.35">
      <c r="A9" s="34">
        <v>2</v>
      </c>
      <c r="B9" s="35" t="s">
        <v>94</v>
      </c>
      <c r="C9" s="36" t="s">
        <v>97</v>
      </c>
      <c r="D9" s="35">
        <v>93799</v>
      </c>
      <c r="E9" s="35">
        <v>76.2</v>
      </c>
      <c r="F9" s="35" t="s">
        <v>92</v>
      </c>
      <c r="G9" s="35" t="s">
        <v>120</v>
      </c>
      <c r="H9" s="35">
        <v>150</v>
      </c>
      <c r="I9" s="35">
        <v>135</v>
      </c>
      <c r="J9" s="35"/>
      <c r="K9" s="35">
        <v>0</v>
      </c>
      <c r="L9" s="35">
        <v>0</v>
      </c>
      <c r="M9" s="35"/>
      <c r="N9" s="35">
        <v>0</v>
      </c>
      <c r="O9" s="35">
        <v>0</v>
      </c>
      <c r="P9" s="35"/>
      <c r="Q9" s="37">
        <f t="shared" ref="Q9:Q48" si="0">N9+K9+H9</f>
        <v>150</v>
      </c>
      <c r="R9" s="38">
        <f t="shared" ref="R9:R49" si="1">I9+L9+O9</f>
        <v>135</v>
      </c>
    </row>
    <row r="10" spans="1:18" ht="18" x14ac:dyDescent="0.35">
      <c r="A10" s="34">
        <v>3</v>
      </c>
      <c r="B10" s="35" t="s">
        <v>94</v>
      </c>
      <c r="C10" s="36" t="s">
        <v>200</v>
      </c>
      <c r="D10" s="35">
        <v>86270</v>
      </c>
      <c r="E10" s="35">
        <v>73</v>
      </c>
      <c r="F10" s="35" t="s">
        <v>92</v>
      </c>
      <c r="G10" s="35" t="s">
        <v>96</v>
      </c>
      <c r="H10" s="35">
        <v>0</v>
      </c>
      <c r="I10" s="35">
        <v>0</v>
      </c>
      <c r="J10" s="35"/>
      <c r="K10" s="35">
        <v>0</v>
      </c>
      <c r="L10" s="35">
        <v>0</v>
      </c>
      <c r="M10" s="35"/>
      <c r="N10" s="35">
        <v>240</v>
      </c>
      <c r="O10" s="35">
        <v>200</v>
      </c>
      <c r="P10" s="35"/>
      <c r="Q10" s="37">
        <f t="shared" si="0"/>
        <v>240</v>
      </c>
      <c r="R10" s="38">
        <f t="shared" si="1"/>
        <v>200</v>
      </c>
    </row>
    <row r="11" spans="1:18" ht="18" hidden="1" x14ac:dyDescent="0.35">
      <c r="A11" s="34">
        <v>4</v>
      </c>
      <c r="B11" s="35" t="s">
        <v>94</v>
      </c>
      <c r="C11" s="36" t="s">
        <v>35</v>
      </c>
      <c r="D11" s="35">
        <v>98808</v>
      </c>
      <c r="E11" s="35">
        <v>76.2</v>
      </c>
      <c r="F11" s="35" t="s">
        <v>192</v>
      </c>
      <c r="G11" s="35" t="s">
        <v>110</v>
      </c>
      <c r="H11" s="35">
        <v>0</v>
      </c>
      <c r="I11" s="35">
        <v>0</v>
      </c>
      <c r="J11" s="35"/>
      <c r="K11" s="35">
        <v>0</v>
      </c>
      <c r="L11" s="35">
        <v>0</v>
      </c>
      <c r="M11" s="35"/>
      <c r="N11" s="35">
        <v>0</v>
      </c>
      <c r="O11" s="35">
        <v>0</v>
      </c>
      <c r="P11" s="35"/>
      <c r="Q11" s="37"/>
      <c r="R11" s="38"/>
    </row>
    <row r="12" spans="1:18" ht="18" hidden="1" x14ac:dyDescent="0.35">
      <c r="A12" s="34">
        <v>5</v>
      </c>
      <c r="B12" s="35" t="s">
        <v>181</v>
      </c>
      <c r="C12" s="36" t="s">
        <v>97</v>
      </c>
      <c r="D12" s="35">
        <v>93799</v>
      </c>
      <c r="E12" s="35">
        <v>86.36</v>
      </c>
      <c r="F12" s="35" t="s">
        <v>166</v>
      </c>
      <c r="G12" s="35" t="s">
        <v>96</v>
      </c>
      <c r="H12" s="35">
        <v>0</v>
      </c>
      <c r="I12" s="35">
        <v>0</v>
      </c>
      <c r="J12" s="35"/>
      <c r="K12" s="35">
        <v>0</v>
      </c>
      <c r="L12" s="35">
        <v>0</v>
      </c>
      <c r="M12" s="35"/>
      <c r="N12" s="35">
        <v>0</v>
      </c>
      <c r="O12" s="35">
        <v>0</v>
      </c>
      <c r="P12" s="35"/>
      <c r="Q12" s="37">
        <f t="shared" si="0"/>
        <v>0</v>
      </c>
      <c r="R12" s="38">
        <f t="shared" si="1"/>
        <v>0</v>
      </c>
    </row>
    <row r="13" spans="1:18" ht="18" hidden="1" x14ac:dyDescent="0.35">
      <c r="A13" s="34">
        <v>6</v>
      </c>
      <c r="B13" s="35" t="s">
        <v>182</v>
      </c>
      <c r="C13" s="36" t="s">
        <v>97</v>
      </c>
      <c r="D13" s="35">
        <v>93799</v>
      </c>
      <c r="E13" s="35">
        <v>86.36</v>
      </c>
      <c r="F13" s="35" t="s">
        <v>166</v>
      </c>
      <c r="G13" s="35" t="s">
        <v>96</v>
      </c>
      <c r="H13" s="35">
        <v>0</v>
      </c>
      <c r="I13" s="35">
        <v>0</v>
      </c>
      <c r="J13" s="35"/>
      <c r="K13" s="35">
        <v>0</v>
      </c>
      <c r="L13" s="35">
        <v>0</v>
      </c>
      <c r="M13" s="35"/>
      <c r="N13" s="35">
        <v>0</v>
      </c>
      <c r="O13" s="35">
        <v>0</v>
      </c>
      <c r="P13" s="35"/>
      <c r="Q13" s="37">
        <f t="shared" si="0"/>
        <v>0</v>
      </c>
      <c r="R13" s="38">
        <f t="shared" si="1"/>
        <v>0</v>
      </c>
    </row>
    <row r="14" spans="1:18" ht="18" x14ac:dyDescent="0.35">
      <c r="A14" s="34">
        <v>7</v>
      </c>
      <c r="B14" s="35" t="s">
        <v>105</v>
      </c>
      <c r="C14" s="36" t="s">
        <v>95</v>
      </c>
      <c r="D14" s="35">
        <v>93799</v>
      </c>
      <c r="E14" s="35">
        <v>183.39</v>
      </c>
      <c r="F14" s="35" t="s">
        <v>92</v>
      </c>
      <c r="G14" s="35" t="s">
        <v>96</v>
      </c>
      <c r="H14" s="35">
        <v>360</v>
      </c>
      <c r="I14" s="35">
        <v>278</v>
      </c>
      <c r="J14" s="35"/>
      <c r="K14" s="35">
        <v>0</v>
      </c>
      <c r="L14" s="35">
        <v>0</v>
      </c>
      <c r="M14" s="35"/>
      <c r="N14" s="35">
        <v>350</v>
      </c>
      <c r="O14" s="35">
        <v>320</v>
      </c>
      <c r="P14" s="35"/>
      <c r="Q14" s="37">
        <f t="shared" si="0"/>
        <v>710</v>
      </c>
      <c r="R14" s="38">
        <f t="shared" si="1"/>
        <v>598</v>
      </c>
    </row>
    <row r="15" spans="1:18" ht="18" x14ac:dyDescent="0.35">
      <c r="A15" s="34">
        <v>8</v>
      </c>
      <c r="B15" s="35" t="s">
        <v>106</v>
      </c>
      <c r="C15" s="36" t="s">
        <v>95</v>
      </c>
      <c r="D15" s="35">
        <v>93799</v>
      </c>
      <c r="E15" s="35">
        <v>183.39</v>
      </c>
      <c r="F15" s="35" t="s">
        <v>92</v>
      </c>
      <c r="G15" s="35" t="s">
        <v>163</v>
      </c>
      <c r="H15" s="35">
        <v>360</v>
      </c>
      <c r="I15" s="35">
        <v>300</v>
      </c>
      <c r="J15" s="35"/>
      <c r="K15" s="35">
        <v>0</v>
      </c>
      <c r="L15" s="35">
        <v>0</v>
      </c>
      <c r="M15" s="35"/>
      <c r="N15" s="35">
        <v>350</v>
      </c>
      <c r="O15" s="35">
        <v>301</v>
      </c>
      <c r="P15" s="35"/>
      <c r="Q15" s="37">
        <f t="shared" si="0"/>
        <v>710</v>
      </c>
      <c r="R15" s="38">
        <f t="shared" si="1"/>
        <v>601</v>
      </c>
    </row>
    <row r="16" spans="1:18" ht="18" hidden="1" x14ac:dyDescent="0.35">
      <c r="A16" s="34">
        <v>9</v>
      </c>
      <c r="B16" s="35" t="s">
        <v>108</v>
      </c>
      <c r="C16" s="36" t="s">
        <v>95</v>
      </c>
      <c r="D16" s="35">
        <v>86308</v>
      </c>
      <c r="E16" s="35">
        <v>55.88</v>
      </c>
      <c r="F16" s="35" t="s">
        <v>92</v>
      </c>
      <c r="G16" s="35" t="s">
        <v>96</v>
      </c>
      <c r="H16" s="35">
        <v>0</v>
      </c>
      <c r="I16" s="35">
        <v>0</v>
      </c>
      <c r="J16" s="35"/>
      <c r="K16" s="35">
        <v>0</v>
      </c>
      <c r="L16" s="35">
        <v>0</v>
      </c>
      <c r="M16" s="35" t="s">
        <v>165</v>
      </c>
      <c r="N16" s="35">
        <v>0</v>
      </c>
      <c r="O16" s="35">
        <v>0</v>
      </c>
      <c r="P16" s="35"/>
      <c r="Q16" s="37">
        <f t="shared" si="0"/>
        <v>0</v>
      </c>
      <c r="R16" s="38">
        <f t="shared" si="1"/>
        <v>0</v>
      </c>
    </row>
    <row r="17" spans="1:18" ht="18" hidden="1" x14ac:dyDescent="0.35">
      <c r="A17" s="34">
        <v>10</v>
      </c>
      <c r="B17" s="35" t="s">
        <v>185</v>
      </c>
      <c r="C17" s="36" t="s">
        <v>97</v>
      </c>
      <c r="D17" s="35">
        <v>93799</v>
      </c>
      <c r="E17" s="35">
        <v>86.36</v>
      </c>
      <c r="F17" s="35" t="s">
        <v>186</v>
      </c>
      <c r="G17" s="35" t="s">
        <v>187</v>
      </c>
      <c r="H17" s="35">
        <v>0</v>
      </c>
      <c r="I17" s="35">
        <v>0</v>
      </c>
      <c r="J17" s="35"/>
      <c r="K17" s="35">
        <v>0</v>
      </c>
      <c r="L17" s="35">
        <v>0</v>
      </c>
      <c r="M17" s="35"/>
      <c r="N17" s="35">
        <v>0</v>
      </c>
      <c r="O17" s="35">
        <v>0</v>
      </c>
      <c r="P17" s="35"/>
      <c r="Q17" s="37">
        <f t="shared" si="0"/>
        <v>0</v>
      </c>
      <c r="R17" s="38">
        <f t="shared" si="1"/>
        <v>0</v>
      </c>
    </row>
    <row r="18" spans="1:18" ht="18" hidden="1" x14ac:dyDescent="0.35">
      <c r="A18" s="34">
        <v>11</v>
      </c>
      <c r="B18" s="35" t="s">
        <v>102</v>
      </c>
      <c r="C18" s="36" t="s">
        <v>35</v>
      </c>
      <c r="D18" s="35">
        <v>98814</v>
      </c>
      <c r="E18" s="35">
        <v>304.8</v>
      </c>
      <c r="F18" s="35">
        <v>90</v>
      </c>
      <c r="G18" s="35" t="s">
        <v>175</v>
      </c>
      <c r="H18" s="35">
        <v>0</v>
      </c>
      <c r="I18" s="35">
        <v>0</v>
      </c>
      <c r="J18" s="35"/>
      <c r="K18" s="35">
        <v>0</v>
      </c>
      <c r="L18" s="35">
        <v>0</v>
      </c>
      <c r="M18" s="35"/>
      <c r="N18" s="35">
        <v>0</v>
      </c>
      <c r="O18" s="35">
        <v>0</v>
      </c>
      <c r="P18" s="35"/>
      <c r="Q18" s="37">
        <f t="shared" si="0"/>
        <v>0</v>
      </c>
      <c r="R18" s="38">
        <f t="shared" si="1"/>
        <v>0</v>
      </c>
    </row>
    <row r="19" spans="1:18" ht="18" x14ac:dyDescent="0.35">
      <c r="A19" s="34">
        <v>12</v>
      </c>
      <c r="B19" s="35" t="s">
        <v>111</v>
      </c>
      <c r="C19" s="36" t="s">
        <v>35</v>
      </c>
      <c r="D19" s="35">
        <v>2122</v>
      </c>
      <c r="E19" s="35"/>
      <c r="F19" s="35" t="s">
        <v>114</v>
      </c>
      <c r="G19" s="35" t="s">
        <v>118</v>
      </c>
      <c r="H19" s="35">
        <v>0</v>
      </c>
      <c r="I19" s="35">
        <v>0</v>
      </c>
      <c r="J19" s="35"/>
      <c r="K19" s="35">
        <v>0</v>
      </c>
      <c r="L19" s="35">
        <v>0</v>
      </c>
      <c r="M19" s="35"/>
      <c r="N19" s="35">
        <v>105</v>
      </c>
      <c r="O19" s="35">
        <v>105</v>
      </c>
      <c r="P19" s="35"/>
      <c r="Q19" s="37">
        <f t="shared" si="0"/>
        <v>105</v>
      </c>
      <c r="R19" s="38">
        <f t="shared" si="1"/>
        <v>105</v>
      </c>
    </row>
    <row r="20" spans="1:18" ht="18" x14ac:dyDescent="0.35">
      <c r="A20" s="34">
        <v>13</v>
      </c>
      <c r="B20" s="35" t="s">
        <v>111</v>
      </c>
      <c r="C20" s="36" t="s">
        <v>35</v>
      </c>
      <c r="D20" s="35">
        <v>2123</v>
      </c>
      <c r="E20" s="35"/>
      <c r="F20" s="35" t="s">
        <v>114</v>
      </c>
      <c r="G20" s="35" t="s">
        <v>154</v>
      </c>
      <c r="H20" s="35">
        <v>0</v>
      </c>
      <c r="I20" s="35">
        <v>0</v>
      </c>
      <c r="J20" s="35"/>
      <c r="K20" s="35">
        <v>0</v>
      </c>
      <c r="L20" s="35">
        <v>0</v>
      </c>
      <c r="M20" s="35"/>
      <c r="N20" s="35">
        <v>210</v>
      </c>
      <c r="O20" s="35">
        <v>210</v>
      </c>
      <c r="P20" s="35"/>
      <c r="Q20" s="37">
        <f t="shared" si="0"/>
        <v>210</v>
      </c>
      <c r="R20" s="38">
        <f t="shared" si="1"/>
        <v>210</v>
      </c>
    </row>
    <row r="21" spans="1:18" ht="18" hidden="1" x14ac:dyDescent="0.35">
      <c r="A21" s="34">
        <v>14</v>
      </c>
      <c r="B21" s="35" t="s">
        <v>111</v>
      </c>
      <c r="C21" s="36" t="s">
        <v>35</v>
      </c>
      <c r="D21" s="35">
        <v>98811</v>
      </c>
      <c r="E21" s="35">
        <v>11.05</v>
      </c>
      <c r="F21" s="35">
        <v>90</v>
      </c>
      <c r="G21" s="35" t="s">
        <v>155</v>
      </c>
      <c r="H21" s="35">
        <v>0</v>
      </c>
      <c r="I21" s="35">
        <v>0</v>
      </c>
      <c r="J21" s="35"/>
      <c r="K21" s="35">
        <v>0</v>
      </c>
      <c r="L21" s="35">
        <v>0</v>
      </c>
      <c r="M21" s="35"/>
      <c r="N21" s="35">
        <v>0</v>
      </c>
      <c r="O21" s="35">
        <v>0</v>
      </c>
      <c r="P21" s="35"/>
      <c r="Q21" s="37">
        <f t="shared" si="0"/>
        <v>0</v>
      </c>
      <c r="R21" s="38">
        <f t="shared" si="1"/>
        <v>0</v>
      </c>
    </row>
    <row r="22" spans="1:18" ht="18" hidden="1" x14ac:dyDescent="0.35">
      <c r="A22" s="34">
        <v>15</v>
      </c>
      <c r="B22" s="35" t="s">
        <v>111</v>
      </c>
      <c r="C22" s="36" t="s">
        <v>35</v>
      </c>
      <c r="D22" s="35">
        <v>98811</v>
      </c>
      <c r="E22" s="35">
        <v>20.059999999999999</v>
      </c>
      <c r="F22" s="35">
        <v>90</v>
      </c>
      <c r="G22" s="35" t="s">
        <v>155</v>
      </c>
      <c r="H22" s="35">
        <v>0</v>
      </c>
      <c r="I22" s="35">
        <v>0</v>
      </c>
      <c r="J22" s="35"/>
      <c r="K22" s="35">
        <v>0</v>
      </c>
      <c r="L22" s="35">
        <v>0</v>
      </c>
      <c r="M22" s="35"/>
      <c r="N22" s="35">
        <v>0</v>
      </c>
      <c r="O22" s="35">
        <v>0</v>
      </c>
      <c r="P22" s="35"/>
      <c r="Q22" s="37">
        <f t="shared" si="0"/>
        <v>0</v>
      </c>
      <c r="R22" s="38">
        <f t="shared" si="1"/>
        <v>0</v>
      </c>
    </row>
    <row r="23" spans="1:18" ht="18" hidden="1" x14ac:dyDescent="0.35">
      <c r="A23" s="34">
        <v>16</v>
      </c>
      <c r="B23" s="35" t="s">
        <v>121</v>
      </c>
      <c r="C23" s="36" t="s">
        <v>35</v>
      </c>
      <c r="D23" s="35">
        <v>98809</v>
      </c>
      <c r="E23" s="35">
        <v>152.4</v>
      </c>
      <c r="F23" s="40" t="s">
        <v>190</v>
      </c>
      <c r="G23" s="35" t="s">
        <v>154</v>
      </c>
      <c r="H23" s="35">
        <v>0</v>
      </c>
      <c r="I23" s="35">
        <v>0</v>
      </c>
      <c r="J23" s="35"/>
      <c r="K23" s="35">
        <v>0</v>
      </c>
      <c r="L23" s="35">
        <v>0</v>
      </c>
      <c r="M23" s="26"/>
      <c r="N23" s="35">
        <v>0</v>
      </c>
      <c r="O23" s="35">
        <v>0</v>
      </c>
      <c r="P23" s="26"/>
      <c r="Q23" s="37">
        <f t="shared" si="0"/>
        <v>0</v>
      </c>
      <c r="R23" s="38">
        <f t="shared" si="1"/>
        <v>0</v>
      </c>
    </row>
    <row r="24" spans="1:18" ht="18" hidden="1" x14ac:dyDescent="0.35">
      <c r="A24" s="34">
        <v>17</v>
      </c>
      <c r="B24" s="35" t="s">
        <v>116</v>
      </c>
      <c r="C24" s="36" t="s">
        <v>35</v>
      </c>
      <c r="D24" s="35">
        <v>98808</v>
      </c>
      <c r="E24" s="35">
        <v>428.75</v>
      </c>
      <c r="F24" s="40" t="s">
        <v>122</v>
      </c>
      <c r="G24" s="35" t="s">
        <v>154</v>
      </c>
      <c r="H24" s="35">
        <v>0</v>
      </c>
      <c r="I24" s="35">
        <v>0</v>
      </c>
      <c r="J24" s="35"/>
      <c r="K24" s="35">
        <v>0</v>
      </c>
      <c r="L24" s="35">
        <v>0</v>
      </c>
      <c r="M24" s="26"/>
      <c r="N24" s="35">
        <v>0</v>
      </c>
      <c r="O24" s="35">
        <v>0</v>
      </c>
      <c r="P24" s="26"/>
      <c r="Q24" s="37">
        <f t="shared" si="0"/>
        <v>0</v>
      </c>
      <c r="R24" s="38">
        <f t="shared" si="1"/>
        <v>0</v>
      </c>
    </row>
    <row r="25" spans="1:18" ht="18" hidden="1" x14ac:dyDescent="0.35">
      <c r="A25" s="34">
        <v>18</v>
      </c>
      <c r="B25" s="35" t="s">
        <v>116</v>
      </c>
      <c r="C25" s="36" t="s">
        <v>35</v>
      </c>
      <c r="D25" s="35">
        <v>2123</v>
      </c>
      <c r="E25" s="35"/>
      <c r="F25" s="35" t="s">
        <v>123</v>
      </c>
      <c r="G25" s="35" t="s">
        <v>154</v>
      </c>
      <c r="H25" s="35">
        <v>0</v>
      </c>
      <c r="I25" s="35">
        <v>0</v>
      </c>
      <c r="J25" s="35"/>
      <c r="K25" s="35">
        <v>0</v>
      </c>
      <c r="L25" s="35">
        <v>0</v>
      </c>
      <c r="M25" s="26"/>
      <c r="N25" s="35">
        <v>0</v>
      </c>
      <c r="O25" s="35">
        <v>0</v>
      </c>
      <c r="P25" s="26"/>
      <c r="Q25" s="37">
        <f t="shared" si="0"/>
        <v>0</v>
      </c>
      <c r="R25" s="38">
        <f t="shared" si="1"/>
        <v>0</v>
      </c>
    </row>
    <row r="26" spans="1:18" ht="18" hidden="1" x14ac:dyDescent="0.35">
      <c r="A26" s="34">
        <v>19</v>
      </c>
      <c r="B26" s="35" t="s">
        <v>119</v>
      </c>
      <c r="C26" s="36" t="s">
        <v>35</v>
      </c>
      <c r="D26" s="35">
        <v>98808</v>
      </c>
      <c r="E26" s="35">
        <v>428.75</v>
      </c>
      <c r="F26" s="40" t="s">
        <v>40</v>
      </c>
      <c r="G26" s="35" t="s">
        <v>118</v>
      </c>
      <c r="H26" s="35">
        <v>0</v>
      </c>
      <c r="I26" s="35">
        <v>0</v>
      </c>
      <c r="J26" s="35"/>
      <c r="K26" s="35">
        <v>0</v>
      </c>
      <c r="L26" s="35">
        <v>0</v>
      </c>
      <c r="M26" s="26"/>
      <c r="N26" s="35">
        <v>0</v>
      </c>
      <c r="O26" s="35">
        <v>0</v>
      </c>
      <c r="P26" s="26"/>
      <c r="Q26" s="37">
        <f t="shared" si="0"/>
        <v>0</v>
      </c>
      <c r="R26" s="38">
        <f t="shared" si="1"/>
        <v>0</v>
      </c>
    </row>
    <row r="27" spans="1:18" ht="18" hidden="1" x14ac:dyDescent="0.35">
      <c r="A27" s="34">
        <v>20</v>
      </c>
      <c r="B27" s="35" t="s">
        <v>119</v>
      </c>
      <c r="C27" s="36" t="s">
        <v>35</v>
      </c>
      <c r="D27" s="35">
        <v>98809</v>
      </c>
      <c r="E27" s="35">
        <v>152.4</v>
      </c>
      <c r="F27" s="40" t="s">
        <v>122</v>
      </c>
      <c r="G27" s="35" t="s">
        <v>120</v>
      </c>
      <c r="H27" s="35">
        <v>0</v>
      </c>
      <c r="I27" s="35">
        <v>0</v>
      </c>
      <c r="J27" s="35"/>
      <c r="K27" s="35">
        <v>0</v>
      </c>
      <c r="L27" s="35">
        <v>0</v>
      </c>
      <c r="M27" s="26"/>
      <c r="N27" s="35">
        <v>0</v>
      </c>
      <c r="O27" s="35">
        <v>0</v>
      </c>
      <c r="P27" s="26"/>
      <c r="Q27" s="37">
        <f t="shared" si="0"/>
        <v>0</v>
      </c>
      <c r="R27" s="38">
        <f t="shared" si="1"/>
        <v>0</v>
      </c>
    </row>
    <row r="28" spans="1:18" ht="18" hidden="1" x14ac:dyDescent="0.35">
      <c r="A28" s="34">
        <v>21</v>
      </c>
      <c r="B28" s="35" t="s">
        <v>176</v>
      </c>
      <c r="C28" s="36" t="s">
        <v>35</v>
      </c>
      <c r="D28" s="35">
        <v>98808</v>
      </c>
      <c r="E28" s="35">
        <v>418.2</v>
      </c>
      <c r="F28" s="40" t="s">
        <v>122</v>
      </c>
      <c r="G28" s="35" t="s">
        <v>118</v>
      </c>
      <c r="H28" s="35">
        <v>0</v>
      </c>
      <c r="I28" s="35">
        <v>0</v>
      </c>
      <c r="J28" s="35"/>
      <c r="K28" s="35">
        <v>0</v>
      </c>
      <c r="L28" s="35">
        <v>0</v>
      </c>
      <c r="M28" s="26"/>
      <c r="N28" s="35">
        <v>0</v>
      </c>
      <c r="O28" s="35">
        <v>0</v>
      </c>
      <c r="P28" s="26"/>
      <c r="Q28" s="37">
        <f t="shared" si="0"/>
        <v>0</v>
      </c>
      <c r="R28" s="38">
        <f t="shared" si="1"/>
        <v>0</v>
      </c>
    </row>
    <row r="29" spans="1:18" ht="18" hidden="1" x14ac:dyDescent="0.35">
      <c r="A29" s="34">
        <v>22</v>
      </c>
      <c r="B29" s="35" t="s">
        <v>121</v>
      </c>
      <c r="C29" s="36" t="s">
        <v>35</v>
      </c>
      <c r="D29" s="35">
        <v>98810</v>
      </c>
      <c r="E29" s="35">
        <v>105.4</v>
      </c>
      <c r="F29" s="40" t="s">
        <v>122</v>
      </c>
      <c r="G29" s="35" t="s">
        <v>118</v>
      </c>
      <c r="H29" s="35">
        <v>0</v>
      </c>
      <c r="I29" s="35">
        <v>0</v>
      </c>
      <c r="J29" s="35"/>
      <c r="K29" s="35">
        <v>0</v>
      </c>
      <c r="L29" s="35">
        <v>0</v>
      </c>
      <c r="M29" s="35"/>
      <c r="N29" s="35">
        <v>0</v>
      </c>
      <c r="O29" s="35">
        <v>0</v>
      </c>
      <c r="P29" s="26"/>
      <c r="Q29" s="37">
        <f t="shared" si="0"/>
        <v>0</v>
      </c>
      <c r="R29" s="38">
        <f t="shared" si="1"/>
        <v>0</v>
      </c>
    </row>
    <row r="30" spans="1:18" ht="18" hidden="1" x14ac:dyDescent="0.35">
      <c r="A30" s="34">
        <v>23</v>
      </c>
      <c r="B30" s="35" t="s">
        <v>119</v>
      </c>
      <c r="C30" s="36" t="s">
        <v>35</v>
      </c>
      <c r="D30" s="35">
        <v>98812</v>
      </c>
      <c r="E30" s="35"/>
      <c r="F30" s="40" t="s">
        <v>117</v>
      </c>
      <c r="G30" s="35" t="s">
        <v>118</v>
      </c>
      <c r="H30" s="35">
        <v>0</v>
      </c>
      <c r="I30" s="35">
        <v>0</v>
      </c>
      <c r="J30" s="35"/>
      <c r="K30" s="35">
        <v>0</v>
      </c>
      <c r="L30" s="35">
        <v>0</v>
      </c>
      <c r="M30" s="35"/>
      <c r="N30" s="35">
        <v>0</v>
      </c>
      <c r="O30" s="35">
        <v>0</v>
      </c>
      <c r="P30" s="26"/>
      <c r="Q30" s="37">
        <f t="shared" si="0"/>
        <v>0</v>
      </c>
      <c r="R30" s="38">
        <f t="shared" si="1"/>
        <v>0</v>
      </c>
    </row>
    <row r="31" spans="1:18" ht="18" hidden="1" x14ac:dyDescent="0.35">
      <c r="A31" s="34">
        <v>24</v>
      </c>
      <c r="B31" s="37" t="s">
        <v>124</v>
      </c>
      <c r="C31" s="36" t="s">
        <v>35</v>
      </c>
      <c r="D31" s="37">
        <v>2191</v>
      </c>
      <c r="E31" s="37"/>
      <c r="F31" s="41" t="s">
        <v>126</v>
      </c>
      <c r="G31" s="26"/>
      <c r="H31" s="35">
        <v>0</v>
      </c>
      <c r="I31" s="35">
        <v>0</v>
      </c>
      <c r="J31" s="26"/>
      <c r="K31" s="35">
        <v>0</v>
      </c>
      <c r="L31" s="35">
        <v>0</v>
      </c>
      <c r="M31" s="35"/>
      <c r="N31" s="35">
        <v>0</v>
      </c>
      <c r="O31" s="35">
        <v>0</v>
      </c>
      <c r="P31" s="26"/>
      <c r="Q31" s="37">
        <f t="shared" si="0"/>
        <v>0</v>
      </c>
      <c r="R31" s="38">
        <f t="shared" si="1"/>
        <v>0</v>
      </c>
    </row>
    <row r="32" spans="1:18" ht="18" hidden="1" x14ac:dyDescent="0.35">
      <c r="A32" s="34">
        <v>25</v>
      </c>
      <c r="B32" s="37" t="s">
        <v>124</v>
      </c>
      <c r="C32" s="36" t="s">
        <v>35</v>
      </c>
      <c r="D32" s="37">
        <v>2191</v>
      </c>
      <c r="E32" s="37"/>
      <c r="F32" s="41" t="s">
        <v>174</v>
      </c>
      <c r="G32" s="26"/>
      <c r="H32" s="35">
        <v>0</v>
      </c>
      <c r="I32" s="35">
        <v>0</v>
      </c>
      <c r="J32" s="26"/>
      <c r="K32" s="35">
        <v>0</v>
      </c>
      <c r="L32" s="35">
        <v>0</v>
      </c>
      <c r="M32" s="35"/>
      <c r="N32" s="35">
        <v>0</v>
      </c>
      <c r="O32" s="35">
        <v>0</v>
      </c>
      <c r="P32" s="26"/>
      <c r="Q32" s="37">
        <f t="shared" si="0"/>
        <v>0</v>
      </c>
      <c r="R32" s="38">
        <f t="shared" si="1"/>
        <v>0</v>
      </c>
    </row>
    <row r="33" spans="1:18" ht="18" x14ac:dyDescent="0.35">
      <c r="A33" s="34">
        <v>26</v>
      </c>
      <c r="B33" s="37" t="s">
        <v>124</v>
      </c>
      <c r="C33" s="36" t="s">
        <v>35</v>
      </c>
      <c r="D33" s="37">
        <v>2122</v>
      </c>
      <c r="E33" s="37"/>
      <c r="F33" s="41" t="s">
        <v>127</v>
      </c>
      <c r="G33" s="26"/>
      <c r="H33" s="35">
        <v>0</v>
      </c>
      <c r="I33" s="35">
        <v>0</v>
      </c>
      <c r="J33" s="26"/>
      <c r="K33" s="35">
        <v>0</v>
      </c>
      <c r="L33" s="35">
        <v>0</v>
      </c>
      <c r="M33" s="35"/>
      <c r="N33" s="35">
        <v>90</v>
      </c>
      <c r="O33" s="35">
        <v>90</v>
      </c>
      <c r="P33" s="26"/>
      <c r="Q33" s="37">
        <f t="shared" si="0"/>
        <v>90</v>
      </c>
      <c r="R33" s="38">
        <f t="shared" si="1"/>
        <v>90</v>
      </c>
    </row>
    <row r="34" spans="1:18" ht="18" x14ac:dyDescent="0.35">
      <c r="A34" s="34">
        <v>27</v>
      </c>
      <c r="B34" s="37" t="s">
        <v>124</v>
      </c>
      <c r="C34" s="36" t="s">
        <v>35</v>
      </c>
      <c r="D34" s="37">
        <v>2122</v>
      </c>
      <c r="E34" s="37"/>
      <c r="F34" s="41" t="s">
        <v>128</v>
      </c>
      <c r="G34" s="26"/>
      <c r="H34" s="35">
        <v>0</v>
      </c>
      <c r="I34" s="35">
        <v>0</v>
      </c>
      <c r="J34" s="26"/>
      <c r="K34" s="35">
        <v>0</v>
      </c>
      <c r="L34" s="35">
        <v>0</v>
      </c>
      <c r="M34" s="26"/>
      <c r="N34" s="35">
        <v>190</v>
      </c>
      <c r="O34" s="35">
        <v>190</v>
      </c>
      <c r="P34" s="26"/>
      <c r="Q34" s="37">
        <f t="shared" si="0"/>
        <v>190</v>
      </c>
      <c r="R34" s="38">
        <f t="shared" si="1"/>
        <v>190</v>
      </c>
    </row>
    <row r="35" spans="1:18" ht="18" x14ac:dyDescent="0.35">
      <c r="A35" s="34">
        <v>28</v>
      </c>
      <c r="B35" s="37" t="s">
        <v>124</v>
      </c>
      <c r="C35" s="36" t="s">
        <v>35</v>
      </c>
      <c r="D35" s="37">
        <v>2123</v>
      </c>
      <c r="E35" s="37"/>
      <c r="F35" s="41" t="s">
        <v>127</v>
      </c>
      <c r="G35" s="26"/>
      <c r="H35" s="35">
        <v>0</v>
      </c>
      <c r="I35" s="35">
        <v>0</v>
      </c>
      <c r="J35" s="26"/>
      <c r="K35" s="35">
        <v>0</v>
      </c>
      <c r="L35" s="35">
        <v>0</v>
      </c>
      <c r="M35" s="26"/>
      <c r="N35" s="35">
        <v>120</v>
      </c>
      <c r="O35" s="35">
        <v>119</v>
      </c>
      <c r="P35" s="26"/>
      <c r="Q35" s="37">
        <f t="shared" si="0"/>
        <v>120</v>
      </c>
      <c r="R35" s="38">
        <f t="shared" si="1"/>
        <v>119</v>
      </c>
    </row>
    <row r="36" spans="1:18" ht="18" hidden="1" x14ac:dyDescent="0.35">
      <c r="A36" s="34">
        <v>29</v>
      </c>
      <c r="B36" s="37" t="s">
        <v>124</v>
      </c>
      <c r="C36" s="36" t="s">
        <v>35</v>
      </c>
      <c r="D36" s="37">
        <v>2123</v>
      </c>
      <c r="E36" s="37"/>
      <c r="F36" s="41" t="s">
        <v>129</v>
      </c>
      <c r="G36" s="26"/>
      <c r="H36" s="35">
        <v>0</v>
      </c>
      <c r="I36" s="35">
        <v>0</v>
      </c>
      <c r="J36" s="26"/>
      <c r="K36" s="35">
        <v>0</v>
      </c>
      <c r="L36" s="35">
        <v>0</v>
      </c>
      <c r="M36" s="26"/>
      <c r="N36" s="35">
        <v>0</v>
      </c>
      <c r="O36" s="35">
        <v>0</v>
      </c>
      <c r="P36" s="26"/>
      <c r="Q36" s="37">
        <f t="shared" si="0"/>
        <v>0</v>
      </c>
      <c r="R36" s="38">
        <f t="shared" si="1"/>
        <v>0</v>
      </c>
    </row>
    <row r="37" spans="1:18" ht="18" hidden="1" x14ac:dyDescent="0.35">
      <c r="A37" s="34">
        <v>30</v>
      </c>
      <c r="B37" s="37" t="s">
        <v>124</v>
      </c>
      <c r="C37" s="36" t="s">
        <v>35</v>
      </c>
      <c r="D37" s="37">
        <v>2123</v>
      </c>
      <c r="E37" s="37"/>
      <c r="F37" s="41" t="s">
        <v>128</v>
      </c>
      <c r="G37" s="26"/>
      <c r="H37" s="35">
        <v>0</v>
      </c>
      <c r="I37" s="35">
        <v>0</v>
      </c>
      <c r="J37" s="26"/>
      <c r="K37" s="35">
        <v>0</v>
      </c>
      <c r="L37" s="35">
        <v>0</v>
      </c>
      <c r="M37" s="26"/>
      <c r="N37" s="35">
        <v>0</v>
      </c>
      <c r="O37" s="35">
        <v>0</v>
      </c>
      <c r="P37" s="26"/>
      <c r="Q37" s="37">
        <f t="shared" si="0"/>
        <v>0</v>
      </c>
      <c r="R37" s="38">
        <f t="shared" si="1"/>
        <v>0</v>
      </c>
    </row>
    <row r="38" spans="1:18" ht="18" x14ac:dyDescent="0.35">
      <c r="A38" s="34">
        <v>31</v>
      </c>
      <c r="B38" s="37" t="s">
        <v>131</v>
      </c>
      <c r="C38" s="36" t="s">
        <v>35</v>
      </c>
      <c r="D38" s="37">
        <v>2123</v>
      </c>
      <c r="E38" s="37"/>
      <c r="F38" s="41" t="s">
        <v>128</v>
      </c>
      <c r="G38" s="26"/>
      <c r="H38" s="35">
        <v>120</v>
      </c>
      <c r="I38" s="35">
        <v>120</v>
      </c>
      <c r="J38" s="26"/>
      <c r="K38" s="35">
        <v>0</v>
      </c>
      <c r="L38" s="35">
        <v>0</v>
      </c>
      <c r="M38" s="26"/>
      <c r="N38" s="35">
        <v>80</v>
      </c>
      <c r="O38" s="35">
        <v>72</v>
      </c>
      <c r="P38" s="26"/>
      <c r="Q38" s="37">
        <f t="shared" si="0"/>
        <v>200</v>
      </c>
      <c r="R38" s="38">
        <f t="shared" si="1"/>
        <v>192</v>
      </c>
    </row>
    <row r="39" spans="1:18" ht="18" hidden="1" x14ac:dyDescent="0.35">
      <c r="A39" s="34">
        <v>32</v>
      </c>
      <c r="B39" s="37" t="s">
        <v>162</v>
      </c>
      <c r="C39" s="42" t="s">
        <v>35</v>
      </c>
      <c r="D39" s="37">
        <v>98814</v>
      </c>
      <c r="E39" s="37">
        <v>304.8</v>
      </c>
      <c r="F39" s="41" t="s">
        <v>10</v>
      </c>
      <c r="G39" s="26"/>
      <c r="H39" s="35">
        <v>0</v>
      </c>
      <c r="I39" s="35">
        <v>0</v>
      </c>
      <c r="J39" s="26"/>
      <c r="K39" s="35">
        <v>0</v>
      </c>
      <c r="L39" s="35">
        <v>0</v>
      </c>
      <c r="M39" s="26"/>
      <c r="N39" s="35">
        <v>0</v>
      </c>
      <c r="O39" s="35">
        <v>0</v>
      </c>
      <c r="P39" s="26"/>
      <c r="Q39" s="37">
        <f t="shared" si="0"/>
        <v>0</v>
      </c>
      <c r="R39" s="38">
        <f t="shared" si="1"/>
        <v>0</v>
      </c>
    </row>
    <row r="40" spans="1:18" ht="18" hidden="1" x14ac:dyDescent="0.35">
      <c r="A40" s="34">
        <v>33</v>
      </c>
      <c r="B40" s="37" t="s">
        <v>39</v>
      </c>
      <c r="C40" s="42" t="s">
        <v>35</v>
      </c>
      <c r="D40" s="37">
        <v>98814</v>
      </c>
      <c r="E40" s="37">
        <v>304.8</v>
      </c>
      <c r="F40" s="41" t="s">
        <v>39</v>
      </c>
      <c r="G40" s="37" t="s">
        <v>96</v>
      </c>
      <c r="H40" s="35">
        <v>0</v>
      </c>
      <c r="I40" s="35">
        <v>0</v>
      </c>
      <c r="J40" s="37"/>
      <c r="K40" s="35">
        <v>0</v>
      </c>
      <c r="L40" s="35">
        <v>0</v>
      </c>
      <c r="M40" s="23"/>
      <c r="N40" s="35">
        <v>0</v>
      </c>
      <c r="O40" s="35">
        <v>0</v>
      </c>
      <c r="P40" s="23"/>
      <c r="Q40" s="37">
        <f t="shared" si="0"/>
        <v>0</v>
      </c>
      <c r="R40" s="38">
        <f>I40+L40+O40</f>
        <v>0</v>
      </c>
    </row>
    <row r="41" spans="1:18" ht="18" hidden="1" x14ac:dyDescent="0.35">
      <c r="A41" s="34">
        <v>34</v>
      </c>
      <c r="B41" s="37" t="s">
        <v>132</v>
      </c>
      <c r="C41" s="42" t="s">
        <v>172</v>
      </c>
      <c r="D41" s="37">
        <v>86805</v>
      </c>
      <c r="E41" s="37"/>
      <c r="F41" s="41" t="s">
        <v>12</v>
      </c>
      <c r="G41" s="37" t="s">
        <v>173</v>
      </c>
      <c r="H41" s="35">
        <v>0</v>
      </c>
      <c r="I41" s="35">
        <v>0</v>
      </c>
      <c r="J41" s="37"/>
      <c r="K41" s="35">
        <v>0</v>
      </c>
      <c r="L41" s="35">
        <v>0</v>
      </c>
      <c r="M41" s="26"/>
      <c r="N41" s="35">
        <v>0</v>
      </c>
      <c r="O41" s="35">
        <v>0</v>
      </c>
      <c r="P41" s="26"/>
      <c r="Q41" s="37">
        <f t="shared" si="0"/>
        <v>0</v>
      </c>
      <c r="R41" s="38">
        <f t="shared" si="1"/>
        <v>0</v>
      </c>
    </row>
    <row r="42" spans="1:18" ht="18" hidden="1" x14ac:dyDescent="0.35">
      <c r="A42" s="34">
        <v>35</v>
      </c>
      <c r="B42" s="37" t="s">
        <v>158</v>
      </c>
      <c r="C42" s="42" t="s">
        <v>35</v>
      </c>
      <c r="D42" s="37">
        <v>98815</v>
      </c>
      <c r="E42" s="37">
        <v>406.4</v>
      </c>
      <c r="F42" s="41" t="s">
        <v>135</v>
      </c>
      <c r="G42" s="37" t="s">
        <v>133</v>
      </c>
      <c r="H42" s="35">
        <v>0</v>
      </c>
      <c r="I42" s="35">
        <v>0</v>
      </c>
      <c r="J42" s="37"/>
      <c r="K42" s="35">
        <v>0</v>
      </c>
      <c r="L42" s="35">
        <v>0</v>
      </c>
      <c r="M42" s="26"/>
      <c r="N42" s="35">
        <v>0</v>
      </c>
      <c r="O42" s="35">
        <v>0</v>
      </c>
      <c r="P42" s="26"/>
      <c r="Q42" s="37">
        <f t="shared" si="0"/>
        <v>0</v>
      </c>
      <c r="R42" s="38">
        <f t="shared" si="1"/>
        <v>0</v>
      </c>
    </row>
    <row r="43" spans="1:18" ht="18" hidden="1" x14ac:dyDescent="0.35">
      <c r="A43" s="34">
        <v>36</v>
      </c>
      <c r="B43" s="37" t="s">
        <v>170</v>
      </c>
      <c r="C43" s="42" t="s">
        <v>35</v>
      </c>
      <c r="D43" s="37">
        <v>98815</v>
      </c>
      <c r="E43" s="37">
        <v>406.4</v>
      </c>
      <c r="F43" s="41" t="s">
        <v>159</v>
      </c>
      <c r="G43" s="37" t="s">
        <v>133</v>
      </c>
      <c r="H43" s="35">
        <v>0</v>
      </c>
      <c r="I43" s="35">
        <v>0</v>
      </c>
      <c r="J43" s="37"/>
      <c r="K43" s="35">
        <v>0</v>
      </c>
      <c r="L43" s="35">
        <v>0</v>
      </c>
      <c r="M43" s="26"/>
      <c r="N43" s="35">
        <v>0</v>
      </c>
      <c r="O43" s="35">
        <v>0</v>
      </c>
      <c r="P43" s="26"/>
      <c r="Q43" s="37">
        <f t="shared" si="0"/>
        <v>0</v>
      </c>
      <c r="R43" s="38">
        <f t="shared" si="1"/>
        <v>0</v>
      </c>
    </row>
    <row r="44" spans="1:18" ht="18" hidden="1" x14ac:dyDescent="0.35">
      <c r="A44" s="34">
        <v>37</v>
      </c>
      <c r="B44" s="37" t="s">
        <v>171</v>
      </c>
      <c r="C44" s="42" t="s">
        <v>141</v>
      </c>
      <c r="D44" s="37">
        <v>82527</v>
      </c>
      <c r="E44" s="37">
        <v>155</v>
      </c>
      <c r="F44" s="41" t="s">
        <v>142</v>
      </c>
      <c r="G44" s="37" t="s">
        <v>96</v>
      </c>
      <c r="H44" s="35">
        <v>0</v>
      </c>
      <c r="I44" s="35">
        <v>0</v>
      </c>
      <c r="J44" s="37"/>
      <c r="K44" s="35">
        <v>0</v>
      </c>
      <c r="L44" s="35">
        <v>0</v>
      </c>
      <c r="M44" s="26"/>
      <c r="N44" s="35">
        <v>0</v>
      </c>
      <c r="O44" s="35">
        <v>0</v>
      </c>
      <c r="P44" s="26"/>
      <c r="Q44" s="37">
        <f t="shared" si="0"/>
        <v>0</v>
      </c>
      <c r="R44" s="38">
        <f t="shared" si="1"/>
        <v>0</v>
      </c>
    </row>
    <row r="45" spans="1:18" ht="18" hidden="1" x14ac:dyDescent="0.35">
      <c r="A45" s="34">
        <v>38</v>
      </c>
      <c r="B45" s="37" t="s">
        <v>143</v>
      </c>
      <c r="C45" s="42" t="s">
        <v>144</v>
      </c>
      <c r="D45" s="37">
        <v>83872</v>
      </c>
      <c r="E45" s="37">
        <v>967.65</v>
      </c>
      <c r="F45" s="41" t="s">
        <v>145</v>
      </c>
      <c r="G45" s="37" t="s">
        <v>136</v>
      </c>
      <c r="H45" s="35">
        <v>0</v>
      </c>
      <c r="I45" s="35">
        <v>0</v>
      </c>
      <c r="J45" s="37"/>
      <c r="K45" s="35">
        <v>0</v>
      </c>
      <c r="L45" s="35">
        <v>0</v>
      </c>
      <c r="M45" s="35"/>
      <c r="N45" s="35">
        <v>0</v>
      </c>
      <c r="O45" s="35">
        <v>0</v>
      </c>
      <c r="P45" s="26"/>
      <c r="Q45" s="37">
        <f t="shared" si="0"/>
        <v>0</v>
      </c>
      <c r="R45" s="38">
        <f t="shared" si="1"/>
        <v>0</v>
      </c>
    </row>
    <row r="46" spans="1:18" ht="18" hidden="1" x14ac:dyDescent="0.35">
      <c r="A46" s="34">
        <v>39</v>
      </c>
      <c r="B46" s="37" t="s">
        <v>146</v>
      </c>
      <c r="C46" s="42" t="s">
        <v>144</v>
      </c>
      <c r="D46" s="37">
        <v>83834</v>
      </c>
      <c r="E46" s="37">
        <v>898.89</v>
      </c>
      <c r="F46" s="41" t="s">
        <v>147</v>
      </c>
      <c r="G46" s="37" t="s">
        <v>96</v>
      </c>
      <c r="H46" s="35">
        <v>0</v>
      </c>
      <c r="I46" s="35">
        <v>0</v>
      </c>
      <c r="J46" s="37"/>
      <c r="K46" s="35">
        <v>0</v>
      </c>
      <c r="L46" s="35">
        <v>0</v>
      </c>
      <c r="M46" s="35"/>
      <c r="N46" s="35">
        <v>0</v>
      </c>
      <c r="O46" s="35">
        <v>0</v>
      </c>
      <c r="P46" s="26"/>
      <c r="Q46" s="37">
        <f t="shared" si="0"/>
        <v>0</v>
      </c>
      <c r="R46" s="38">
        <f>I46+L46+O46</f>
        <v>0</v>
      </c>
    </row>
    <row r="47" spans="1:18" ht="36" hidden="1" x14ac:dyDescent="0.35">
      <c r="A47" s="34">
        <v>40</v>
      </c>
      <c r="B47" s="43" t="s">
        <v>151</v>
      </c>
      <c r="C47" s="36" t="s">
        <v>167</v>
      </c>
      <c r="D47" s="35">
        <v>93293</v>
      </c>
      <c r="E47" s="35">
        <v>16.2</v>
      </c>
      <c r="F47" s="40" t="s">
        <v>169</v>
      </c>
      <c r="G47" s="35" t="s">
        <v>104</v>
      </c>
      <c r="H47" s="35">
        <v>0</v>
      </c>
      <c r="I47" s="35">
        <v>0</v>
      </c>
      <c r="J47" s="37"/>
      <c r="K47" s="35">
        <v>0</v>
      </c>
      <c r="L47" s="35">
        <v>0</v>
      </c>
      <c r="M47" s="35"/>
      <c r="N47" s="35">
        <v>0</v>
      </c>
      <c r="O47" s="35">
        <v>0</v>
      </c>
      <c r="P47" s="35"/>
      <c r="Q47" s="35">
        <f t="shared" si="0"/>
        <v>0</v>
      </c>
      <c r="R47" s="44">
        <f t="shared" si="1"/>
        <v>0</v>
      </c>
    </row>
    <row r="48" spans="1:18" ht="36" x14ac:dyDescent="0.35">
      <c r="A48" s="34">
        <v>41</v>
      </c>
      <c r="B48" s="47" t="s">
        <v>148</v>
      </c>
      <c r="C48" s="36" t="s">
        <v>167</v>
      </c>
      <c r="D48" s="35">
        <v>93290</v>
      </c>
      <c r="E48" s="35">
        <v>2382</v>
      </c>
      <c r="F48" s="40" t="s">
        <v>150</v>
      </c>
      <c r="G48" s="35" t="s">
        <v>113</v>
      </c>
      <c r="H48" s="35">
        <v>2153</v>
      </c>
      <c r="I48" s="35">
        <v>2153</v>
      </c>
      <c r="J48" s="35"/>
      <c r="K48" s="35">
        <v>0</v>
      </c>
      <c r="L48" s="35">
        <v>0</v>
      </c>
      <c r="M48" s="35" t="s">
        <v>168</v>
      </c>
      <c r="N48" s="35">
        <v>0</v>
      </c>
      <c r="O48" s="35">
        <v>0</v>
      </c>
      <c r="P48" s="26"/>
      <c r="Q48" s="35">
        <f t="shared" si="0"/>
        <v>2153</v>
      </c>
      <c r="R48" s="44">
        <f t="shared" si="1"/>
        <v>2153</v>
      </c>
    </row>
    <row r="49" spans="1:18" ht="36" x14ac:dyDescent="0.35">
      <c r="A49" s="34">
        <v>42</v>
      </c>
      <c r="B49" s="47" t="s">
        <v>151</v>
      </c>
      <c r="C49" s="36" t="s">
        <v>167</v>
      </c>
      <c r="D49" s="35">
        <v>93292</v>
      </c>
      <c r="E49" s="35">
        <v>1134</v>
      </c>
      <c r="F49" s="40" t="s">
        <v>150</v>
      </c>
      <c r="G49" s="35" t="s">
        <v>113</v>
      </c>
      <c r="H49" s="35">
        <v>874</v>
      </c>
      <c r="I49" s="35">
        <v>874</v>
      </c>
      <c r="J49" s="37"/>
      <c r="K49" s="35">
        <v>0</v>
      </c>
      <c r="L49" s="35">
        <v>0</v>
      </c>
      <c r="M49" s="35"/>
      <c r="N49" s="35">
        <v>0</v>
      </c>
      <c r="O49" s="35">
        <v>0</v>
      </c>
      <c r="P49" s="26"/>
      <c r="Q49" s="35">
        <f>N49+K49+H49</f>
        <v>874</v>
      </c>
      <c r="R49" s="44">
        <f t="shared" si="1"/>
        <v>874</v>
      </c>
    </row>
  </sheetData>
  <autoFilter ref="A1:R49" xr:uid="{00000000-0009-0000-0000-00000A000000}">
    <filterColumn colId="0" showButton="0">
      <filters>
        <filter val="1"/>
        <filter val="12"/>
        <filter val="13"/>
        <filter val="2"/>
        <filter val="26"/>
        <filter val="27"/>
        <filter val="28"/>
        <filter val="3"/>
        <filter val="31"/>
        <filter val="41"/>
        <filter val="42"/>
        <filter val="7"/>
        <filter val="8"/>
      </filters>
    </filterColumn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9"/>
  <sheetViews>
    <sheetView topLeftCell="C1" zoomScaleNormal="100" workbookViewId="0">
      <selection activeCell="P5" sqref="P5"/>
    </sheetView>
  </sheetViews>
  <sheetFormatPr defaultRowHeight="14.4" x14ac:dyDescent="0.3"/>
  <cols>
    <col min="2" max="2" width="17" customWidth="1"/>
    <col min="3" max="3" width="23.33203125" customWidth="1"/>
    <col min="6" max="6" width="27.109375" customWidth="1"/>
    <col min="10" max="10" width="13.5546875" customWidth="1"/>
    <col min="13" max="13" width="12.109375" customWidth="1"/>
    <col min="16" max="16" width="12.44140625" customWidth="1"/>
    <col min="17" max="17" width="15.88671875" customWidth="1"/>
    <col min="18" max="18" width="15.5546875" customWidth="1"/>
  </cols>
  <sheetData>
    <row r="1" spans="1:18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8" t="s">
        <v>76</v>
      </c>
      <c r="M5" s="29">
        <v>46072</v>
      </c>
      <c r="N5" s="26"/>
      <c r="O5" s="28" t="s">
        <v>76</v>
      </c>
      <c r="P5" s="29" t="s">
        <v>204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56" t="s">
        <v>83</v>
      </c>
      <c r="L6" s="56"/>
      <c r="M6" s="56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94</v>
      </c>
      <c r="C8" s="36" t="s">
        <v>202</v>
      </c>
      <c r="D8" s="35">
        <v>86270</v>
      </c>
      <c r="E8" s="35">
        <v>73</v>
      </c>
      <c r="F8" s="35" t="s">
        <v>92</v>
      </c>
      <c r="G8" s="35" t="s">
        <v>203</v>
      </c>
      <c r="H8" s="35">
        <v>250</v>
      </c>
      <c r="I8" s="35">
        <v>185</v>
      </c>
      <c r="J8" s="35"/>
      <c r="K8" s="35">
        <v>0</v>
      </c>
      <c r="L8" s="35">
        <v>0</v>
      </c>
      <c r="M8" s="35"/>
      <c r="N8" s="35">
        <v>0</v>
      </c>
      <c r="O8" s="35">
        <v>0</v>
      </c>
      <c r="P8" s="35"/>
      <c r="Q8" s="37">
        <f>N8+K8+H8</f>
        <v>250</v>
      </c>
      <c r="R8" s="38">
        <f>I8+L8+O8</f>
        <v>185</v>
      </c>
    </row>
    <row r="9" spans="1:18" ht="18" x14ac:dyDescent="0.35">
      <c r="A9" s="34">
        <v>2</v>
      </c>
      <c r="B9" s="35" t="s">
        <v>94</v>
      </c>
      <c r="C9" s="36" t="s">
        <v>184</v>
      </c>
      <c r="D9" s="35">
        <v>96720</v>
      </c>
      <c r="E9" s="35">
        <v>5700</v>
      </c>
      <c r="F9" s="35" t="s">
        <v>92</v>
      </c>
      <c r="G9" s="35" t="s">
        <v>96</v>
      </c>
      <c r="H9" s="35">
        <v>0</v>
      </c>
      <c r="I9" s="35">
        <v>0</v>
      </c>
      <c r="J9" s="35"/>
      <c r="K9" s="35">
        <v>0</v>
      </c>
      <c r="L9" s="35">
        <v>0</v>
      </c>
      <c r="M9" s="35"/>
      <c r="N9" s="35">
        <v>0</v>
      </c>
      <c r="O9" s="35">
        <v>0</v>
      </c>
      <c r="P9" s="35"/>
      <c r="Q9" s="37">
        <f t="shared" ref="Q9:Q48" si="0">N9+K9+H9</f>
        <v>0</v>
      </c>
      <c r="R9" s="38">
        <f t="shared" ref="R9:R49" si="1">I9+L9+O9</f>
        <v>0</v>
      </c>
    </row>
    <row r="10" spans="1:18" ht="18" x14ac:dyDescent="0.35">
      <c r="A10" s="34">
        <v>3</v>
      </c>
      <c r="B10" s="35" t="s">
        <v>94</v>
      </c>
      <c r="C10" s="36" t="s">
        <v>172</v>
      </c>
      <c r="D10" s="35">
        <v>99721</v>
      </c>
      <c r="E10" s="35">
        <v>245</v>
      </c>
      <c r="F10" s="35" t="s">
        <v>191</v>
      </c>
      <c r="G10" s="35" t="s">
        <v>96</v>
      </c>
      <c r="H10" s="35">
        <v>0</v>
      </c>
      <c r="I10" s="35">
        <v>0</v>
      </c>
      <c r="J10" s="35"/>
      <c r="K10" s="35">
        <v>0</v>
      </c>
      <c r="L10" s="35">
        <v>0</v>
      </c>
      <c r="M10" s="35"/>
      <c r="N10" s="35">
        <v>0</v>
      </c>
      <c r="O10" s="35">
        <v>0</v>
      </c>
      <c r="P10" s="35"/>
      <c r="Q10" s="37">
        <f t="shared" si="0"/>
        <v>0</v>
      </c>
      <c r="R10" s="38">
        <f t="shared" si="1"/>
        <v>0</v>
      </c>
    </row>
    <row r="11" spans="1:18" ht="18" x14ac:dyDescent="0.35">
      <c r="A11" s="34"/>
      <c r="B11" s="35" t="s">
        <v>94</v>
      </c>
      <c r="C11" s="36" t="s">
        <v>35</v>
      </c>
      <c r="D11" s="35">
        <v>98808</v>
      </c>
      <c r="E11" s="35">
        <v>76.2</v>
      </c>
      <c r="F11" s="35" t="s">
        <v>192</v>
      </c>
      <c r="G11" s="35" t="s">
        <v>110</v>
      </c>
      <c r="H11" s="35">
        <v>0</v>
      </c>
      <c r="I11" s="35">
        <v>0</v>
      </c>
      <c r="J11" s="35"/>
      <c r="K11" s="35">
        <v>0</v>
      </c>
      <c r="L11" s="35">
        <v>0</v>
      </c>
      <c r="M11" s="35"/>
      <c r="N11" s="35">
        <v>0</v>
      </c>
      <c r="O11" s="35">
        <v>0</v>
      </c>
      <c r="P11" s="35"/>
      <c r="Q11" s="37"/>
      <c r="R11" s="38"/>
    </row>
    <row r="12" spans="1:18" ht="18" x14ac:dyDescent="0.35">
      <c r="A12" s="34">
        <v>4</v>
      </c>
      <c r="B12" s="35" t="s">
        <v>181</v>
      </c>
      <c r="C12" s="36" t="s">
        <v>97</v>
      </c>
      <c r="D12" s="35">
        <v>86308</v>
      </c>
      <c r="E12" s="35">
        <v>55.88</v>
      </c>
      <c r="F12" s="35" t="s">
        <v>166</v>
      </c>
      <c r="G12" s="35" t="s">
        <v>96</v>
      </c>
      <c r="H12" s="35">
        <v>360</v>
      </c>
      <c r="I12" s="35">
        <v>300</v>
      </c>
      <c r="J12" s="35"/>
      <c r="K12" s="35">
        <v>0</v>
      </c>
      <c r="L12" s="35">
        <v>0</v>
      </c>
      <c r="M12" s="35"/>
      <c r="N12" s="35">
        <v>0</v>
      </c>
      <c r="O12" s="35">
        <v>0</v>
      </c>
      <c r="P12" s="35"/>
      <c r="Q12" s="37">
        <f t="shared" si="0"/>
        <v>360</v>
      </c>
      <c r="R12" s="38">
        <f t="shared" si="1"/>
        <v>300</v>
      </c>
    </row>
    <row r="13" spans="1:18" ht="18" x14ac:dyDescent="0.35">
      <c r="A13" s="34">
        <v>5</v>
      </c>
      <c r="B13" s="35" t="s">
        <v>182</v>
      </c>
      <c r="C13" s="36" t="s">
        <v>97</v>
      </c>
      <c r="D13" s="35">
        <v>86308</v>
      </c>
      <c r="E13" s="35">
        <v>55.88</v>
      </c>
      <c r="F13" s="35" t="s">
        <v>166</v>
      </c>
      <c r="G13" s="35" t="s">
        <v>96</v>
      </c>
      <c r="H13" s="35">
        <v>300</v>
      </c>
      <c r="I13" s="35">
        <v>240</v>
      </c>
      <c r="J13" s="35"/>
      <c r="K13" s="35">
        <v>0</v>
      </c>
      <c r="L13" s="35">
        <v>0</v>
      </c>
      <c r="M13" s="35"/>
      <c r="N13" s="35">
        <v>0</v>
      </c>
      <c r="O13" s="35">
        <v>0</v>
      </c>
      <c r="P13" s="35"/>
      <c r="Q13" s="37">
        <f t="shared" si="0"/>
        <v>300</v>
      </c>
      <c r="R13" s="38">
        <f t="shared" si="1"/>
        <v>240</v>
      </c>
    </row>
    <row r="14" spans="1:18" ht="18" x14ac:dyDescent="0.35">
      <c r="A14" s="34">
        <v>6</v>
      </c>
      <c r="B14" s="35" t="s">
        <v>105</v>
      </c>
      <c r="C14" s="36" t="s">
        <v>95</v>
      </c>
      <c r="D14" s="35">
        <v>93799</v>
      </c>
      <c r="E14" s="35">
        <v>76.2</v>
      </c>
      <c r="F14" s="35" t="s">
        <v>92</v>
      </c>
      <c r="G14" s="35" t="s">
        <v>96</v>
      </c>
      <c r="H14" s="35">
        <v>100</v>
      </c>
      <c r="I14" s="35">
        <v>80</v>
      </c>
      <c r="J14" s="35"/>
      <c r="K14" s="35">
        <v>0</v>
      </c>
      <c r="L14" s="35">
        <v>0</v>
      </c>
      <c r="M14" s="35"/>
      <c r="N14" s="35">
        <v>0</v>
      </c>
      <c r="O14" s="35">
        <v>0</v>
      </c>
      <c r="P14" s="35"/>
      <c r="Q14" s="37">
        <f t="shared" si="0"/>
        <v>100</v>
      </c>
      <c r="R14" s="38">
        <f t="shared" si="1"/>
        <v>80</v>
      </c>
    </row>
    <row r="15" spans="1:18" ht="18" x14ac:dyDescent="0.35">
      <c r="A15" s="34">
        <v>7</v>
      </c>
      <c r="B15" s="35" t="s">
        <v>106</v>
      </c>
      <c r="C15" s="36" t="s">
        <v>95</v>
      </c>
      <c r="D15" s="35">
        <v>86308</v>
      </c>
      <c r="E15" s="35">
        <v>55.88</v>
      </c>
      <c r="F15" s="35" t="s">
        <v>92</v>
      </c>
      <c r="G15" s="35" t="s">
        <v>163</v>
      </c>
      <c r="H15" s="35">
        <v>140</v>
      </c>
      <c r="I15" s="35">
        <v>115</v>
      </c>
      <c r="J15" s="35"/>
      <c r="K15" s="35">
        <v>0</v>
      </c>
      <c r="L15" s="35">
        <v>0</v>
      </c>
      <c r="M15" s="35"/>
      <c r="N15" s="35">
        <v>0</v>
      </c>
      <c r="O15" s="35">
        <v>0</v>
      </c>
      <c r="P15" s="35"/>
      <c r="Q15" s="37">
        <f t="shared" si="0"/>
        <v>140</v>
      </c>
      <c r="R15" s="38">
        <f t="shared" si="1"/>
        <v>115</v>
      </c>
    </row>
    <row r="16" spans="1:18" ht="18" x14ac:dyDescent="0.35">
      <c r="A16" s="34">
        <v>8</v>
      </c>
      <c r="B16" s="35" t="s">
        <v>108</v>
      </c>
      <c r="C16" s="36" t="s">
        <v>95</v>
      </c>
      <c r="D16" s="35">
        <v>86308</v>
      </c>
      <c r="E16" s="35">
        <v>55.88</v>
      </c>
      <c r="F16" s="35" t="s">
        <v>92</v>
      </c>
      <c r="G16" s="35" t="s">
        <v>96</v>
      </c>
      <c r="H16" s="35">
        <v>0</v>
      </c>
      <c r="I16" s="35">
        <v>0</v>
      </c>
      <c r="J16" s="35"/>
      <c r="K16" s="35">
        <v>0</v>
      </c>
      <c r="L16" s="35">
        <v>0</v>
      </c>
      <c r="M16" s="35" t="s">
        <v>165</v>
      </c>
      <c r="N16" s="35">
        <v>0</v>
      </c>
      <c r="O16" s="35">
        <v>0</v>
      </c>
      <c r="P16" s="35"/>
      <c r="Q16" s="37">
        <f t="shared" si="0"/>
        <v>0</v>
      </c>
      <c r="R16" s="38">
        <f t="shared" si="1"/>
        <v>0</v>
      </c>
    </row>
    <row r="17" spans="1:18" ht="18" x14ac:dyDescent="0.35">
      <c r="A17" s="34">
        <v>9</v>
      </c>
      <c r="B17" s="35" t="s">
        <v>185</v>
      </c>
      <c r="C17" s="36" t="s">
        <v>97</v>
      </c>
      <c r="D17" s="35">
        <v>93799</v>
      </c>
      <c r="E17" s="35">
        <v>86.36</v>
      </c>
      <c r="F17" s="35" t="s">
        <v>186</v>
      </c>
      <c r="G17" s="35" t="s">
        <v>187</v>
      </c>
      <c r="H17" s="35">
        <v>350</v>
      </c>
      <c r="I17" s="35">
        <v>270</v>
      </c>
      <c r="J17" s="35"/>
      <c r="K17" s="35">
        <v>0</v>
      </c>
      <c r="L17" s="35">
        <v>0</v>
      </c>
      <c r="M17" s="35"/>
      <c r="N17" s="35">
        <v>0</v>
      </c>
      <c r="O17" s="35">
        <v>0</v>
      </c>
      <c r="P17" s="35"/>
      <c r="Q17" s="37">
        <f t="shared" si="0"/>
        <v>350</v>
      </c>
      <c r="R17" s="38">
        <f t="shared" si="1"/>
        <v>270</v>
      </c>
    </row>
    <row r="18" spans="1:18" ht="18" x14ac:dyDescent="0.35">
      <c r="A18" s="34">
        <v>10</v>
      </c>
      <c r="B18" s="35" t="s">
        <v>185</v>
      </c>
      <c r="C18" s="36" t="s">
        <v>97</v>
      </c>
      <c r="D18" s="35">
        <v>93799</v>
      </c>
      <c r="E18" s="35">
        <v>86.36</v>
      </c>
      <c r="F18" s="35" t="s">
        <v>186</v>
      </c>
      <c r="G18" s="35" t="s">
        <v>187</v>
      </c>
      <c r="H18" s="35">
        <v>900</v>
      </c>
      <c r="I18" s="35">
        <v>780</v>
      </c>
      <c r="J18" s="35"/>
      <c r="K18" s="35">
        <v>0</v>
      </c>
      <c r="L18" s="35">
        <v>0</v>
      </c>
      <c r="M18" s="35"/>
      <c r="N18" s="35">
        <v>0</v>
      </c>
      <c r="O18" s="35">
        <v>0</v>
      </c>
      <c r="P18" s="35"/>
      <c r="Q18" s="37">
        <f t="shared" si="0"/>
        <v>900</v>
      </c>
      <c r="R18" s="38">
        <f t="shared" si="1"/>
        <v>780</v>
      </c>
    </row>
    <row r="19" spans="1:18" ht="18" x14ac:dyDescent="0.35">
      <c r="A19" s="34">
        <v>11</v>
      </c>
      <c r="B19" s="35" t="s">
        <v>102</v>
      </c>
      <c r="C19" s="36" t="s">
        <v>35</v>
      </c>
      <c r="D19" s="35">
        <v>98808</v>
      </c>
      <c r="E19" s="35">
        <v>418.2</v>
      </c>
      <c r="F19" s="35">
        <v>90</v>
      </c>
      <c r="G19" s="35" t="s">
        <v>175</v>
      </c>
      <c r="H19" s="35">
        <v>0</v>
      </c>
      <c r="I19" s="35">
        <v>0</v>
      </c>
      <c r="J19" s="35"/>
      <c r="K19" s="35">
        <v>0</v>
      </c>
      <c r="L19" s="35">
        <v>0</v>
      </c>
      <c r="M19" s="35"/>
      <c r="N19" s="35">
        <v>0</v>
      </c>
      <c r="O19" s="35">
        <v>0</v>
      </c>
      <c r="P19" s="35"/>
      <c r="Q19" s="37">
        <f t="shared" si="0"/>
        <v>0</v>
      </c>
      <c r="R19" s="38">
        <f t="shared" si="1"/>
        <v>0</v>
      </c>
    </row>
    <row r="20" spans="1:18" ht="18" x14ac:dyDescent="0.35">
      <c r="A20" s="34">
        <v>12</v>
      </c>
      <c r="B20" s="35" t="s">
        <v>111</v>
      </c>
      <c r="C20" s="36" t="s">
        <v>35</v>
      </c>
      <c r="D20" s="35">
        <v>2123</v>
      </c>
      <c r="E20" s="35"/>
      <c r="F20" s="35" t="s">
        <v>114</v>
      </c>
      <c r="G20" s="35" t="s">
        <v>154</v>
      </c>
      <c r="H20" s="35">
        <v>0</v>
      </c>
      <c r="I20" s="35">
        <v>0</v>
      </c>
      <c r="J20" s="35"/>
      <c r="K20" s="35">
        <v>0</v>
      </c>
      <c r="L20" s="35">
        <v>0</v>
      </c>
      <c r="M20" s="35"/>
      <c r="N20" s="35">
        <v>0</v>
      </c>
      <c r="O20" s="35">
        <v>0</v>
      </c>
      <c r="P20" s="35"/>
      <c r="Q20" s="37">
        <f t="shared" si="0"/>
        <v>0</v>
      </c>
      <c r="R20" s="38">
        <f t="shared" si="1"/>
        <v>0</v>
      </c>
    </row>
    <row r="21" spans="1:18" ht="18" x14ac:dyDescent="0.35">
      <c r="A21" s="34">
        <v>13</v>
      </c>
      <c r="B21" s="35" t="s">
        <v>111</v>
      </c>
      <c r="C21" s="36" t="s">
        <v>35</v>
      </c>
      <c r="D21" s="35">
        <v>98811</v>
      </c>
      <c r="E21" s="35">
        <v>11.05</v>
      </c>
      <c r="F21" s="35">
        <v>90</v>
      </c>
      <c r="G21" s="35" t="s">
        <v>155</v>
      </c>
      <c r="H21" s="35">
        <v>0</v>
      </c>
      <c r="I21" s="35">
        <v>0</v>
      </c>
      <c r="J21" s="35"/>
      <c r="K21" s="35">
        <v>0</v>
      </c>
      <c r="L21" s="35">
        <v>0</v>
      </c>
      <c r="M21" s="35"/>
      <c r="N21" s="35">
        <v>0</v>
      </c>
      <c r="O21" s="35">
        <v>0</v>
      </c>
      <c r="P21" s="35"/>
      <c r="Q21" s="37">
        <f t="shared" si="0"/>
        <v>0</v>
      </c>
      <c r="R21" s="38">
        <f t="shared" si="1"/>
        <v>0</v>
      </c>
    </row>
    <row r="22" spans="1:18" ht="18" x14ac:dyDescent="0.35">
      <c r="A22" s="34">
        <v>14</v>
      </c>
      <c r="B22" s="35" t="s">
        <v>111</v>
      </c>
      <c r="C22" s="36" t="s">
        <v>35</v>
      </c>
      <c r="D22" s="35">
        <v>98811</v>
      </c>
      <c r="E22" s="35">
        <v>20.059999999999999</v>
      </c>
      <c r="F22" s="35">
        <v>90</v>
      </c>
      <c r="G22" s="35" t="s">
        <v>155</v>
      </c>
      <c r="H22" s="35">
        <v>0</v>
      </c>
      <c r="I22" s="35">
        <v>0</v>
      </c>
      <c r="J22" s="35"/>
      <c r="K22" s="35">
        <v>0</v>
      </c>
      <c r="L22" s="35">
        <v>0</v>
      </c>
      <c r="M22" s="35"/>
      <c r="N22" s="35">
        <v>0</v>
      </c>
      <c r="O22" s="35">
        <v>0</v>
      </c>
      <c r="P22" s="35"/>
      <c r="Q22" s="37">
        <f t="shared" si="0"/>
        <v>0</v>
      </c>
      <c r="R22" s="38">
        <f t="shared" si="1"/>
        <v>0</v>
      </c>
    </row>
    <row r="23" spans="1:18" ht="18" x14ac:dyDescent="0.35">
      <c r="A23" s="34">
        <v>15</v>
      </c>
      <c r="B23" s="35" t="s">
        <v>121</v>
      </c>
      <c r="C23" s="36" t="s">
        <v>35</v>
      </c>
      <c r="D23" s="35">
        <v>98809</v>
      </c>
      <c r="E23" s="35">
        <v>152.4</v>
      </c>
      <c r="F23" s="40" t="s">
        <v>190</v>
      </c>
      <c r="G23" s="35" t="s">
        <v>154</v>
      </c>
      <c r="H23" s="35">
        <v>0</v>
      </c>
      <c r="I23" s="35">
        <v>0</v>
      </c>
      <c r="J23" s="35"/>
      <c r="K23" s="35">
        <v>0</v>
      </c>
      <c r="L23" s="35">
        <v>0</v>
      </c>
      <c r="M23" s="26"/>
      <c r="N23" s="35">
        <v>0</v>
      </c>
      <c r="O23" s="35">
        <v>0</v>
      </c>
      <c r="P23" s="26"/>
      <c r="Q23" s="37">
        <f t="shared" si="0"/>
        <v>0</v>
      </c>
      <c r="R23" s="38">
        <f t="shared" si="1"/>
        <v>0</v>
      </c>
    </row>
    <row r="24" spans="1:18" ht="18" x14ac:dyDescent="0.35">
      <c r="A24" s="34">
        <v>16</v>
      </c>
      <c r="B24" s="35" t="s">
        <v>116</v>
      </c>
      <c r="C24" s="36" t="s">
        <v>35</v>
      </c>
      <c r="D24" s="35">
        <v>98808</v>
      </c>
      <c r="E24" s="35">
        <v>428.75</v>
      </c>
      <c r="F24" s="40" t="s">
        <v>122</v>
      </c>
      <c r="G24" s="35" t="s">
        <v>154</v>
      </c>
      <c r="H24" s="35">
        <v>0</v>
      </c>
      <c r="I24" s="35">
        <v>0</v>
      </c>
      <c r="J24" s="35"/>
      <c r="K24" s="35">
        <v>0</v>
      </c>
      <c r="L24" s="35">
        <v>0</v>
      </c>
      <c r="M24" s="26"/>
      <c r="N24" s="35">
        <v>0</v>
      </c>
      <c r="O24" s="35">
        <v>0</v>
      </c>
      <c r="P24" s="26"/>
      <c r="Q24" s="37">
        <f t="shared" si="0"/>
        <v>0</v>
      </c>
      <c r="R24" s="38">
        <f t="shared" si="1"/>
        <v>0</v>
      </c>
    </row>
    <row r="25" spans="1:18" ht="18" x14ac:dyDescent="0.35">
      <c r="A25" s="34">
        <v>17</v>
      </c>
      <c r="B25" s="35" t="s">
        <v>116</v>
      </c>
      <c r="C25" s="36" t="s">
        <v>35</v>
      </c>
      <c r="D25" s="35">
        <v>2123</v>
      </c>
      <c r="E25" s="35"/>
      <c r="F25" s="35" t="s">
        <v>123</v>
      </c>
      <c r="G25" s="35" t="s">
        <v>154</v>
      </c>
      <c r="H25" s="35">
        <v>0</v>
      </c>
      <c r="I25" s="35">
        <v>0</v>
      </c>
      <c r="J25" s="35"/>
      <c r="K25" s="35">
        <v>0</v>
      </c>
      <c r="L25" s="35">
        <v>0</v>
      </c>
      <c r="M25" s="26"/>
      <c r="N25" s="35">
        <v>0</v>
      </c>
      <c r="O25" s="35">
        <v>0</v>
      </c>
      <c r="P25" s="26"/>
      <c r="Q25" s="37">
        <f t="shared" si="0"/>
        <v>0</v>
      </c>
      <c r="R25" s="38">
        <f t="shared" si="1"/>
        <v>0</v>
      </c>
    </row>
    <row r="26" spans="1:18" ht="18" x14ac:dyDescent="0.35">
      <c r="A26" s="34">
        <v>18</v>
      </c>
      <c r="B26" s="35" t="s">
        <v>119</v>
      </c>
      <c r="C26" s="36" t="s">
        <v>35</v>
      </c>
      <c r="D26" s="35">
        <v>98808</v>
      </c>
      <c r="E26" s="35">
        <v>428.75</v>
      </c>
      <c r="F26" s="40" t="s">
        <v>40</v>
      </c>
      <c r="G26" s="35" t="s">
        <v>118</v>
      </c>
      <c r="H26" s="35">
        <v>0</v>
      </c>
      <c r="I26" s="35">
        <v>0</v>
      </c>
      <c r="J26" s="35"/>
      <c r="K26" s="35">
        <v>0</v>
      </c>
      <c r="L26" s="35">
        <v>0</v>
      </c>
      <c r="M26" s="26"/>
      <c r="N26" s="35">
        <v>0</v>
      </c>
      <c r="O26" s="35">
        <v>0</v>
      </c>
      <c r="P26" s="26"/>
      <c r="Q26" s="37">
        <f t="shared" si="0"/>
        <v>0</v>
      </c>
      <c r="R26" s="38">
        <f t="shared" si="1"/>
        <v>0</v>
      </c>
    </row>
    <row r="27" spans="1:18" ht="18" x14ac:dyDescent="0.35">
      <c r="A27" s="34">
        <v>19</v>
      </c>
      <c r="B27" s="35" t="s">
        <v>119</v>
      </c>
      <c r="C27" s="36" t="s">
        <v>35</v>
      </c>
      <c r="D27" s="35">
        <v>98809</v>
      </c>
      <c r="E27" s="35">
        <v>152.4</v>
      </c>
      <c r="F27" s="40" t="s">
        <v>122</v>
      </c>
      <c r="G27" s="35" t="s">
        <v>120</v>
      </c>
      <c r="H27" s="35">
        <v>0</v>
      </c>
      <c r="I27" s="35">
        <v>0</v>
      </c>
      <c r="J27" s="35"/>
      <c r="K27" s="35">
        <v>0</v>
      </c>
      <c r="L27" s="35">
        <v>0</v>
      </c>
      <c r="M27" s="26"/>
      <c r="N27" s="35">
        <v>0</v>
      </c>
      <c r="O27" s="35">
        <v>0</v>
      </c>
      <c r="P27" s="26"/>
      <c r="Q27" s="37">
        <f t="shared" si="0"/>
        <v>0</v>
      </c>
      <c r="R27" s="38">
        <f t="shared" si="1"/>
        <v>0</v>
      </c>
    </row>
    <row r="28" spans="1:18" ht="18" x14ac:dyDescent="0.35">
      <c r="A28" s="34">
        <v>20</v>
      </c>
      <c r="B28" s="35" t="s">
        <v>176</v>
      </c>
      <c r="C28" s="36" t="s">
        <v>35</v>
      </c>
      <c r="D28" s="35">
        <v>98808</v>
      </c>
      <c r="E28" s="35">
        <v>418.2</v>
      </c>
      <c r="F28" s="40" t="s">
        <v>122</v>
      </c>
      <c r="G28" s="35" t="s">
        <v>118</v>
      </c>
      <c r="H28" s="35">
        <v>0</v>
      </c>
      <c r="I28" s="35">
        <v>0</v>
      </c>
      <c r="J28" s="35"/>
      <c r="K28" s="35">
        <v>0</v>
      </c>
      <c r="L28" s="35">
        <v>0</v>
      </c>
      <c r="M28" s="26"/>
      <c r="N28" s="35">
        <v>0</v>
      </c>
      <c r="O28" s="35">
        <v>0</v>
      </c>
      <c r="P28" s="26"/>
      <c r="Q28" s="37">
        <f t="shared" si="0"/>
        <v>0</v>
      </c>
      <c r="R28" s="38">
        <f t="shared" si="1"/>
        <v>0</v>
      </c>
    </row>
    <row r="29" spans="1:18" ht="18" x14ac:dyDescent="0.35">
      <c r="A29" s="34">
        <v>21</v>
      </c>
      <c r="B29" s="35" t="s">
        <v>121</v>
      </c>
      <c r="C29" s="36" t="s">
        <v>35</v>
      </c>
      <c r="D29" s="35">
        <v>98810</v>
      </c>
      <c r="E29" s="35">
        <v>105.4</v>
      </c>
      <c r="F29" s="40" t="s">
        <v>122</v>
      </c>
      <c r="G29" s="35" t="s">
        <v>118</v>
      </c>
      <c r="H29" s="35">
        <v>0</v>
      </c>
      <c r="I29" s="35">
        <v>0</v>
      </c>
      <c r="J29" s="35"/>
      <c r="K29" s="35">
        <v>0</v>
      </c>
      <c r="L29" s="35">
        <v>0</v>
      </c>
      <c r="M29" s="35"/>
      <c r="N29" s="35">
        <v>0</v>
      </c>
      <c r="O29" s="35">
        <v>0</v>
      </c>
      <c r="P29" s="26"/>
      <c r="Q29" s="37">
        <f t="shared" si="0"/>
        <v>0</v>
      </c>
      <c r="R29" s="38">
        <f t="shared" si="1"/>
        <v>0</v>
      </c>
    </row>
    <row r="30" spans="1:18" ht="18" x14ac:dyDescent="0.35">
      <c r="A30" s="34">
        <v>22</v>
      </c>
      <c r="B30" s="35" t="s">
        <v>119</v>
      </c>
      <c r="C30" s="36" t="s">
        <v>35</v>
      </c>
      <c r="D30" s="35">
        <v>98812</v>
      </c>
      <c r="E30" s="35"/>
      <c r="F30" s="40" t="s">
        <v>117</v>
      </c>
      <c r="G30" s="35" t="s">
        <v>118</v>
      </c>
      <c r="H30" s="35">
        <v>0</v>
      </c>
      <c r="I30" s="35">
        <v>0</v>
      </c>
      <c r="J30" s="35"/>
      <c r="K30" s="35">
        <v>0</v>
      </c>
      <c r="L30" s="35">
        <v>0</v>
      </c>
      <c r="M30" s="35"/>
      <c r="N30" s="35">
        <v>0</v>
      </c>
      <c r="O30" s="35">
        <v>0</v>
      </c>
      <c r="P30" s="26"/>
      <c r="Q30" s="37">
        <f t="shared" si="0"/>
        <v>0</v>
      </c>
      <c r="R30" s="38">
        <f t="shared" si="1"/>
        <v>0</v>
      </c>
    </row>
    <row r="31" spans="1:18" ht="18" x14ac:dyDescent="0.35">
      <c r="A31" s="34">
        <v>23</v>
      </c>
      <c r="B31" s="37" t="s">
        <v>124</v>
      </c>
      <c r="C31" s="36" t="s">
        <v>35</v>
      </c>
      <c r="D31" s="37">
        <v>2191</v>
      </c>
      <c r="E31" s="37"/>
      <c r="F31" s="41" t="s">
        <v>126</v>
      </c>
      <c r="G31" s="26"/>
      <c r="H31" s="35">
        <v>0</v>
      </c>
      <c r="I31" s="35">
        <v>0</v>
      </c>
      <c r="J31" s="26"/>
      <c r="K31" s="35">
        <v>0</v>
      </c>
      <c r="L31" s="35">
        <v>0</v>
      </c>
      <c r="M31" s="35"/>
      <c r="N31" s="35">
        <v>0</v>
      </c>
      <c r="O31" s="35">
        <v>0</v>
      </c>
      <c r="P31" s="26"/>
      <c r="Q31" s="37">
        <f t="shared" si="0"/>
        <v>0</v>
      </c>
      <c r="R31" s="38">
        <f t="shared" si="1"/>
        <v>0</v>
      </c>
    </row>
    <row r="32" spans="1:18" ht="18" x14ac:dyDescent="0.35">
      <c r="A32" s="34">
        <v>24</v>
      </c>
      <c r="B32" s="37" t="s">
        <v>124</v>
      </c>
      <c r="C32" s="36" t="s">
        <v>35</v>
      </c>
      <c r="D32" s="37">
        <v>2191</v>
      </c>
      <c r="E32" s="37"/>
      <c r="F32" s="41" t="s">
        <v>174</v>
      </c>
      <c r="G32" s="26"/>
      <c r="H32" s="35">
        <v>70</v>
      </c>
      <c r="I32" s="35">
        <v>61</v>
      </c>
      <c r="J32" s="26"/>
      <c r="K32" s="35">
        <v>0</v>
      </c>
      <c r="L32" s="35">
        <v>0</v>
      </c>
      <c r="M32" s="35"/>
      <c r="N32" s="35">
        <v>0</v>
      </c>
      <c r="O32" s="35">
        <v>0</v>
      </c>
      <c r="P32" s="26"/>
      <c r="Q32" s="37">
        <f t="shared" si="0"/>
        <v>70</v>
      </c>
      <c r="R32" s="38">
        <f t="shared" si="1"/>
        <v>61</v>
      </c>
    </row>
    <row r="33" spans="1:18" ht="18" x14ac:dyDescent="0.35">
      <c r="A33" s="34">
        <v>25</v>
      </c>
      <c r="B33" s="37" t="s">
        <v>124</v>
      </c>
      <c r="C33" s="36" t="s">
        <v>35</v>
      </c>
      <c r="D33" s="37">
        <v>2122</v>
      </c>
      <c r="E33" s="37"/>
      <c r="F33" s="41" t="s">
        <v>127</v>
      </c>
      <c r="G33" s="26"/>
      <c r="H33" s="35">
        <v>0</v>
      </c>
      <c r="I33" s="35">
        <v>0</v>
      </c>
      <c r="J33" s="26"/>
      <c r="K33" s="35">
        <v>0</v>
      </c>
      <c r="L33" s="35">
        <v>0</v>
      </c>
      <c r="M33" s="35"/>
      <c r="N33" s="35">
        <v>0</v>
      </c>
      <c r="O33" s="35">
        <v>0</v>
      </c>
      <c r="P33" s="26"/>
      <c r="Q33" s="37">
        <f t="shared" si="0"/>
        <v>0</v>
      </c>
      <c r="R33" s="38">
        <f t="shared" si="1"/>
        <v>0</v>
      </c>
    </row>
    <row r="34" spans="1:18" ht="18" x14ac:dyDescent="0.35">
      <c r="A34" s="34">
        <v>26</v>
      </c>
      <c r="B34" s="37" t="s">
        <v>124</v>
      </c>
      <c r="C34" s="36" t="s">
        <v>35</v>
      </c>
      <c r="D34" s="37">
        <v>2122</v>
      </c>
      <c r="E34" s="37"/>
      <c r="F34" s="41" t="s">
        <v>128</v>
      </c>
      <c r="G34" s="26"/>
      <c r="H34" s="35">
        <v>0</v>
      </c>
      <c r="I34" s="35">
        <v>0</v>
      </c>
      <c r="J34" s="26"/>
      <c r="K34" s="35">
        <v>0</v>
      </c>
      <c r="L34" s="35">
        <v>0</v>
      </c>
      <c r="M34" s="26"/>
      <c r="N34" s="35">
        <v>0</v>
      </c>
      <c r="O34" s="35">
        <v>0</v>
      </c>
      <c r="P34" s="26"/>
      <c r="Q34" s="37">
        <f t="shared" si="0"/>
        <v>0</v>
      </c>
      <c r="R34" s="38">
        <f t="shared" si="1"/>
        <v>0</v>
      </c>
    </row>
    <row r="35" spans="1:18" ht="18" x14ac:dyDescent="0.35">
      <c r="A35" s="34">
        <v>27</v>
      </c>
      <c r="B35" s="37" t="s">
        <v>124</v>
      </c>
      <c r="C35" s="36" t="s">
        <v>35</v>
      </c>
      <c r="D35" s="37">
        <v>2123</v>
      </c>
      <c r="E35" s="37"/>
      <c r="F35" s="41" t="s">
        <v>127</v>
      </c>
      <c r="G35" s="26"/>
      <c r="H35" s="35">
        <v>0</v>
      </c>
      <c r="I35" s="35">
        <v>0</v>
      </c>
      <c r="J35" s="26"/>
      <c r="K35" s="35">
        <v>0</v>
      </c>
      <c r="L35" s="35">
        <v>0</v>
      </c>
      <c r="M35" s="26"/>
      <c r="N35" s="35">
        <v>0</v>
      </c>
      <c r="O35" s="35">
        <v>0</v>
      </c>
      <c r="P35" s="26"/>
      <c r="Q35" s="37">
        <f t="shared" si="0"/>
        <v>0</v>
      </c>
      <c r="R35" s="38">
        <f t="shared" si="1"/>
        <v>0</v>
      </c>
    </row>
    <row r="36" spans="1:18" ht="18" x14ac:dyDescent="0.35">
      <c r="A36" s="34">
        <v>28</v>
      </c>
      <c r="B36" s="37" t="s">
        <v>124</v>
      </c>
      <c r="C36" s="36" t="s">
        <v>35</v>
      </c>
      <c r="D36" s="37">
        <v>2123</v>
      </c>
      <c r="E36" s="37"/>
      <c r="F36" s="41" t="s">
        <v>129</v>
      </c>
      <c r="G36" s="26"/>
      <c r="H36" s="35">
        <v>50</v>
      </c>
      <c r="I36" s="35">
        <v>50</v>
      </c>
      <c r="J36" s="26"/>
      <c r="K36" s="35">
        <v>0</v>
      </c>
      <c r="L36" s="35">
        <v>0</v>
      </c>
      <c r="M36" s="26"/>
      <c r="N36" s="35">
        <v>0</v>
      </c>
      <c r="O36" s="35">
        <v>0</v>
      </c>
      <c r="P36" s="26"/>
      <c r="Q36" s="37">
        <f t="shared" si="0"/>
        <v>50</v>
      </c>
      <c r="R36" s="38">
        <f t="shared" si="1"/>
        <v>50</v>
      </c>
    </row>
    <row r="37" spans="1:18" ht="18" x14ac:dyDescent="0.35">
      <c r="A37" s="34">
        <v>29</v>
      </c>
      <c r="B37" s="37" t="s">
        <v>124</v>
      </c>
      <c r="C37" s="36" t="s">
        <v>35</v>
      </c>
      <c r="D37" s="37">
        <v>2123</v>
      </c>
      <c r="E37" s="37"/>
      <c r="F37" s="41" t="s">
        <v>128</v>
      </c>
      <c r="G37" s="26"/>
      <c r="H37" s="35">
        <v>10</v>
      </c>
      <c r="I37" s="35">
        <v>10</v>
      </c>
      <c r="J37" s="26"/>
      <c r="K37" s="35">
        <v>0</v>
      </c>
      <c r="L37" s="35">
        <v>0</v>
      </c>
      <c r="M37" s="26"/>
      <c r="N37" s="35">
        <v>0</v>
      </c>
      <c r="O37" s="35">
        <v>0</v>
      </c>
      <c r="P37" s="26"/>
      <c r="Q37" s="37">
        <f t="shared" si="0"/>
        <v>10</v>
      </c>
      <c r="R37" s="38">
        <f t="shared" si="1"/>
        <v>10</v>
      </c>
    </row>
    <row r="38" spans="1:18" ht="18" x14ac:dyDescent="0.35">
      <c r="A38" s="34">
        <v>30</v>
      </c>
      <c r="B38" s="37" t="s">
        <v>131</v>
      </c>
      <c r="C38" s="36" t="s">
        <v>35</v>
      </c>
      <c r="D38" s="37">
        <v>2123</v>
      </c>
      <c r="E38" s="37"/>
      <c r="F38" s="41" t="s">
        <v>128</v>
      </c>
      <c r="G38" s="26"/>
      <c r="H38" s="35">
        <v>0</v>
      </c>
      <c r="I38" s="35">
        <v>0</v>
      </c>
      <c r="J38" s="26"/>
      <c r="K38" s="35">
        <v>0</v>
      </c>
      <c r="L38" s="35">
        <v>0</v>
      </c>
      <c r="M38" s="26"/>
      <c r="N38" s="35">
        <v>0</v>
      </c>
      <c r="O38" s="35">
        <v>0</v>
      </c>
      <c r="P38" s="26"/>
      <c r="Q38" s="37">
        <f t="shared" si="0"/>
        <v>0</v>
      </c>
      <c r="R38" s="38">
        <f t="shared" si="1"/>
        <v>0</v>
      </c>
    </row>
    <row r="39" spans="1:18" ht="18" x14ac:dyDescent="0.35">
      <c r="A39" s="34">
        <v>31</v>
      </c>
      <c r="B39" s="37" t="s">
        <v>162</v>
      </c>
      <c r="C39" s="42" t="s">
        <v>35</v>
      </c>
      <c r="D39" s="37">
        <v>98814</v>
      </c>
      <c r="E39" s="37">
        <v>304.8</v>
      </c>
      <c r="F39" s="41" t="s">
        <v>10</v>
      </c>
      <c r="G39" s="26"/>
      <c r="H39" s="35">
        <v>0</v>
      </c>
      <c r="I39" s="35">
        <v>0</v>
      </c>
      <c r="J39" s="26"/>
      <c r="K39" s="35">
        <v>0</v>
      </c>
      <c r="L39" s="35">
        <v>0</v>
      </c>
      <c r="M39" s="26"/>
      <c r="N39" s="35">
        <v>0</v>
      </c>
      <c r="O39" s="35">
        <v>0</v>
      </c>
      <c r="P39" s="26"/>
      <c r="Q39" s="37">
        <f t="shared" si="0"/>
        <v>0</v>
      </c>
      <c r="R39" s="38">
        <f t="shared" si="1"/>
        <v>0</v>
      </c>
    </row>
    <row r="40" spans="1:18" ht="18" x14ac:dyDescent="0.35">
      <c r="A40" s="34">
        <v>32</v>
      </c>
      <c r="B40" s="37" t="s">
        <v>39</v>
      </c>
      <c r="C40" s="42" t="s">
        <v>35</v>
      </c>
      <c r="D40" s="37">
        <v>98814</v>
      </c>
      <c r="E40" s="37">
        <v>304.8</v>
      </c>
      <c r="F40" s="41" t="s">
        <v>39</v>
      </c>
      <c r="G40" s="37" t="s">
        <v>96</v>
      </c>
      <c r="H40" s="35">
        <v>0</v>
      </c>
      <c r="I40" s="35">
        <v>0</v>
      </c>
      <c r="J40" s="37"/>
      <c r="K40" s="35">
        <v>0</v>
      </c>
      <c r="L40" s="35">
        <v>0</v>
      </c>
      <c r="M40" s="23"/>
      <c r="N40" s="35">
        <v>0</v>
      </c>
      <c r="O40" s="35">
        <v>0</v>
      </c>
      <c r="P40" s="23"/>
      <c r="Q40" s="37">
        <f t="shared" si="0"/>
        <v>0</v>
      </c>
      <c r="R40" s="38">
        <f>I40+L40+O40</f>
        <v>0</v>
      </c>
    </row>
    <row r="41" spans="1:18" ht="18" x14ac:dyDescent="0.35">
      <c r="A41" s="34">
        <v>33</v>
      </c>
      <c r="B41" s="37" t="s">
        <v>132</v>
      </c>
      <c r="C41" s="42" t="s">
        <v>172</v>
      </c>
      <c r="D41" s="37">
        <v>86805</v>
      </c>
      <c r="E41" s="37"/>
      <c r="F41" s="41" t="s">
        <v>12</v>
      </c>
      <c r="G41" s="37" t="s">
        <v>173</v>
      </c>
      <c r="H41" s="35">
        <v>0</v>
      </c>
      <c r="I41" s="35">
        <v>0</v>
      </c>
      <c r="J41" s="37"/>
      <c r="K41" s="35">
        <v>0</v>
      </c>
      <c r="L41" s="35">
        <v>0</v>
      </c>
      <c r="M41" s="26"/>
      <c r="N41" s="35">
        <v>0</v>
      </c>
      <c r="O41" s="35">
        <v>0</v>
      </c>
      <c r="P41" s="26"/>
      <c r="Q41" s="37">
        <f t="shared" si="0"/>
        <v>0</v>
      </c>
      <c r="R41" s="38">
        <f t="shared" si="1"/>
        <v>0</v>
      </c>
    </row>
    <row r="42" spans="1:18" ht="18" x14ac:dyDescent="0.35">
      <c r="A42" s="34">
        <v>34</v>
      </c>
      <c r="B42" s="37" t="s">
        <v>158</v>
      </c>
      <c r="C42" s="42" t="s">
        <v>35</v>
      </c>
      <c r="D42" s="37">
        <v>98815</v>
      </c>
      <c r="E42" s="37">
        <v>406.4</v>
      </c>
      <c r="F42" s="41" t="s">
        <v>135</v>
      </c>
      <c r="G42" s="37" t="s">
        <v>133</v>
      </c>
      <c r="H42" s="35">
        <v>195</v>
      </c>
      <c r="I42" s="35">
        <v>195</v>
      </c>
      <c r="J42" s="37"/>
      <c r="K42" s="35">
        <v>0</v>
      </c>
      <c r="L42" s="35">
        <v>0</v>
      </c>
      <c r="M42" s="26"/>
      <c r="N42" s="35">
        <v>0</v>
      </c>
      <c r="O42" s="35">
        <v>0</v>
      </c>
      <c r="P42" s="26"/>
      <c r="Q42" s="37">
        <f t="shared" si="0"/>
        <v>195</v>
      </c>
      <c r="R42" s="38">
        <f t="shared" si="1"/>
        <v>195</v>
      </c>
    </row>
    <row r="43" spans="1:18" ht="18" x14ac:dyDescent="0.35">
      <c r="A43" s="34">
        <v>35</v>
      </c>
      <c r="B43" s="37" t="s">
        <v>170</v>
      </c>
      <c r="C43" s="42" t="s">
        <v>35</v>
      </c>
      <c r="D43" s="37">
        <v>98815</v>
      </c>
      <c r="E43" s="37">
        <v>406.4</v>
      </c>
      <c r="F43" s="41" t="s">
        <v>159</v>
      </c>
      <c r="G43" s="37" t="s">
        <v>133</v>
      </c>
      <c r="H43" s="35">
        <v>195</v>
      </c>
      <c r="I43" s="35">
        <v>195</v>
      </c>
      <c r="J43" s="37"/>
      <c r="K43" s="35">
        <v>0</v>
      </c>
      <c r="L43" s="35">
        <v>0</v>
      </c>
      <c r="M43" s="26"/>
      <c r="N43" s="35">
        <v>0</v>
      </c>
      <c r="O43" s="35">
        <v>0</v>
      </c>
      <c r="P43" s="26"/>
      <c r="Q43" s="37">
        <f t="shared" si="0"/>
        <v>195</v>
      </c>
      <c r="R43" s="38">
        <f t="shared" si="1"/>
        <v>195</v>
      </c>
    </row>
    <row r="44" spans="1:18" ht="18" x14ac:dyDescent="0.35">
      <c r="A44" s="34">
        <v>36</v>
      </c>
      <c r="B44" s="37" t="s">
        <v>171</v>
      </c>
      <c r="C44" s="42" t="s">
        <v>141</v>
      </c>
      <c r="D44" s="37">
        <v>82527</v>
      </c>
      <c r="E44" s="37">
        <v>155</v>
      </c>
      <c r="F44" s="41" t="s">
        <v>142</v>
      </c>
      <c r="G44" s="37" t="s">
        <v>96</v>
      </c>
      <c r="H44" s="35">
        <v>0</v>
      </c>
      <c r="I44" s="35">
        <v>0</v>
      </c>
      <c r="J44" s="37"/>
      <c r="K44" s="35">
        <v>0</v>
      </c>
      <c r="L44" s="35">
        <v>0</v>
      </c>
      <c r="M44" s="26"/>
      <c r="N44" s="35">
        <v>0</v>
      </c>
      <c r="O44" s="35">
        <v>0</v>
      </c>
      <c r="P44" s="26"/>
      <c r="Q44" s="37">
        <f t="shared" si="0"/>
        <v>0</v>
      </c>
      <c r="R44" s="38">
        <f t="shared" si="1"/>
        <v>0</v>
      </c>
    </row>
    <row r="45" spans="1:18" ht="18" x14ac:dyDescent="0.35">
      <c r="A45" s="34">
        <v>37</v>
      </c>
      <c r="B45" s="37" t="s">
        <v>143</v>
      </c>
      <c r="C45" s="42" t="s">
        <v>144</v>
      </c>
      <c r="D45" s="37">
        <v>83872</v>
      </c>
      <c r="E45" s="37">
        <v>967.65</v>
      </c>
      <c r="F45" s="41" t="s">
        <v>145</v>
      </c>
      <c r="G45" s="37" t="s">
        <v>136</v>
      </c>
      <c r="H45" s="35">
        <v>0</v>
      </c>
      <c r="I45" s="35">
        <v>0</v>
      </c>
      <c r="J45" s="37"/>
      <c r="K45" s="35">
        <v>0</v>
      </c>
      <c r="L45" s="35">
        <v>0</v>
      </c>
      <c r="M45" s="35"/>
      <c r="N45" s="35">
        <v>0</v>
      </c>
      <c r="O45" s="35">
        <v>0</v>
      </c>
      <c r="P45" s="26"/>
      <c r="Q45" s="37">
        <f t="shared" si="0"/>
        <v>0</v>
      </c>
      <c r="R45" s="38">
        <f t="shared" si="1"/>
        <v>0</v>
      </c>
    </row>
    <row r="46" spans="1:18" ht="18" x14ac:dyDescent="0.35">
      <c r="A46" s="34">
        <v>38</v>
      </c>
      <c r="B46" s="37" t="s">
        <v>146</v>
      </c>
      <c r="C46" s="42" t="s">
        <v>144</v>
      </c>
      <c r="D46" s="37">
        <v>83834</v>
      </c>
      <c r="E46" s="37">
        <v>898.89</v>
      </c>
      <c r="F46" s="41" t="s">
        <v>147</v>
      </c>
      <c r="G46" s="37" t="s">
        <v>96</v>
      </c>
      <c r="H46" s="35">
        <v>0</v>
      </c>
      <c r="I46" s="35">
        <v>0</v>
      </c>
      <c r="J46" s="37"/>
      <c r="K46" s="35">
        <v>0</v>
      </c>
      <c r="L46" s="35">
        <v>0</v>
      </c>
      <c r="M46" s="35"/>
      <c r="N46" s="35">
        <v>0</v>
      </c>
      <c r="O46" s="35">
        <v>0</v>
      </c>
      <c r="P46" s="26"/>
      <c r="Q46" s="37">
        <f t="shared" si="0"/>
        <v>0</v>
      </c>
      <c r="R46" s="38">
        <f>I46+L46+O46</f>
        <v>0</v>
      </c>
    </row>
    <row r="47" spans="1:18" ht="36" x14ac:dyDescent="0.35">
      <c r="A47" s="34">
        <v>39</v>
      </c>
      <c r="B47" s="43" t="s">
        <v>151</v>
      </c>
      <c r="C47" s="36" t="s">
        <v>167</v>
      </c>
      <c r="D47" s="35">
        <v>93293</v>
      </c>
      <c r="E47" s="35">
        <v>16.2</v>
      </c>
      <c r="F47" s="40" t="s">
        <v>169</v>
      </c>
      <c r="G47" s="35" t="s">
        <v>104</v>
      </c>
      <c r="H47" s="35">
        <v>0</v>
      </c>
      <c r="I47" s="35">
        <v>0</v>
      </c>
      <c r="J47" s="37"/>
      <c r="K47" s="35">
        <v>0</v>
      </c>
      <c r="L47" s="35">
        <v>0</v>
      </c>
      <c r="M47" s="35"/>
      <c r="N47" s="35">
        <v>0</v>
      </c>
      <c r="O47" s="35">
        <v>0</v>
      </c>
      <c r="P47" s="35"/>
      <c r="Q47" s="35">
        <f t="shared" si="0"/>
        <v>0</v>
      </c>
      <c r="R47" s="44">
        <f t="shared" si="1"/>
        <v>0</v>
      </c>
    </row>
    <row r="48" spans="1:18" ht="36" x14ac:dyDescent="0.35">
      <c r="A48" s="34">
        <v>40</v>
      </c>
      <c r="B48" s="43" t="s">
        <v>148</v>
      </c>
      <c r="C48" s="36" t="s">
        <v>167</v>
      </c>
      <c r="D48" s="35">
        <v>93290</v>
      </c>
      <c r="E48" s="35">
        <v>2382</v>
      </c>
      <c r="F48" s="40" t="s">
        <v>150</v>
      </c>
      <c r="G48" s="35" t="s">
        <v>113</v>
      </c>
      <c r="H48" s="35">
        <v>0</v>
      </c>
      <c r="I48" s="35">
        <v>0</v>
      </c>
      <c r="J48" s="35"/>
      <c r="K48" s="35">
        <v>0</v>
      </c>
      <c r="L48" s="35">
        <v>0</v>
      </c>
      <c r="M48" s="35" t="s">
        <v>168</v>
      </c>
      <c r="N48" s="35">
        <v>0</v>
      </c>
      <c r="O48" s="35">
        <v>0</v>
      </c>
      <c r="P48" s="26"/>
      <c r="Q48" s="35">
        <f t="shared" si="0"/>
        <v>0</v>
      </c>
      <c r="R48" s="44">
        <f t="shared" si="1"/>
        <v>0</v>
      </c>
    </row>
    <row r="49" spans="1:18" ht="36" x14ac:dyDescent="0.35">
      <c r="A49" s="34">
        <v>41</v>
      </c>
      <c r="B49" s="43" t="s">
        <v>151</v>
      </c>
      <c r="C49" s="36" t="s">
        <v>167</v>
      </c>
      <c r="D49" s="35">
        <v>93292</v>
      </c>
      <c r="E49" s="35">
        <v>1134</v>
      </c>
      <c r="F49" s="40" t="s">
        <v>150</v>
      </c>
      <c r="G49" s="35" t="s">
        <v>113</v>
      </c>
      <c r="H49" s="35">
        <v>0</v>
      </c>
      <c r="I49" s="35">
        <v>0</v>
      </c>
      <c r="J49" s="37"/>
      <c r="K49" s="35">
        <v>0</v>
      </c>
      <c r="L49" s="35">
        <v>0</v>
      </c>
      <c r="M49" s="35"/>
      <c r="N49" s="35">
        <v>0</v>
      </c>
      <c r="O49" s="35">
        <v>0</v>
      </c>
      <c r="P49" s="26"/>
      <c r="Q49" s="35">
        <f>N49+K49+H49</f>
        <v>0</v>
      </c>
      <c r="R49" s="44">
        <f t="shared" si="1"/>
        <v>0</v>
      </c>
    </row>
  </sheetData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R49"/>
  <sheetViews>
    <sheetView zoomScale="85" zoomScaleNormal="85" workbookViewId="0">
      <selection activeCell="C60" sqref="C60"/>
    </sheetView>
  </sheetViews>
  <sheetFormatPr defaultRowHeight="14.4" x14ac:dyDescent="0.3"/>
  <cols>
    <col min="2" max="2" width="16.109375" customWidth="1"/>
    <col min="3" max="3" width="21.6640625" customWidth="1"/>
    <col min="4" max="4" width="11.109375" customWidth="1"/>
    <col min="5" max="5" width="14.6640625" customWidth="1"/>
    <col min="6" max="6" width="29.5546875" customWidth="1"/>
    <col min="10" max="10" width="12.6640625" customWidth="1"/>
    <col min="11" max="12" width="9.109375" hidden="1" customWidth="1"/>
    <col min="13" max="13" width="14.33203125" hidden="1" customWidth="1"/>
    <col min="16" max="16" width="12.44140625" customWidth="1"/>
    <col min="17" max="17" width="13.5546875" customWidth="1"/>
    <col min="18" max="18" width="15.33203125" customWidth="1"/>
  </cols>
  <sheetData>
    <row r="1" spans="1:18" ht="46.5" customHeight="1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ht="15" hidden="1" customHeight="1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ht="15" hidden="1" customHeight="1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48"/>
      <c r="M5" s="49"/>
      <c r="N5" s="26"/>
      <c r="O5" s="28" t="s">
        <v>76</v>
      </c>
      <c r="P5" s="29" t="s">
        <v>205</v>
      </c>
      <c r="Q5" s="23"/>
      <c r="R5" s="23"/>
    </row>
    <row r="6" spans="1:18" ht="18" customHeight="1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56" t="s">
        <v>83</v>
      </c>
      <c r="L6" s="56"/>
      <c r="M6" s="56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94</v>
      </c>
      <c r="C8" s="36" t="s">
        <v>202</v>
      </c>
      <c r="D8" s="35">
        <v>86270</v>
      </c>
      <c r="E8" s="35">
        <v>73</v>
      </c>
      <c r="F8" s="35" t="s">
        <v>92</v>
      </c>
      <c r="G8" s="35" t="s">
        <v>203</v>
      </c>
      <c r="H8" s="35">
        <v>300</v>
      </c>
      <c r="I8" s="35">
        <v>248</v>
      </c>
      <c r="J8" s="35"/>
      <c r="K8" s="35">
        <v>0</v>
      </c>
      <c r="L8" s="35">
        <v>0</v>
      </c>
      <c r="M8" s="35"/>
      <c r="N8" s="35">
        <v>0</v>
      </c>
      <c r="O8" s="35">
        <v>0</v>
      </c>
      <c r="P8" s="35"/>
      <c r="Q8" s="37">
        <f>N8+K8+H8</f>
        <v>300</v>
      </c>
      <c r="R8" s="38">
        <f>I8+L8+O8</f>
        <v>248</v>
      </c>
    </row>
    <row r="9" spans="1:18" ht="18" x14ac:dyDescent="0.35">
      <c r="A9" s="34">
        <v>2</v>
      </c>
      <c r="B9" s="35" t="s">
        <v>94</v>
      </c>
      <c r="C9" s="36" t="s">
        <v>184</v>
      </c>
      <c r="D9" s="35">
        <v>96720</v>
      </c>
      <c r="E9" s="35">
        <v>5700</v>
      </c>
      <c r="F9" s="35" t="s">
        <v>92</v>
      </c>
      <c r="G9" s="35" t="s">
        <v>96</v>
      </c>
      <c r="H9" s="35">
        <v>15</v>
      </c>
      <c r="I9" s="35">
        <v>10</v>
      </c>
      <c r="J9" s="35"/>
      <c r="K9" s="35">
        <v>0</v>
      </c>
      <c r="L9" s="35">
        <v>0</v>
      </c>
      <c r="M9" s="35"/>
      <c r="N9" s="35">
        <v>90</v>
      </c>
      <c r="O9" s="35">
        <v>80</v>
      </c>
      <c r="P9" s="35"/>
      <c r="Q9" s="37">
        <f t="shared" ref="Q9:Q48" si="0">N9+K9+H9</f>
        <v>105</v>
      </c>
      <c r="R9" s="38">
        <f t="shared" ref="R9:R49" si="1">I9+L9+O9</f>
        <v>90</v>
      </c>
    </row>
    <row r="10" spans="1:18" ht="18" hidden="1" x14ac:dyDescent="0.35">
      <c r="A10" s="34">
        <v>3</v>
      </c>
      <c r="B10" s="35" t="s">
        <v>94</v>
      </c>
      <c r="C10" s="36" t="s">
        <v>172</v>
      </c>
      <c r="D10" s="35">
        <v>99721</v>
      </c>
      <c r="E10" s="35">
        <v>245</v>
      </c>
      <c r="F10" s="35" t="s">
        <v>191</v>
      </c>
      <c r="G10" s="35" t="s">
        <v>96</v>
      </c>
      <c r="H10" s="35">
        <v>0</v>
      </c>
      <c r="I10" s="35">
        <v>0</v>
      </c>
      <c r="J10" s="35"/>
      <c r="K10" s="35">
        <v>0</v>
      </c>
      <c r="L10" s="35">
        <v>0</v>
      </c>
      <c r="M10" s="35"/>
      <c r="N10" s="35">
        <v>0</v>
      </c>
      <c r="O10" s="35">
        <v>0</v>
      </c>
      <c r="P10" s="35"/>
      <c r="Q10" s="37">
        <f t="shared" si="0"/>
        <v>0</v>
      </c>
      <c r="R10" s="38">
        <f t="shared" si="1"/>
        <v>0</v>
      </c>
    </row>
    <row r="11" spans="1:18" ht="18" hidden="1" x14ac:dyDescent="0.35">
      <c r="A11" s="34"/>
      <c r="B11" s="35" t="s">
        <v>94</v>
      </c>
      <c r="C11" s="36" t="s">
        <v>35</v>
      </c>
      <c r="D11" s="35">
        <v>98808</v>
      </c>
      <c r="E11" s="35">
        <v>76.2</v>
      </c>
      <c r="F11" s="35" t="s">
        <v>192</v>
      </c>
      <c r="G11" s="35" t="s">
        <v>110</v>
      </c>
      <c r="H11" s="35">
        <v>0</v>
      </c>
      <c r="I11" s="35">
        <v>0</v>
      </c>
      <c r="J11" s="35"/>
      <c r="K11" s="35">
        <v>0</v>
      </c>
      <c r="L11" s="35">
        <v>0</v>
      </c>
      <c r="M11" s="35"/>
      <c r="N11" s="35">
        <v>0</v>
      </c>
      <c r="O11" s="35">
        <v>0</v>
      </c>
      <c r="P11" s="35"/>
      <c r="Q11" s="37"/>
      <c r="R11" s="38"/>
    </row>
    <row r="12" spans="1:18" ht="18" x14ac:dyDescent="0.35">
      <c r="A12" s="34">
        <v>4</v>
      </c>
      <c r="B12" s="35" t="s">
        <v>181</v>
      </c>
      <c r="C12" s="36" t="s">
        <v>97</v>
      </c>
      <c r="D12" s="35">
        <v>86308</v>
      </c>
      <c r="E12" s="35">
        <v>55.88</v>
      </c>
      <c r="F12" s="35" t="s">
        <v>166</v>
      </c>
      <c r="G12" s="35" t="s">
        <v>96</v>
      </c>
      <c r="H12" s="35">
        <v>400</v>
      </c>
      <c r="I12" s="35">
        <v>360</v>
      </c>
      <c r="J12" s="35"/>
      <c r="K12" s="35">
        <v>0</v>
      </c>
      <c r="L12" s="35">
        <v>0</v>
      </c>
      <c r="M12" s="35"/>
      <c r="N12" s="35">
        <v>400</v>
      </c>
      <c r="O12" s="35">
        <v>353</v>
      </c>
      <c r="P12" s="35"/>
      <c r="Q12" s="37">
        <f t="shared" si="0"/>
        <v>800</v>
      </c>
      <c r="R12" s="38">
        <f t="shared" si="1"/>
        <v>713</v>
      </c>
    </row>
    <row r="13" spans="1:18" ht="18" x14ac:dyDescent="0.35">
      <c r="A13" s="34">
        <v>5</v>
      </c>
      <c r="B13" s="35" t="s">
        <v>182</v>
      </c>
      <c r="C13" s="36" t="s">
        <v>97</v>
      </c>
      <c r="D13" s="35">
        <v>86308</v>
      </c>
      <c r="E13" s="35">
        <v>55.88</v>
      </c>
      <c r="F13" s="35" t="s">
        <v>166</v>
      </c>
      <c r="G13" s="35" t="s">
        <v>96</v>
      </c>
      <c r="H13" s="35">
        <v>300</v>
      </c>
      <c r="I13" s="35">
        <v>230</v>
      </c>
      <c r="J13" s="35"/>
      <c r="K13" s="35">
        <v>0</v>
      </c>
      <c r="L13" s="35">
        <v>0</v>
      </c>
      <c r="M13" s="35"/>
      <c r="N13" s="35">
        <v>400</v>
      </c>
      <c r="O13" s="35">
        <v>350</v>
      </c>
      <c r="P13" s="35"/>
      <c r="Q13" s="37">
        <f t="shared" si="0"/>
        <v>700</v>
      </c>
      <c r="R13" s="38">
        <f t="shared" si="1"/>
        <v>580</v>
      </c>
    </row>
    <row r="14" spans="1:18" ht="18" x14ac:dyDescent="0.35">
      <c r="A14" s="34">
        <v>6</v>
      </c>
      <c r="B14" s="35" t="s">
        <v>105</v>
      </c>
      <c r="C14" s="36" t="s">
        <v>95</v>
      </c>
      <c r="D14" s="35">
        <v>86308</v>
      </c>
      <c r="E14" s="35">
        <v>55.88</v>
      </c>
      <c r="F14" s="35" t="s">
        <v>92</v>
      </c>
      <c r="G14" s="35" t="s">
        <v>96</v>
      </c>
      <c r="H14" s="35">
        <v>240</v>
      </c>
      <c r="I14" s="35">
        <v>196</v>
      </c>
      <c r="J14" s="35"/>
      <c r="K14" s="35">
        <v>0</v>
      </c>
      <c r="L14" s="35">
        <v>0</v>
      </c>
      <c r="M14" s="35"/>
      <c r="N14" s="35">
        <v>240</v>
      </c>
      <c r="O14" s="35">
        <v>238</v>
      </c>
      <c r="P14" s="35"/>
      <c r="Q14" s="37">
        <f t="shared" si="0"/>
        <v>480</v>
      </c>
      <c r="R14" s="38">
        <f t="shared" si="1"/>
        <v>434</v>
      </c>
    </row>
    <row r="15" spans="1:18" ht="18" x14ac:dyDescent="0.35">
      <c r="A15" s="34">
        <v>7</v>
      </c>
      <c r="B15" s="35" t="s">
        <v>106</v>
      </c>
      <c r="C15" s="36" t="s">
        <v>95</v>
      </c>
      <c r="D15" s="35">
        <v>86308</v>
      </c>
      <c r="E15" s="35">
        <v>55.88</v>
      </c>
      <c r="F15" s="35" t="s">
        <v>92</v>
      </c>
      <c r="G15" s="35" t="s">
        <v>163</v>
      </c>
      <c r="H15" s="35">
        <v>150</v>
      </c>
      <c r="I15" s="35">
        <v>104</v>
      </c>
      <c r="J15" s="35"/>
      <c r="K15" s="35">
        <v>0</v>
      </c>
      <c r="L15" s="35">
        <v>0</v>
      </c>
      <c r="M15" s="35"/>
      <c r="N15" s="35">
        <v>240</v>
      </c>
      <c r="O15" s="35">
        <v>240</v>
      </c>
      <c r="P15" s="35"/>
      <c r="Q15" s="37">
        <f t="shared" si="0"/>
        <v>390</v>
      </c>
      <c r="R15" s="38">
        <f t="shared" si="1"/>
        <v>344</v>
      </c>
    </row>
    <row r="16" spans="1:18" ht="18" x14ac:dyDescent="0.35">
      <c r="A16" s="34">
        <v>8</v>
      </c>
      <c r="B16" s="35" t="s">
        <v>108</v>
      </c>
      <c r="C16" s="36" t="s">
        <v>95</v>
      </c>
      <c r="D16" s="35">
        <v>86308</v>
      </c>
      <c r="E16" s="35">
        <v>55.88</v>
      </c>
      <c r="F16" s="35" t="s">
        <v>92</v>
      </c>
      <c r="G16" s="35" t="s">
        <v>96</v>
      </c>
      <c r="H16" s="35">
        <v>500</v>
      </c>
      <c r="I16" s="35">
        <v>400</v>
      </c>
      <c r="J16" s="35"/>
      <c r="K16" s="35">
        <v>0</v>
      </c>
      <c r="L16" s="35">
        <v>0</v>
      </c>
      <c r="M16" s="35" t="s">
        <v>165</v>
      </c>
      <c r="N16" s="35">
        <v>520</v>
      </c>
      <c r="O16" s="35">
        <v>490</v>
      </c>
      <c r="P16" s="35"/>
      <c r="Q16" s="37">
        <f t="shared" si="0"/>
        <v>1020</v>
      </c>
      <c r="R16" s="38">
        <f t="shared" si="1"/>
        <v>890</v>
      </c>
    </row>
    <row r="17" spans="1:18" ht="18" x14ac:dyDescent="0.35">
      <c r="A17" s="34">
        <v>9</v>
      </c>
      <c r="B17" s="35" t="s">
        <v>185</v>
      </c>
      <c r="C17" s="36" t="s">
        <v>97</v>
      </c>
      <c r="D17" s="35">
        <v>86308</v>
      </c>
      <c r="E17" s="35">
        <v>55.88</v>
      </c>
      <c r="F17" s="35" t="s">
        <v>186</v>
      </c>
      <c r="G17" s="35" t="s">
        <v>187</v>
      </c>
      <c r="H17" s="35">
        <v>1440</v>
      </c>
      <c r="I17" s="35">
        <v>1130</v>
      </c>
      <c r="J17" s="35"/>
      <c r="K17" s="35">
        <v>0</v>
      </c>
      <c r="L17" s="35">
        <v>0</v>
      </c>
      <c r="M17" s="35"/>
      <c r="N17" s="35">
        <v>700</v>
      </c>
      <c r="O17" s="35">
        <v>700</v>
      </c>
      <c r="P17" s="35"/>
      <c r="Q17" s="37">
        <f t="shared" si="0"/>
        <v>2140</v>
      </c>
      <c r="R17" s="38">
        <f t="shared" si="1"/>
        <v>1830</v>
      </c>
    </row>
    <row r="18" spans="1:18" ht="18" hidden="1" x14ac:dyDescent="0.35">
      <c r="A18" s="34">
        <v>10</v>
      </c>
      <c r="B18" s="35" t="s">
        <v>185</v>
      </c>
      <c r="C18" s="36" t="s">
        <v>97</v>
      </c>
      <c r="D18" s="35">
        <v>93799</v>
      </c>
      <c r="E18" s="35">
        <v>86.36</v>
      </c>
      <c r="F18" s="35" t="s">
        <v>186</v>
      </c>
      <c r="G18" s="35" t="s">
        <v>187</v>
      </c>
      <c r="H18" s="35">
        <v>0</v>
      </c>
      <c r="I18" s="35">
        <v>0</v>
      </c>
      <c r="J18" s="35"/>
      <c r="K18" s="35">
        <v>0</v>
      </c>
      <c r="L18" s="35">
        <v>0</v>
      </c>
      <c r="M18" s="35"/>
      <c r="N18" s="35">
        <v>0</v>
      </c>
      <c r="O18" s="35">
        <v>0</v>
      </c>
      <c r="P18" s="35"/>
      <c r="Q18" s="37">
        <f t="shared" si="0"/>
        <v>0</v>
      </c>
      <c r="R18" s="38">
        <f t="shared" si="1"/>
        <v>0</v>
      </c>
    </row>
    <row r="19" spans="1:18" ht="18" hidden="1" x14ac:dyDescent="0.35">
      <c r="A19" s="34">
        <v>11</v>
      </c>
      <c r="B19" s="35" t="s">
        <v>102</v>
      </c>
      <c r="C19" s="36" t="s">
        <v>35</v>
      </c>
      <c r="D19" s="35">
        <v>98808</v>
      </c>
      <c r="E19" s="35">
        <v>418.2</v>
      </c>
      <c r="F19" s="35">
        <v>90</v>
      </c>
      <c r="G19" s="35" t="s">
        <v>175</v>
      </c>
      <c r="H19" s="35">
        <v>0</v>
      </c>
      <c r="I19" s="35">
        <v>0</v>
      </c>
      <c r="J19" s="35"/>
      <c r="K19" s="35">
        <v>0</v>
      </c>
      <c r="L19" s="35">
        <v>0</v>
      </c>
      <c r="M19" s="35"/>
      <c r="N19" s="35">
        <v>0</v>
      </c>
      <c r="O19" s="35">
        <v>0</v>
      </c>
      <c r="P19" s="35"/>
      <c r="Q19" s="37">
        <f t="shared" si="0"/>
        <v>0</v>
      </c>
      <c r="R19" s="38">
        <f t="shared" si="1"/>
        <v>0</v>
      </c>
    </row>
    <row r="20" spans="1:18" ht="18" hidden="1" x14ac:dyDescent="0.35">
      <c r="A20" s="34">
        <v>12</v>
      </c>
      <c r="B20" s="35" t="s">
        <v>111</v>
      </c>
      <c r="C20" s="36" t="s">
        <v>35</v>
      </c>
      <c r="D20" s="35">
        <v>2123</v>
      </c>
      <c r="E20" s="35"/>
      <c r="F20" s="35" t="s">
        <v>114</v>
      </c>
      <c r="G20" s="35" t="s">
        <v>154</v>
      </c>
      <c r="H20" s="35">
        <v>0</v>
      </c>
      <c r="I20" s="35">
        <v>0</v>
      </c>
      <c r="J20" s="35"/>
      <c r="K20" s="35">
        <v>0</v>
      </c>
      <c r="L20" s="35">
        <v>0</v>
      </c>
      <c r="M20" s="35"/>
      <c r="N20" s="35">
        <v>0</v>
      </c>
      <c r="O20" s="35">
        <v>0</v>
      </c>
      <c r="P20" s="35"/>
      <c r="Q20" s="37">
        <f t="shared" si="0"/>
        <v>0</v>
      </c>
      <c r="R20" s="38">
        <f t="shared" si="1"/>
        <v>0</v>
      </c>
    </row>
    <row r="21" spans="1:18" ht="18" x14ac:dyDescent="0.35">
      <c r="A21" s="34">
        <v>13</v>
      </c>
      <c r="B21" s="35" t="s">
        <v>111</v>
      </c>
      <c r="C21" s="36" t="s">
        <v>35</v>
      </c>
      <c r="D21" s="35">
        <v>98811</v>
      </c>
      <c r="E21" s="35">
        <v>11.05</v>
      </c>
      <c r="F21" s="35">
        <v>90</v>
      </c>
      <c r="G21" s="35" t="s">
        <v>155</v>
      </c>
      <c r="H21" s="35">
        <v>1800</v>
      </c>
      <c r="I21" s="35">
        <v>1700</v>
      </c>
      <c r="J21" s="35"/>
      <c r="K21" s="35">
        <v>0</v>
      </c>
      <c r="L21" s="35">
        <v>0</v>
      </c>
      <c r="M21" s="35"/>
      <c r="N21" s="35">
        <v>0</v>
      </c>
      <c r="O21" s="35">
        <v>0</v>
      </c>
      <c r="P21" s="35"/>
      <c r="Q21" s="37">
        <f t="shared" si="0"/>
        <v>1800</v>
      </c>
      <c r="R21" s="38">
        <f t="shared" si="1"/>
        <v>1700</v>
      </c>
    </row>
    <row r="22" spans="1:18" ht="18" hidden="1" x14ac:dyDescent="0.35">
      <c r="A22" s="34">
        <v>14</v>
      </c>
      <c r="B22" s="35" t="s">
        <v>111</v>
      </c>
      <c r="C22" s="36" t="s">
        <v>35</v>
      </c>
      <c r="D22" s="35">
        <v>98811</v>
      </c>
      <c r="E22" s="35">
        <v>20.059999999999999</v>
      </c>
      <c r="F22" s="35">
        <v>90</v>
      </c>
      <c r="G22" s="35" t="s">
        <v>155</v>
      </c>
      <c r="H22" s="35">
        <v>0</v>
      </c>
      <c r="I22" s="35">
        <v>0</v>
      </c>
      <c r="J22" s="35"/>
      <c r="K22" s="35">
        <v>0</v>
      </c>
      <c r="L22" s="35">
        <v>0</v>
      </c>
      <c r="M22" s="35"/>
      <c r="N22" s="35">
        <v>0</v>
      </c>
      <c r="O22" s="35">
        <v>0</v>
      </c>
      <c r="P22" s="35"/>
      <c r="Q22" s="37">
        <f t="shared" si="0"/>
        <v>0</v>
      </c>
      <c r="R22" s="38">
        <f t="shared" si="1"/>
        <v>0</v>
      </c>
    </row>
    <row r="23" spans="1:18" ht="18" hidden="1" x14ac:dyDescent="0.35">
      <c r="A23" s="34">
        <v>15</v>
      </c>
      <c r="B23" s="35" t="s">
        <v>121</v>
      </c>
      <c r="C23" s="36" t="s">
        <v>35</v>
      </c>
      <c r="D23" s="35">
        <v>98809</v>
      </c>
      <c r="E23" s="35">
        <v>152.4</v>
      </c>
      <c r="F23" s="40" t="s">
        <v>190</v>
      </c>
      <c r="G23" s="35" t="s">
        <v>154</v>
      </c>
      <c r="H23" s="35">
        <v>0</v>
      </c>
      <c r="I23" s="35">
        <v>0</v>
      </c>
      <c r="J23" s="35"/>
      <c r="K23" s="35">
        <v>0</v>
      </c>
      <c r="L23" s="35">
        <v>0</v>
      </c>
      <c r="M23" s="26"/>
      <c r="N23" s="35">
        <v>0</v>
      </c>
      <c r="O23" s="35">
        <v>0</v>
      </c>
      <c r="P23" s="26"/>
      <c r="Q23" s="37">
        <f t="shared" si="0"/>
        <v>0</v>
      </c>
      <c r="R23" s="38">
        <f t="shared" si="1"/>
        <v>0</v>
      </c>
    </row>
    <row r="24" spans="1:18" ht="18" hidden="1" x14ac:dyDescent="0.35">
      <c r="A24" s="34">
        <v>16</v>
      </c>
      <c r="B24" s="35" t="s">
        <v>116</v>
      </c>
      <c r="C24" s="36" t="s">
        <v>35</v>
      </c>
      <c r="D24" s="35">
        <v>98808</v>
      </c>
      <c r="E24" s="35">
        <v>428.75</v>
      </c>
      <c r="F24" s="40" t="s">
        <v>122</v>
      </c>
      <c r="G24" s="35" t="s">
        <v>154</v>
      </c>
      <c r="H24" s="35">
        <v>0</v>
      </c>
      <c r="I24" s="35">
        <v>0</v>
      </c>
      <c r="J24" s="35"/>
      <c r="K24" s="35">
        <v>0</v>
      </c>
      <c r="L24" s="35">
        <v>0</v>
      </c>
      <c r="M24" s="26"/>
      <c r="N24" s="35">
        <v>0</v>
      </c>
      <c r="O24" s="35">
        <v>0</v>
      </c>
      <c r="P24" s="26"/>
      <c r="Q24" s="37">
        <f t="shared" si="0"/>
        <v>0</v>
      </c>
      <c r="R24" s="38">
        <f t="shared" si="1"/>
        <v>0</v>
      </c>
    </row>
    <row r="25" spans="1:18" ht="18" hidden="1" x14ac:dyDescent="0.35">
      <c r="A25" s="34">
        <v>17</v>
      </c>
      <c r="B25" s="35" t="s">
        <v>116</v>
      </c>
      <c r="C25" s="36" t="s">
        <v>35</v>
      </c>
      <c r="D25" s="35">
        <v>2123</v>
      </c>
      <c r="E25" s="35"/>
      <c r="F25" s="35" t="s">
        <v>123</v>
      </c>
      <c r="G25" s="35" t="s">
        <v>154</v>
      </c>
      <c r="H25" s="35">
        <v>0</v>
      </c>
      <c r="I25" s="35">
        <v>0</v>
      </c>
      <c r="J25" s="35"/>
      <c r="K25" s="35">
        <v>0</v>
      </c>
      <c r="L25" s="35">
        <v>0</v>
      </c>
      <c r="M25" s="26"/>
      <c r="N25" s="35">
        <v>0</v>
      </c>
      <c r="O25" s="35">
        <v>0</v>
      </c>
      <c r="P25" s="26"/>
      <c r="Q25" s="37">
        <f t="shared" si="0"/>
        <v>0</v>
      </c>
      <c r="R25" s="38">
        <f t="shared" si="1"/>
        <v>0</v>
      </c>
    </row>
    <row r="26" spans="1:18" ht="18" hidden="1" x14ac:dyDescent="0.35">
      <c r="A26" s="34">
        <v>18</v>
      </c>
      <c r="B26" s="35" t="s">
        <v>119</v>
      </c>
      <c r="C26" s="36" t="s">
        <v>35</v>
      </c>
      <c r="D26" s="35">
        <v>98808</v>
      </c>
      <c r="E26" s="35">
        <v>428.75</v>
      </c>
      <c r="F26" s="40" t="s">
        <v>40</v>
      </c>
      <c r="G26" s="35" t="s">
        <v>118</v>
      </c>
      <c r="H26" s="35">
        <v>0</v>
      </c>
      <c r="I26" s="35">
        <v>0</v>
      </c>
      <c r="J26" s="35"/>
      <c r="K26" s="35">
        <v>0</v>
      </c>
      <c r="L26" s="35">
        <v>0</v>
      </c>
      <c r="M26" s="26"/>
      <c r="N26" s="35">
        <v>0</v>
      </c>
      <c r="O26" s="35">
        <v>0</v>
      </c>
      <c r="P26" s="26"/>
      <c r="Q26" s="37">
        <f t="shared" si="0"/>
        <v>0</v>
      </c>
      <c r="R26" s="38">
        <f t="shared" si="1"/>
        <v>0</v>
      </c>
    </row>
    <row r="27" spans="1:18" ht="18" hidden="1" x14ac:dyDescent="0.35">
      <c r="A27" s="34">
        <v>19</v>
      </c>
      <c r="B27" s="35" t="s">
        <v>119</v>
      </c>
      <c r="C27" s="36" t="s">
        <v>35</v>
      </c>
      <c r="D27" s="35">
        <v>98809</v>
      </c>
      <c r="E27" s="35">
        <v>152.4</v>
      </c>
      <c r="F27" s="40" t="s">
        <v>122</v>
      </c>
      <c r="G27" s="35" t="s">
        <v>120</v>
      </c>
      <c r="H27" s="35">
        <v>0</v>
      </c>
      <c r="I27" s="35">
        <v>0</v>
      </c>
      <c r="J27" s="35"/>
      <c r="K27" s="35">
        <v>0</v>
      </c>
      <c r="L27" s="35">
        <v>0</v>
      </c>
      <c r="M27" s="26"/>
      <c r="N27" s="35">
        <v>0</v>
      </c>
      <c r="O27" s="35">
        <v>0</v>
      </c>
      <c r="P27" s="26"/>
      <c r="Q27" s="37">
        <f t="shared" si="0"/>
        <v>0</v>
      </c>
      <c r="R27" s="38">
        <f t="shared" si="1"/>
        <v>0</v>
      </c>
    </row>
    <row r="28" spans="1:18" ht="18" hidden="1" x14ac:dyDescent="0.35">
      <c r="A28" s="34">
        <v>20</v>
      </c>
      <c r="B28" s="35" t="s">
        <v>176</v>
      </c>
      <c r="C28" s="36" t="s">
        <v>35</v>
      </c>
      <c r="D28" s="35">
        <v>98808</v>
      </c>
      <c r="E28" s="35">
        <v>418.2</v>
      </c>
      <c r="F28" s="40" t="s">
        <v>122</v>
      </c>
      <c r="G28" s="35" t="s">
        <v>118</v>
      </c>
      <c r="H28" s="35">
        <v>0</v>
      </c>
      <c r="I28" s="35">
        <v>0</v>
      </c>
      <c r="J28" s="35"/>
      <c r="K28" s="35">
        <v>0</v>
      </c>
      <c r="L28" s="35">
        <v>0</v>
      </c>
      <c r="M28" s="26"/>
      <c r="N28" s="35">
        <v>0</v>
      </c>
      <c r="O28" s="35">
        <v>0</v>
      </c>
      <c r="P28" s="26"/>
      <c r="Q28" s="37">
        <f t="shared" si="0"/>
        <v>0</v>
      </c>
      <c r="R28" s="38">
        <f t="shared" si="1"/>
        <v>0</v>
      </c>
    </row>
    <row r="29" spans="1:18" ht="18" hidden="1" x14ac:dyDescent="0.35">
      <c r="A29" s="34">
        <v>21</v>
      </c>
      <c r="B29" s="35" t="s">
        <v>121</v>
      </c>
      <c r="C29" s="36" t="s">
        <v>35</v>
      </c>
      <c r="D29" s="35">
        <v>98810</v>
      </c>
      <c r="E29" s="35">
        <v>105.4</v>
      </c>
      <c r="F29" s="40" t="s">
        <v>122</v>
      </c>
      <c r="G29" s="35" t="s">
        <v>118</v>
      </c>
      <c r="H29" s="35">
        <v>0</v>
      </c>
      <c r="I29" s="35">
        <v>0</v>
      </c>
      <c r="J29" s="35"/>
      <c r="K29" s="35">
        <v>0</v>
      </c>
      <c r="L29" s="35">
        <v>0</v>
      </c>
      <c r="M29" s="35"/>
      <c r="N29" s="35">
        <v>0</v>
      </c>
      <c r="O29" s="35">
        <v>0</v>
      </c>
      <c r="P29" s="26"/>
      <c r="Q29" s="37">
        <f t="shared" si="0"/>
        <v>0</v>
      </c>
      <c r="R29" s="38">
        <f t="shared" si="1"/>
        <v>0</v>
      </c>
    </row>
    <row r="30" spans="1:18" ht="18" hidden="1" x14ac:dyDescent="0.35">
      <c r="A30" s="34">
        <v>22</v>
      </c>
      <c r="B30" s="35" t="s">
        <v>119</v>
      </c>
      <c r="C30" s="36" t="s">
        <v>35</v>
      </c>
      <c r="D30" s="35">
        <v>98812</v>
      </c>
      <c r="E30" s="35"/>
      <c r="F30" s="40" t="s">
        <v>117</v>
      </c>
      <c r="G30" s="35" t="s">
        <v>118</v>
      </c>
      <c r="H30" s="35">
        <v>0</v>
      </c>
      <c r="I30" s="35">
        <v>0</v>
      </c>
      <c r="J30" s="35"/>
      <c r="K30" s="35">
        <v>0</v>
      </c>
      <c r="L30" s="35">
        <v>0</v>
      </c>
      <c r="M30" s="35"/>
      <c r="N30" s="35">
        <v>0</v>
      </c>
      <c r="O30" s="35">
        <v>0</v>
      </c>
      <c r="P30" s="26"/>
      <c r="Q30" s="37">
        <f t="shared" si="0"/>
        <v>0</v>
      </c>
      <c r="R30" s="38">
        <f t="shared" si="1"/>
        <v>0</v>
      </c>
    </row>
    <row r="31" spans="1:18" ht="18" x14ac:dyDescent="0.35">
      <c r="A31" s="34">
        <v>23</v>
      </c>
      <c r="B31" s="37" t="s">
        <v>124</v>
      </c>
      <c r="C31" s="36" t="s">
        <v>35</v>
      </c>
      <c r="D31" s="37">
        <v>2191</v>
      </c>
      <c r="E31" s="37"/>
      <c r="F31" s="41" t="s">
        <v>126</v>
      </c>
      <c r="G31" s="26"/>
      <c r="H31" s="35">
        <v>100</v>
      </c>
      <c r="I31" s="35">
        <v>80</v>
      </c>
      <c r="J31" s="26"/>
      <c r="K31" s="35">
        <v>0</v>
      </c>
      <c r="L31" s="35">
        <v>0</v>
      </c>
      <c r="M31" s="35"/>
      <c r="N31" s="35">
        <v>0</v>
      </c>
      <c r="O31" s="35">
        <v>0</v>
      </c>
      <c r="P31" s="26"/>
      <c r="Q31" s="37">
        <f t="shared" si="0"/>
        <v>100</v>
      </c>
      <c r="R31" s="38">
        <f t="shared" si="1"/>
        <v>80</v>
      </c>
    </row>
    <row r="32" spans="1:18" ht="18" x14ac:dyDescent="0.35">
      <c r="A32" s="34">
        <v>24</v>
      </c>
      <c r="B32" s="37" t="s">
        <v>124</v>
      </c>
      <c r="C32" s="36" t="s">
        <v>35</v>
      </c>
      <c r="D32" s="37">
        <v>2191</v>
      </c>
      <c r="E32" s="37"/>
      <c r="F32" s="41" t="s">
        <v>174</v>
      </c>
      <c r="G32" s="26"/>
      <c r="H32" s="35">
        <v>145</v>
      </c>
      <c r="I32" s="35">
        <v>135</v>
      </c>
      <c r="J32" s="26"/>
      <c r="K32" s="35">
        <v>0</v>
      </c>
      <c r="L32" s="35">
        <v>0</v>
      </c>
      <c r="M32" s="35"/>
      <c r="N32" s="35">
        <v>60</v>
      </c>
      <c r="O32" s="35">
        <v>51</v>
      </c>
      <c r="P32" s="26"/>
      <c r="Q32" s="37">
        <f t="shared" si="0"/>
        <v>205</v>
      </c>
      <c r="R32" s="38">
        <f t="shared" si="1"/>
        <v>186</v>
      </c>
    </row>
    <row r="33" spans="1:18" ht="18" x14ac:dyDescent="0.35">
      <c r="A33" s="34">
        <v>25</v>
      </c>
      <c r="B33" s="37" t="s">
        <v>124</v>
      </c>
      <c r="C33" s="36" t="s">
        <v>35</v>
      </c>
      <c r="D33" s="37">
        <v>2122</v>
      </c>
      <c r="E33" s="37"/>
      <c r="F33" s="41" t="s">
        <v>127</v>
      </c>
      <c r="G33" s="26"/>
      <c r="H33" s="35">
        <v>0</v>
      </c>
      <c r="I33" s="35">
        <v>0</v>
      </c>
      <c r="J33" s="26"/>
      <c r="K33" s="35">
        <v>0</v>
      </c>
      <c r="L33" s="35">
        <v>0</v>
      </c>
      <c r="M33" s="35"/>
      <c r="N33" s="35">
        <v>220</v>
      </c>
      <c r="O33" s="35">
        <v>220</v>
      </c>
      <c r="P33" s="26"/>
      <c r="Q33" s="37">
        <f t="shared" si="0"/>
        <v>220</v>
      </c>
      <c r="R33" s="38">
        <f t="shared" si="1"/>
        <v>220</v>
      </c>
    </row>
    <row r="34" spans="1:18" ht="18" hidden="1" x14ac:dyDescent="0.35">
      <c r="A34" s="34">
        <v>26</v>
      </c>
      <c r="B34" s="37" t="s">
        <v>124</v>
      </c>
      <c r="C34" s="36" t="s">
        <v>35</v>
      </c>
      <c r="D34" s="37">
        <v>2122</v>
      </c>
      <c r="E34" s="37"/>
      <c r="F34" s="41" t="s">
        <v>128</v>
      </c>
      <c r="G34" s="26"/>
      <c r="H34" s="35">
        <v>0</v>
      </c>
      <c r="I34" s="35">
        <v>0</v>
      </c>
      <c r="J34" s="26"/>
      <c r="K34" s="35">
        <v>0</v>
      </c>
      <c r="L34" s="35">
        <v>0</v>
      </c>
      <c r="M34" s="26"/>
      <c r="N34" s="35">
        <v>10</v>
      </c>
      <c r="O34" s="35">
        <v>9</v>
      </c>
      <c r="P34" s="26"/>
      <c r="Q34" s="37">
        <f t="shared" si="0"/>
        <v>10</v>
      </c>
      <c r="R34" s="38">
        <f t="shared" si="1"/>
        <v>9</v>
      </c>
    </row>
    <row r="35" spans="1:18" ht="18" hidden="1" x14ac:dyDescent="0.35">
      <c r="A35" s="34">
        <v>27</v>
      </c>
      <c r="B35" s="37" t="s">
        <v>124</v>
      </c>
      <c r="C35" s="36" t="s">
        <v>35</v>
      </c>
      <c r="D35" s="37">
        <v>2123</v>
      </c>
      <c r="E35" s="37"/>
      <c r="F35" s="41" t="s">
        <v>127</v>
      </c>
      <c r="G35" s="26"/>
      <c r="H35" s="35">
        <v>0</v>
      </c>
      <c r="I35" s="35">
        <v>0</v>
      </c>
      <c r="J35" s="26"/>
      <c r="K35" s="35">
        <v>0</v>
      </c>
      <c r="L35" s="35">
        <v>0</v>
      </c>
      <c r="M35" s="26"/>
      <c r="N35" s="35">
        <v>0</v>
      </c>
      <c r="O35" s="35">
        <v>0</v>
      </c>
      <c r="P35" s="26"/>
      <c r="Q35" s="37">
        <f t="shared" si="0"/>
        <v>0</v>
      </c>
      <c r="R35" s="38">
        <f t="shared" si="1"/>
        <v>0</v>
      </c>
    </row>
    <row r="36" spans="1:18" ht="18" hidden="1" x14ac:dyDescent="0.35">
      <c r="A36" s="34">
        <v>28</v>
      </c>
      <c r="B36" s="37" t="s">
        <v>124</v>
      </c>
      <c r="C36" s="36" t="s">
        <v>35</v>
      </c>
      <c r="D36" s="37">
        <v>2123</v>
      </c>
      <c r="E36" s="37"/>
      <c r="F36" s="41" t="s">
        <v>129</v>
      </c>
      <c r="G36" s="26"/>
      <c r="H36" s="35">
        <v>0</v>
      </c>
      <c r="I36" s="35">
        <v>0</v>
      </c>
      <c r="J36" s="26"/>
      <c r="K36" s="35">
        <v>0</v>
      </c>
      <c r="L36" s="35">
        <v>0</v>
      </c>
      <c r="M36" s="26"/>
      <c r="N36" s="35">
        <v>0</v>
      </c>
      <c r="O36" s="35">
        <v>0</v>
      </c>
      <c r="P36" s="26"/>
      <c r="Q36" s="37">
        <f t="shared" si="0"/>
        <v>0</v>
      </c>
      <c r="R36" s="38">
        <f t="shared" si="1"/>
        <v>0</v>
      </c>
    </row>
    <row r="37" spans="1:18" ht="18" hidden="1" x14ac:dyDescent="0.35">
      <c r="A37" s="34">
        <v>29</v>
      </c>
      <c r="B37" s="37" t="s">
        <v>124</v>
      </c>
      <c r="C37" s="36" t="s">
        <v>35</v>
      </c>
      <c r="D37" s="37">
        <v>2123</v>
      </c>
      <c r="E37" s="37"/>
      <c r="F37" s="41" t="s">
        <v>128</v>
      </c>
      <c r="G37" s="26"/>
      <c r="H37" s="35">
        <v>0</v>
      </c>
      <c r="I37" s="35">
        <v>0</v>
      </c>
      <c r="J37" s="26"/>
      <c r="K37" s="35">
        <v>0</v>
      </c>
      <c r="L37" s="35">
        <v>0</v>
      </c>
      <c r="M37" s="26"/>
      <c r="N37" s="35">
        <v>0</v>
      </c>
      <c r="O37" s="35">
        <v>0</v>
      </c>
      <c r="P37" s="26"/>
      <c r="Q37" s="37">
        <f t="shared" si="0"/>
        <v>0</v>
      </c>
      <c r="R37" s="38">
        <f t="shared" si="1"/>
        <v>0</v>
      </c>
    </row>
    <row r="38" spans="1:18" ht="18" hidden="1" x14ac:dyDescent="0.35">
      <c r="A38" s="34">
        <v>30</v>
      </c>
      <c r="B38" s="37" t="s">
        <v>131</v>
      </c>
      <c r="C38" s="36" t="s">
        <v>35</v>
      </c>
      <c r="D38" s="37">
        <v>2123</v>
      </c>
      <c r="E38" s="37"/>
      <c r="F38" s="41" t="s">
        <v>128</v>
      </c>
      <c r="G38" s="26"/>
      <c r="H38" s="35">
        <v>0</v>
      </c>
      <c r="I38" s="35">
        <v>0</v>
      </c>
      <c r="J38" s="26"/>
      <c r="K38" s="35">
        <v>0</v>
      </c>
      <c r="L38" s="35">
        <v>0</v>
      </c>
      <c r="M38" s="26"/>
      <c r="N38" s="35">
        <v>0</v>
      </c>
      <c r="O38" s="35">
        <v>0</v>
      </c>
      <c r="P38" s="26"/>
      <c r="Q38" s="37">
        <f t="shared" si="0"/>
        <v>0</v>
      </c>
      <c r="R38" s="38">
        <f t="shared" si="1"/>
        <v>0</v>
      </c>
    </row>
    <row r="39" spans="1:18" ht="18" hidden="1" x14ac:dyDescent="0.35">
      <c r="A39" s="34">
        <v>31</v>
      </c>
      <c r="B39" s="37" t="s">
        <v>162</v>
      </c>
      <c r="C39" s="42" t="s">
        <v>35</v>
      </c>
      <c r="D39" s="37">
        <v>98814</v>
      </c>
      <c r="E39" s="37">
        <v>304.8</v>
      </c>
      <c r="F39" s="41" t="s">
        <v>10</v>
      </c>
      <c r="G39" s="26"/>
      <c r="H39" s="35">
        <v>0</v>
      </c>
      <c r="I39" s="35">
        <v>0</v>
      </c>
      <c r="J39" s="26"/>
      <c r="K39" s="35">
        <v>0</v>
      </c>
      <c r="L39" s="35">
        <v>0</v>
      </c>
      <c r="M39" s="26"/>
      <c r="N39" s="35">
        <v>0</v>
      </c>
      <c r="O39" s="35">
        <v>0</v>
      </c>
      <c r="P39" s="26"/>
      <c r="Q39" s="37">
        <f t="shared" si="0"/>
        <v>0</v>
      </c>
      <c r="R39" s="38">
        <f t="shared" si="1"/>
        <v>0</v>
      </c>
    </row>
    <row r="40" spans="1:18" ht="18" hidden="1" x14ac:dyDescent="0.35">
      <c r="A40" s="34">
        <v>32</v>
      </c>
      <c r="B40" s="37" t="s">
        <v>39</v>
      </c>
      <c r="C40" s="42" t="s">
        <v>35</v>
      </c>
      <c r="D40" s="37">
        <v>98814</v>
      </c>
      <c r="E40" s="37">
        <v>304.8</v>
      </c>
      <c r="F40" s="41" t="s">
        <v>39</v>
      </c>
      <c r="G40" s="37" t="s">
        <v>96</v>
      </c>
      <c r="H40" s="35">
        <v>0</v>
      </c>
      <c r="I40" s="35">
        <v>0</v>
      </c>
      <c r="J40" s="37"/>
      <c r="K40" s="35">
        <v>0</v>
      </c>
      <c r="L40" s="35">
        <v>0</v>
      </c>
      <c r="M40" s="23"/>
      <c r="N40" s="35">
        <v>0</v>
      </c>
      <c r="O40" s="35">
        <v>0</v>
      </c>
      <c r="P40" s="23"/>
      <c r="Q40" s="37">
        <f t="shared" si="0"/>
        <v>0</v>
      </c>
      <c r="R40" s="38">
        <f>I40+L40+O40</f>
        <v>0</v>
      </c>
    </row>
    <row r="41" spans="1:18" ht="18" hidden="1" x14ac:dyDescent="0.35">
      <c r="A41" s="34">
        <v>33</v>
      </c>
      <c r="B41" s="37" t="s">
        <v>132</v>
      </c>
      <c r="C41" s="42" t="s">
        <v>172</v>
      </c>
      <c r="D41" s="37">
        <v>86805</v>
      </c>
      <c r="E41" s="37"/>
      <c r="F41" s="41" t="s">
        <v>12</v>
      </c>
      <c r="G41" s="37" t="s">
        <v>173</v>
      </c>
      <c r="H41" s="35">
        <v>0</v>
      </c>
      <c r="I41" s="35">
        <v>0</v>
      </c>
      <c r="J41" s="37"/>
      <c r="K41" s="35">
        <v>0</v>
      </c>
      <c r="L41" s="35">
        <v>0</v>
      </c>
      <c r="M41" s="26"/>
      <c r="N41" s="35">
        <v>0</v>
      </c>
      <c r="O41" s="35">
        <v>0</v>
      </c>
      <c r="P41" s="26"/>
      <c r="Q41" s="37">
        <f t="shared" si="0"/>
        <v>0</v>
      </c>
      <c r="R41" s="38">
        <f t="shared" si="1"/>
        <v>0</v>
      </c>
    </row>
    <row r="42" spans="1:18" ht="18" hidden="1" x14ac:dyDescent="0.35">
      <c r="A42" s="34">
        <v>34</v>
      </c>
      <c r="B42" s="37" t="s">
        <v>158</v>
      </c>
      <c r="C42" s="42" t="s">
        <v>35</v>
      </c>
      <c r="D42" s="37">
        <v>98815</v>
      </c>
      <c r="E42" s="37">
        <v>406.4</v>
      </c>
      <c r="F42" s="41" t="s">
        <v>135</v>
      </c>
      <c r="G42" s="37" t="s">
        <v>133</v>
      </c>
      <c r="H42" s="35">
        <v>0</v>
      </c>
      <c r="I42" s="35">
        <v>0</v>
      </c>
      <c r="J42" s="37"/>
      <c r="K42" s="35">
        <v>0</v>
      </c>
      <c r="L42" s="35">
        <v>0</v>
      </c>
      <c r="M42" s="26"/>
      <c r="N42" s="35">
        <v>0</v>
      </c>
      <c r="O42" s="35">
        <v>0</v>
      </c>
      <c r="P42" s="26"/>
      <c r="Q42" s="37">
        <f t="shared" si="0"/>
        <v>0</v>
      </c>
      <c r="R42" s="38">
        <f t="shared" si="1"/>
        <v>0</v>
      </c>
    </row>
    <row r="43" spans="1:18" ht="18" hidden="1" x14ac:dyDescent="0.35">
      <c r="A43" s="34">
        <v>35</v>
      </c>
      <c r="B43" s="37" t="s">
        <v>170</v>
      </c>
      <c r="C43" s="42" t="s">
        <v>35</v>
      </c>
      <c r="D43" s="37">
        <v>98815</v>
      </c>
      <c r="E43" s="37">
        <v>406.4</v>
      </c>
      <c r="F43" s="41" t="s">
        <v>159</v>
      </c>
      <c r="G43" s="37" t="s">
        <v>133</v>
      </c>
      <c r="H43" s="35">
        <v>0</v>
      </c>
      <c r="I43" s="35">
        <v>0</v>
      </c>
      <c r="J43" s="37"/>
      <c r="K43" s="35">
        <v>0</v>
      </c>
      <c r="L43" s="35">
        <v>0</v>
      </c>
      <c r="M43" s="26"/>
      <c r="N43" s="35">
        <v>0</v>
      </c>
      <c r="O43" s="35">
        <v>0</v>
      </c>
      <c r="P43" s="26"/>
      <c r="Q43" s="37">
        <f t="shared" si="0"/>
        <v>0</v>
      </c>
      <c r="R43" s="38">
        <f t="shared" si="1"/>
        <v>0</v>
      </c>
    </row>
    <row r="44" spans="1:18" ht="18" hidden="1" x14ac:dyDescent="0.35">
      <c r="A44" s="34">
        <v>36</v>
      </c>
      <c r="B44" s="37" t="s">
        <v>171</v>
      </c>
      <c r="C44" s="42" t="s">
        <v>141</v>
      </c>
      <c r="D44" s="37">
        <v>82527</v>
      </c>
      <c r="E44" s="37">
        <v>155</v>
      </c>
      <c r="F44" s="41" t="s">
        <v>142</v>
      </c>
      <c r="G44" s="37" t="s">
        <v>96</v>
      </c>
      <c r="H44" s="35">
        <v>0</v>
      </c>
      <c r="I44" s="35">
        <v>0</v>
      </c>
      <c r="J44" s="37"/>
      <c r="K44" s="35">
        <v>0</v>
      </c>
      <c r="L44" s="35">
        <v>0</v>
      </c>
      <c r="M44" s="26"/>
      <c r="N44" s="35">
        <v>0</v>
      </c>
      <c r="O44" s="35">
        <v>0</v>
      </c>
      <c r="P44" s="26"/>
      <c r="Q44" s="37">
        <f t="shared" si="0"/>
        <v>0</v>
      </c>
      <c r="R44" s="38">
        <f t="shared" si="1"/>
        <v>0</v>
      </c>
    </row>
    <row r="45" spans="1:18" ht="18" x14ac:dyDescent="0.35">
      <c r="A45" s="34">
        <v>37</v>
      </c>
      <c r="B45" s="37" t="s">
        <v>143</v>
      </c>
      <c r="C45" s="42" t="s">
        <v>144</v>
      </c>
      <c r="D45" s="37">
        <v>83872</v>
      </c>
      <c r="E45" s="37">
        <v>967.65</v>
      </c>
      <c r="F45" s="41" t="s">
        <v>145</v>
      </c>
      <c r="G45" s="37" t="s">
        <v>136</v>
      </c>
      <c r="H45" s="35">
        <v>0</v>
      </c>
      <c r="I45" s="35">
        <v>0</v>
      </c>
      <c r="J45" s="37"/>
      <c r="K45" s="35">
        <v>0</v>
      </c>
      <c r="L45" s="35">
        <v>0</v>
      </c>
      <c r="M45" s="35"/>
      <c r="N45" s="35">
        <v>100</v>
      </c>
      <c r="O45" s="35">
        <v>73</v>
      </c>
      <c r="P45" s="26"/>
      <c r="Q45" s="37">
        <f t="shared" si="0"/>
        <v>100</v>
      </c>
      <c r="R45" s="38">
        <f t="shared" si="1"/>
        <v>73</v>
      </c>
    </row>
    <row r="46" spans="1:18" ht="18" hidden="1" x14ac:dyDescent="0.35">
      <c r="A46" s="34">
        <v>38</v>
      </c>
      <c r="B46" s="37" t="s">
        <v>146</v>
      </c>
      <c r="C46" s="42" t="s">
        <v>144</v>
      </c>
      <c r="D46" s="37">
        <v>83834</v>
      </c>
      <c r="E46" s="37">
        <v>898.89</v>
      </c>
      <c r="F46" s="41" t="s">
        <v>147</v>
      </c>
      <c r="G46" s="37" t="s">
        <v>96</v>
      </c>
      <c r="H46" s="35">
        <v>0</v>
      </c>
      <c r="I46" s="35">
        <v>0</v>
      </c>
      <c r="J46" s="37"/>
      <c r="K46" s="35">
        <v>0</v>
      </c>
      <c r="L46" s="35">
        <v>0</v>
      </c>
      <c r="M46" s="35"/>
      <c r="N46" s="35">
        <v>0</v>
      </c>
      <c r="O46" s="35">
        <v>0</v>
      </c>
      <c r="P46" s="26"/>
      <c r="Q46" s="37">
        <f t="shared" si="0"/>
        <v>0</v>
      </c>
      <c r="R46" s="38">
        <f>I46+L46+O46</f>
        <v>0</v>
      </c>
    </row>
    <row r="47" spans="1:18" ht="36" hidden="1" x14ac:dyDescent="0.35">
      <c r="A47" s="34">
        <v>39</v>
      </c>
      <c r="B47" s="43" t="s">
        <v>151</v>
      </c>
      <c r="C47" s="36" t="s">
        <v>167</v>
      </c>
      <c r="D47" s="35">
        <v>93293</v>
      </c>
      <c r="E47" s="35">
        <v>16.2</v>
      </c>
      <c r="F47" s="40" t="s">
        <v>169</v>
      </c>
      <c r="G47" s="35" t="s">
        <v>104</v>
      </c>
      <c r="H47" s="35">
        <v>0</v>
      </c>
      <c r="I47" s="35">
        <v>0</v>
      </c>
      <c r="J47" s="37"/>
      <c r="K47" s="35">
        <v>0</v>
      </c>
      <c r="L47" s="35">
        <v>0</v>
      </c>
      <c r="M47" s="35"/>
      <c r="N47" s="35">
        <v>0</v>
      </c>
      <c r="O47" s="35">
        <v>0</v>
      </c>
      <c r="P47" s="35"/>
      <c r="Q47" s="35">
        <f t="shared" si="0"/>
        <v>0</v>
      </c>
      <c r="R47" s="44">
        <f t="shared" si="1"/>
        <v>0</v>
      </c>
    </row>
    <row r="48" spans="1:18" ht="36" x14ac:dyDescent="0.35">
      <c r="A48" s="34">
        <v>40</v>
      </c>
      <c r="B48" s="43" t="s">
        <v>148</v>
      </c>
      <c r="C48" s="36" t="s">
        <v>167</v>
      </c>
      <c r="D48" s="35">
        <v>93290</v>
      </c>
      <c r="E48" s="35">
        <v>2382</v>
      </c>
      <c r="F48" s="40" t="s">
        <v>150</v>
      </c>
      <c r="G48" s="35" t="s">
        <v>113</v>
      </c>
      <c r="H48" s="35">
        <v>0</v>
      </c>
      <c r="I48" s="35">
        <v>0</v>
      </c>
      <c r="J48" s="35"/>
      <c r="K48" s="35">
        <v>0</v>
      </c>
      <c r="L48" s="35">
        <v>0</v>
      </c>
      <c r="M48" s="35" t="s">
        <v>168</v>
      </c>
      <c r="N48" s="35">
        <v>2000</v>
      </c>
      <c r="O48" s="35">
        <v>1976</v>
      </c>
      <c r="P48" s="26"/>
      <c r="Q48" s="35">
        <f t="shared" si="0"/>
        <v>2000</v>
      </c>
      <c r="R48" s="44">
        <f t="shared" si="1"/>
        <v>1976</v>
      </c>
    </row>
    <row r="49" spans="1:18" ht="36" hidden="1" x14ac:dyDescent="0.35">
      <c r="A49" s="34">
        <v>41</v>
      </c>
      <c r="B49" s="43" t="s">
        <v>151</v>
      </c>
      <c r="C49" s="36" t="s">
        <v>167</v>
      </c>
      <c r="D49" s="35">
        <v>93292</v>
      </c>
      <c r="E49" s="35">
        <v>1134</v>
      </c>
      <c r="F49" s="40" t="s">
        <v>150</v>
      </c>
      <c r="G49" s="35" t="s">
        <v>113</v>
      </c>
      <c r="H49" s="35">
        <v>0</v>
      </c>
      <c r="I49" s="35">
        <v>0</v>
      </c>
      <c r="J49" s="37"/>
      <c r="K49" s="35">
        <v>0</v>
      </c>
      <c r="L49" s="35">
        <v>0</v>
      </c>
      <c r="M49" s="35"/>
      <c r="N49" s="35">
        <v>0</v>
      </c>
      <c r="O49" s="35">
        <v>0</v>
      </c>
      <c r="P49" s="26"/>
      <c r="Q49" s="35">
        <f>N49+K49+H49</f>
        <v>0</v>
      </c>
      <c r="R49" s="44">
        <f t="shared" si="1"/>
        <v>0</v>
      </c>
    </row>
  </sheetData>
  <autoFilter ref="A1:R49" xr:uid="{00000000-0009-0000-0000-00000C000000}">
    <filterColumn colId="0" showButton="0">
      <filters>
        <filter val="1"/>
        <filter val="13"/>
        <filter val="2"/>
        <filter val="23"/>
        <filter val="24"/>
        <filter val="25"/>
        <filter val="37"/>
        <filter val="4"/>
        <filter val="40"/>
        <filter val="5"/>
        <filter val="6"/>
        <filter val="7"/>
        <filter val="8"/>
        <filter val="9"/>
      </filters>
    </filterColumn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3"/>
  <sheetViews>
    <sheetView workbookViewId="0">
      <selection sqref="A1:R23"/>
    </sheetView>
  </sheetViews>
  <sheetFormatPr defaultRowHeight="14.4" x14ac:dyDescent="0.3"/>
  <cols>
    <col min="2" max="2" width="19.88671875" customWidth="1"/>
    <col min="3" max="3" width="25.6640625" customWidth="1"/>
    <col min="4" max="4" width="12.5546875" customWidth="1"/>
    <col min="5" max="5" width="17.5546875" customWidth="1"/>
    <col min="6" max="6" width="29.109375" customWidth="1"/>
    <col min="10" max="10" width="12.109375" customWidth="1"/>
    <col min="11" max="12" width="0" hidden="1" customWidth="1"/>
    <col min="13" max="13" width="12.109375" hidden="1" customWidth="1"/>
    <col min="16" max="16" width="13" customWidth="1"/>
    <col min="17" max="17" width="12.88671875" customWidth="1"/>
    <col min="18" max="18" width="16.5546875" customWidth="1"/>
  </cols>
  <sheetData>
    <row r="1" spans="1:18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48"/>
      <c r="M5" s="49"/>
      <c r="N5" s="26"/>
      <c r="O5" s="28" t="s">
        <v>76</v>
      </c>
      <c r="P5" s="29" t="s">
        <v>208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56" t="s">
        <v>83</v>
      </c>
      <c r="L6" s="56"/>
      <c r="M6" s="56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2</v>
      </c>
      <c r="B8" s="35" t="s">
        <v>94</v>
      </c>
      <c r="C8" s="36" t="s">
        <v>184</v>
      </c>
      <c r="D8" s="35">
        <v>96720</v>
      </c>
      <c r="E8" s="35">
        <v>5700</v>
      </c>
      <c r="F8" s="35" t="s">
        <v>92</v>
      </c>
      <c r="G8" s="35" t="s">
        <v>101</v>
      </c>
      <c r="H8" s="35">
        <v>80</v>
      </c>
      <c r="I8" s="35">
        <v>80</v>
      </c>
      <c r="J8" s="35"/>
      <c r="K8" s="35">
        <v>120</v>
      </c>
      <c r="L8" s="35">
        <v>0</v>
      </c>
      <c r="M8" s="35"/>
      <c r="N8" s="35">
        <v>57</v>
      </c>
      <c r="O8" s="35">
        <v>57</v>
      </c>
      <c r="P8" s="35"/>
      <c r="Q8" s="37">
        <f t="shared" ref="Q8:Q22" si="0">N8+K8+H8</f>
        <v>257</v>
      </c>
      <c r="R8" s="38">
        <f t="shared" ref="R8:R23" si="1">I8+L8+O8</f>
        <v>137</v>
      </c>
    </row>
    <row r="9" spans="1:18" ht="18" x14ac:dyDescent="0.35">
      <c r="A9" s="34">
        <v>3</v>
      </c>
      <c r="B9" s="35" t="s">
        <v>94</v>
      </c>
      <c r="C9" s="36" t="s">
        <v>35</v>
      </c>
      <c r="D9" s="35">
        <v>98808</v>
      </c>
      <c r="E9" s="35">
        <v>418.2</v>
      </c>
      <c r="F9" s="35" t="s">
        <v>92</v>
      </c>
      <c r="G9" s="35" t="s">
        <v>207</v>
      </c>
      <c r="H9" s="35">
        <v>0</v>
      </c>
      <c r="I9" s="35">
        <v>0</v>
      </c>
      <c r="J9" s="35"/>
      <c r="K9" s="35"/>
      <c r="L9" s="35"/>
      <c r="M9" s="35"/>
      <c r="N9" s="35">
        <v>400</v>
      </c>
      <c r="O9" s="35">
        <v>340</v>
      </c>
      <c r="P9" s="35"/>
      <c r="Q9" s="37">
        <v>400</v>
      </c>
      <c r="R9" s="38">
        <v>340</v>
      </c>
    </row>
    <row r="10" spans="1:18" ht="18" x14ac:dyDescent="0.35">
      <c r="A10" s="34">
        <v>4</v>
      </c>
      <c r="B10" s="35" t="s">
        <v>181</v>
      </c>
      <c r="C10" s="36" t="s">
        <v>97</v>
      </c>
      <c r="D10" s="35">
        <v>86308</v>
      </c>
      <c r="E10" s="35">
        <v>55.88</v>
      </c>
      <c r="F10" s="35" t="s">
        <v>166</v>
      </c>
      <c r="G10" s="35" t="s">
        <v>96</v>
      </c>
      <c r="H10" s="35">
        <v>240</v>
      </c>
      <c r="I10" s="35">
        <v>240</v>
      </c>
      <c r="J10" s="35"/>
      <c r="K10" s="35">
        <v>240</v>
      </c>
      <c r="L10" s="35">
        <v>0</v>
      </c>
      <c r="M10" s="35"/>
      <c r="N10" s="35">
        <v>240</v>
      </c>
      <c r="O10" s="35">
        <v>240</v>
      </c>
      <c r="P10" s="35"/>
      <c r="Q10" s="37">
        <f t="shared" si="0"/>
        <v>720</v>
      </c>
      <c r="R10" s="38">
        <f t="shared" si="1"/>
        <v>480</v>
      </c>
    </row>
    <row r="11" spans="1:18" ht="18" x14ac:dyDescent="0.35">
      <c r="A11" s="34">
        <v>5</v>
      </c>
      <c r="B11" s="35" t="s">
        <v>182</v>
      </c>
      <c r="C11" s="36" t="s">
        <v>97</v>
      </c>
      <c r="D11" s="35">
        <v>86308</v>
      </c>
      <c r="E11" s="35">
        <v>55.88</v>
      </c>
      <c r="F11" s="35" t="s">
        <v>166</v>
      </c>
      <c r="G11" s="35" t="s">
        <v>96</v>
      </c>
      <c r="H11" s="35">
        <v>240</v>
      </c>
      <c r="I11" s="35">
        <v>230</v>
      </c>
      <c r="J11" s="35"/>
      <c r="K11" s="35">
        <v>240</v>
      </c>
      <c r="L11" s="35">
        <v>0</v>
      </c>
      <c r="M11" s="35"/>
      <c r="N11" s="35">
        <v>256</v>
      </c>
      <c r="O11" s="35">
        <v>256</v>
      </c>
      <c r="P11" s="35"/>
      <c r="Q11" s="37">
        <f t="shared" si="0"/>
        <v>736</v>
      </c>
      <c r="R11" s="38">
        <f t="shared" si="1"/>
        <v>486</v>
      </c>
    </row>
    <row r="12" spans="1:18" ht="18" x14ac:dyDescent="0.35">
      <c r="A12" s="34">
        <v>6</v>
      </c>
      <c r="B12" s="35" t="s">
        <v>105</v>
      </c>
      <c r="C12" s="36" t="s">
        <v>95</v>
      </c>
      <c r="D12" s="35">
        <v>86308</v>
      </c>
      <c r="E12" s="35">
        <v>55.88</v>
      </c>
      <c r="F12" s="35" t="s">
        <v>92</v>
      </c>
      <c r="G12" s="35" t="s">
        <v>96</v>
      </c>
      <c r="H12" s="35">
        <v>240</v>
      </c>
      <c r="I12" s="35">
        <v>164</v>
      </c>
      <c r="J12" s="35"/>
      <c r="K12" s="35">
        <v>240</v>
      </c>
      <c r="L12" s="35">
        <v>0</v>
      </c>
      <c r="M12" s="35"/>
      <c r="N12" s="35">
        <v>240</v>
      </c>
      <c r="O12" s="35">
        <v>261</v>
      </c>
      <c r="P12" s="35"/>
      <c r="Q12" s="37">
        <f t="shared" si="0"/>
        <v>720</v>
      </c>
      <c r="R12" s="38">
        <f t="shared" si="1"/>
        <v>425</v>
      </c>
    </row>
    <row r="13" spans="1:18" ht="18" x14ac:dyDescent="0.35">
      <c r="A13" s="34">
        <v>7</v>
      </c>
      <c r="B13" s="35" t="s">
        <v>106</v>
      </c>
      <c r="C13" s="36" t="s">
        <v>95</v>
      </c>
      <c r="D13" s="35">
        <v>86308</v>
      </c>
      <c r="E13" s="35">
        <v>55.88</v>
      </c>
      <c r="F13" s="35" t="s">
        <v>92</v>
      </c>
      <c r="G13" s="35" t="s">
        <v>163</v>
      </c>
      <c r="H13" s="35">
        <v>240</v>
      </c>
      <c r="I13" s="35">
        <v>143</v>
      </c>
      <c r="J13" s="35"/>
      <c r="K13" s="35">
        <v>240</v>
      </c>
      <c r="L13" s="35">
        <v>0</v>
      </c>
      <c r="M13" s="35"/>
      <c r="N13" s="35">
        <v>240</v>
      </c>
      <c r="O13" s="35">
        <v>270</v>
      </c>
      <c r="P13" s="35"/>
      <c r="Q13" s="37">
        <f t="shared" si="0"/>
        <v>720</v>
      </c>
      <c r="R13" s="38">
        <f t="shared" si="1"/>
        <v>413</v>
      </c>
    </row>
    <row r="14" spans="1:18" ht="18" x14ac:dyDescent="0.35">
      <c r="A14" s="34">
        <v>9</v>
      </c>
      <c r="B14" s="35" t="s">
        <v>185</v>
      </c>
      <c r="C14" s="36" t="s">
        <v>97</v>
      </c>
      <c r="D14" s="35">
        <v>86308</v>
      </c>
      <c r="E14" s="35">
        <v>55.88</v>
      </c>
      <c r="F14" s="35" t="s">
        <v>186</v>
      </c>
      <c r="G14" s="35" t="s">
        <v>187</v>
      </c>
      <c r="H14" s="35">
        <v>960</v>
      </c>
      <c r="I14" s="35">
        <v>720</v>
      </c>
      <c r="J14" s="35"/>
      <c r="K14" s="35">
        <v>960</v>
      </c>
      <c r="L14" s="35">
        <v>0</v>
      </c>
      <c r="M14" s="35"/>
      <c r="N14" s="35">
        <v>960</v>
      </c>
      <c r="O14" s="35">
        <v>0</v>
      </c>
      <c r="P14" s="35"/>
      <c r="Q14" s="37">
        <f t="shared" si="0"/>
        <v>2880</v>
      </c>
      <c r="R14" s="38">
        <f t="shared" si="1"/>
        <v>720</v>
      </c>
    </row>
    <row r="15" spans="1:18" ht="18" x14ac:dyDescent="0.35">
      <c r="A15" s="34">
        <v>10</v>
      </c>
      <c r="B15" s="35" t="s">
        <v>109</v>
      </c>
      <c r="C15" s="36" t="s">
        <v>35</v>
      </c>
      <c r="D15" s="35">
        <v>98815</v>
      </c>
      <c r="E15" s="35">
        <v>420.12</v>
      </c>
      <c r="F15" s="35" t="s">
        <v>92</v>
      </c>
      <c r="G15" s="35" t="s">
        <v>175</v>
      </c>
      <c r="H15" s="35">
        <v>0</v>
      </c>
      <c r="I15" s="35">
        <v>0</v>
      </c>
      <c r="J15" s="35"/>
      <c r="K15" s="35"/>
      <c r="L15" s="35"/>
      <c r="M15" s="35"/>
      <c r="N15" s="35">
        <v>520</v>
      </c>
      <c r="O15" s="35">
        <v>520</v>
      </c>
      <c r="P15" s="35"/>
      <c r="Q15" s="37">
        <v>520</v>
      </c>
      <c r="R15" s="38">
        <v>520</v>
      </c>
    </row>
    <row r="16" spans="1:18" ht="18" x14ac:dyDescent="0.35">
      <c r="A16" s="34">
        <v>10</v>
      </c>
      <c r="B16" s="35" t="s">
        <v>109</v>
      </c>
      <c r="C16" s="36" t="s">
        <v>35</v>
      </c>
      <c r="D16" s="35">
        <v>98815</v>
      </c>
      <c r="E16" s="35">
        <v>406.4</v>
      </c>
      <c r="F16" s="35">
        <v>90</v>
      </c>
      <c r="G16" s="35" t="s">
        <v>175</v>
      </c>
      <c r="H16" s="35">
        <v>480</v>
      </c>
      <c r="I16" s="35">
        <v>230</v>
      </c>
      <c r="J16" s="35"/>
      <c r="K16" s="35">
        <v>0</v>
      </c>
      <c r="L16" s="35">
        <v>0</v>
      </c>
      <c r="M16" s="35"/>
      <c r="N16" s="35">
        <v>0</v>
      </c>
      <c r="O16" s="35">
        <v>0</v>
      </c>
      <c r="P16" s="35"/>
      <c r="Q16" s="37">
        <f t="shared" si="0"/>
        <v>480</v>
      </c>
      <c r="R16" s="38">
        <f t="shared" si="1"/>
        <v>230</v>
      </c>
    </row>
    <row r="17" spans="1:18" ht="18" x14ac:dyDescent="0.35">
      <c r="A17" s="34">
        <v>23</v>
      </c>
      <c r="B17" s="37" t="s">
        <v>124</v>
      </c>
      <c r="C17" s="36" t="s">
        <v>35</v>
      </c>
      <c r="D17" s="37">
        <v>2191</v>
      </c>
      <c r="E17" s="37"/>
      <c r="F17" s="41" t="s">
        <v>126</v>
      </c>
      <c r="G17" s="26"/>
      <c r="H17" s="35">
        <v>140</v>
      </c>
      <c r="I17" s="35">
        <v>80</v>
      </c>
      <c r="J17" s="26"/>
      <c r="K17" s="35">
        <v>0</v>
      </c>
      <c r="L17" s="35">
        <v>0</v>
      </c>
      <c r="M17" s="35"/>
      <c r="N17" s="35">
        <v>110</v>
      </c>
      <c r="O17" s="35">
        <v>110</v>
      </c>
      <c r="P17" s="26"/>
      <c r="Q17" s="37">
        <f t="shared" si="0"/>
        <v>250</v>
      </c>
      <c r="R17" s="38">
        <f t="shared" si="1"/>
        <v>190</v>
      </c>
    </row>
    <row r="18" spans="1:18" ht="18" x14ac:dyDescent="0.35">
      <c r="A18" s="34">
        <v>24</v>
      </c>
      <c r="B18" s="37" t="s">
        <v>124</v>
      </c>
      <c r="C18" s="36" t="s">
        <v>35</v>
      </c>
      <c r="D18" s="37">
        <v>2191</v>
      </c>
      <c r="E18" s="37"/>
      <c r="F18" s="41" t="s">
        <v>174</v>
      </c>
      <c r="G18" s="26"/>
      <c r="H18" s="35">
        <v>0</v>
      </c>
      <c r="I18" s="35">
        <v>0</v>
      </c>
      <c r="J18" s="26"/>
      <c r="K18" s="35">
        <v>0</v>
      </c>
      <c r="L18" s="35">
        <v>0</v>
      </c>
      <c r="M18" s="35"/>
      <c r="N18" s="35">
        <v>110</v>
      </c>
      <c r="O18" s="35">
        <v>110</v>
      </c>
      <c r="P18" s="26"/>
      <c r="Q18" s="37">
        <f t="shared" si="0"/>
        <v>110</v>
      </c>
      <c r="R18" s="38">
        <f t="shared" si="1"/>
        <v>110</v>
      </c>
    </row>
    <row r="19" spans="1:18" ht="18" x14ac:dyDescent="0.35">
      <c r="A19" s="34">
        <v>33</v>
      </c>
      <c r="B19" s="37" t="s">
        <v>132</v>
      </c>
      <c r="C19" s="42" t="s">
        <v>206</v>
      </c>
      <c r="D19" s="37">
        <v>83872</v>
      </c>
      <c r="E19" s="37">
        <v>967.7</v>
      </c>
      <c r="F19" s="41" t="s">
        <v>12</v>
      </c>
      <c r="G19" s="37" t="s">
        <v>173</v>
      </c>
      <c r="H19" s="35">
        <v>20</v>
      </c>
      <c r="I19" s="35">
        <v>17</v>
      </c>
      <c r="J19" s="37"/>
      <c r="K19" s="35">
        <v>0</v>
      </c>
      <c r="L19" s="35">
        <v>0</v>
      </c>
      <c r="M19" s="26"/>
      <c r="N19" s="35">
        <v>0</v>
      </c>
      <c r="O19" s="35">
        <v>0</v>
      </c>
      <c r="P19" s="26"/>
      <c r="Q19" s="37">
        <f t="shared" si="0"/>
        <v>20</v>
      </c>
      <c r="R19" s="38">
        <f t="shared" si="1"/>
        <v>17</v>
      </c>
    </row>
    <row r="20" spans="1:18" ht="18" x14ac:dyDescent="0.35">
      <c r="A20" s="34">
        <v>34</v>
      </c>
      <c r="B20" s="37" t="s">
        <v>158</v>
      </c>
      <c r="C20" s="42" t="s">
        <v>35</v>
      </c>
      <c r="D20" s="37">
        <v>98815</v>
      </c>
      <c r="E20" s="37">
        <v>406.4</v>
      </c>
      <c r="F20" s="41" t="s">
        <v>135</v>
      </c>
      <c r="G20" s="37" t="s">
        <v>133</v>
      </c>
      <c r="H20" s="35">
        <v>480</v>
      </c>
      <c r="I20" s="35">
        <v>200</v>
      </c>
      <c r="J20" s="37"/>
      <c r="K20" s="35">
        <v>0</v>
      </c>
      <c r="L20" s="35">
        <v>0</v>
      </c>
      <c r="M20" s="26"/>
      <c r="N20" s="35">
        <v>193</v>
      </c>
      <c r="O20" s="35">
        <v>193</v>
      </c>
      <c r="P20" s="26"/>
      <c r="Q20" s="37">
        <f t="shared" si="0"/>
        <v>673</v>
      </c>
      <c r="R20" s="38">
        <f t="shared" si="1"/>
        <v>393</v>
      </c>
    </row>
    <row r="21" spans="1:18" ht="18" x14ac:dyDescent="0.35">
      <c r="A21" s="34">
        <v>35</v>
      </c>
      <c r="B21" s="37" t="s">
        <v>170</v>
      </c>
      <c r="C21" s="42" t="s">
        <v>35</v>
      </c>
      <c r="D21" s="37">
        <v>98815</v>
      </c>
      <c r="E21" s="37">
        <v>406.4</v>
      </c>
      <c r="F21" s="41" t="s">
        <v>159</v>
      </c>
      <c r="G21" s="37" t="s">
        <v>133</v>
      </c>
      <c r="H21" s="35">
        <v>480</v>
      </c>
      <c r="I21" s="35">
        <v>200</v>
      </c>
      <c r="J21" s="37"/>
      <c r="K21" s="35">
        <v>0</v>
      </c>
      <c r="L21" s="35">
        <v>0</v>
      </c>
      <c r="M21" s="26"/>
      <c r="N21" s="35">
        <v>197</v>
      </c>
      <c r="O21" s="35">
        <v>197</v>
      </c>
      <c r="P21" s="26"/>
      <c r="Q21" s="37">
        <f t="shared" si="0"/>
        <v>677</v>
      </c>
      <c r="R21" s="38">
        <f t="shared" si="1"/>
        <v>397</v>
      </c>
    </row>
    <row r="22" spans="1:18" ht="18" x14ac:dyDescent="0.35">
      <c r="A22" s="34">
        <v>38</v>
      </c>
      <c r="B22" s="37" t="s">
        <v>146</v>
      </c>
      <c r="C22" s="42" t="s">
        <v>144</v>
      </c>
      <c r="D22" s="37">
        <v>83872</v>
      </c>
      <c r="E22" s="37">
        <v>967.7</v>
      </c>
      <c r="F22" s="41" t="s">
        <v>147</v>
      </c>
      <c r="G22" s="37" t="s">
        <v>96</v>
      </c>
      <c r="H22" s="35">
        <v>100</v>
      </c>
      <c r="I22" s="35">
        <v>73</v>
      </c>
      <c r="J22" s="37"/>
      <c r="K22" s="35">
        <v>0</v>
      </c>
      <c r="L22" s="35">
        <v>0</v>
      </c>
      <c r="M22" s="35"/>
      <c r="N22" s="35">
        <v>0</v>
      </c>
      <c r="O22" s="35">
        <v>0</v>
      </c>
      <c r="P22" s="26"/>
      <c r="Q22" s="37">
        <f t="shared" si="0"/>
        <v>100</v>
      </c>
      <c r="R22" s="38">
        <f>I22+L22+O22</f>
        <v>73</v>
      </c>
    </row>
    <row r="23" spans="1:18" ht="36" x14ac:dyDescent="0.35">
      <c r="A23" s="34">
        <v>41</v>
      </c>
      <c r="B23" s="43" t="s">
        <v>151</v>
      </c>
      <c r="C23" s="36" t="s">
        <v>167</v>
      </c>
      <c r="D23" s="35">
        <v>93292</v>
      </c>
      <c r="E23" s="35">
        <v>1134</v>
      </c>
      <c r="F23" s="40" t="s">
        <v>150</v>
      </c>
      <c r="G23" s="35" t="s">
        <v>113</v>
      </c>
      <c r="H23" s="35">
        <v>3000</v>
      </c>
      <c r="I23" s="35">
        <v>2678</v>
      </c>
      <c r="J23" s="37"/>
      <c r="K23" s="35">
        <v>0</v>
      </c>
      <c r="L23" s="35">
        <v>0</v>
      </c>
      <c r="M23" s="35"/>
      <c r="N23" s="35">
        <v>1000</v>
      </c>
      <c r="O23" s="35">
        <v>703</v>
      </c>
      <c r="P23" s="26"/>
      <c r="Q23" s="35">
        <f>N23+K23+H23</f>
        <v>4000</v>
      </c>
      <c r="R23" s="44">
        <f t="shared" si="1"/>
        <v>3381</v>
      </c>
    </row>
  </sheetData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R48"/>
  <sheetViews>
    <sheetView workbookViewId="0">
      <selection activeCell="H24" sqref="H24"/>
    </sheetView>
  </sheetViews>
  <sheetFormatPr defaultRowHeight="14.4" x14ac:dyDescent="0.3"/>
  <cols>
    <col min="2" max="2" width="19.33203125" customWidth="1"/>
    <col min="3" max="3" width="20.44140625" customWidth="1"/>
    <col min="6" max="6" width="27.6640625" customWidth="1"/>
    <col min="10" max="10" width="11.88671875" customWidth="1"/>
    <col min="13" max="13" width="12.44140625" customWidth="1"/>
    <col min="16" max="16" width="12.6640625" customWidth="1"/>
    <col min="17" max="17" width="15.88671875" customWidth="1"/>
    <col min="18" max="18" width="20.33203125" customWidth="1"/>
  </cols>
  <sheetData>
    <row r="1" spans="1:18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8" t="s">
        <v>76</v>
      </c>
      <c r="P5" s="29" t="s">
        <v>209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56" t="s">
        <v>83</v>
      </c>
      <c r="L6" s="56"/>
      <c r="M6" s="56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hidden="1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hidden="1" x14ac:dyDescent="0.35">
      <c r="A8" s="34">
        <v>1</v>
      </c>
      <c r="B8" s="35" t="s">
        <v>91</v>
      </c>
      <c r="C8" s="36" t="s">
        <v>35</v>
      </c>
      <c r="D8" s="35">
        <v>98812</v>
      </c>
      <c r="E8" s="35">
        <v>292.10000000000002</v>
      </c>
      <c r="F8" s="35" t="s">
        <v>92</v>
      </c>
      <c r="G8" s="35" t="s">
        <v>93</v>
      </c>
      <c r="H8" s="35">
        <v>0</v>
      </c>
      <c r="I8" s="35">
        <v>0</v>
      </c>
      <c r="J8" s="35"/>
      <c r="K8" s="35">
        <v>0</v>
      </c>
      <c r="L8" s="35">
        <v>0</v>
      </c>
      <c r="M8" s="35"/>
      <c r="N8" s="35">
        <v>0</v>
      </c>
      <c r="O8" s="35">
        <v>0</v>
      </c>
      <c r="P8" s="35"/>
      <c r="Q8" s="37">
        <f>N8+K8+H8</f>
        <v>0</v>
      </c>
      <c r="R8" s="38">
        <f>I8+L8+O8</f>
        <v>0</v>
      </c>
    </row>
    <row r="9" spans="1:18" ht="18" x14ac:dyDescent="0.35">
      <c r="A9" s="34">
        <v>2</v>
      </c>
      <c r="B9" s="35" t="s">
        <v>94</v>
      </c>
      <c r="C9" s="36" t="s">
        <v>184</v>
      </c>
      <c r="D9" s="35">
        <v>90720</v>
      </c>
      <c r="E9" s="35">
        <v>5700</v>
      </c>
      <c r="F9" s="35" t="s">
        <v>92</v>
      </c>
      <c r="G9" s="35" t="s">
        <v>96</v>
      </c>
      <c r="H9" s="35">
        <v>80</v>
      </c>
      <c r="I9" s="35">
        <v>75</v>
      </c>
      <c r="J9" s="35"/>
      <c r="K9" s="35">
        <v>70</v>
      </c>
      <c r="L9" s="35">
        <v>56</v>
      </c>
      <c r="M9" s="35"/>
      <c r="N9" s="35">
        <v>0</v>
      </c>
      <c r="O9" s="35">
        <v>0</v>
      </c>
      <c r="P9" s="35"/>
      <c r="Q9" s="37">
        <f t="shared" ref="Q9:Q47" si="0">N9+K9+H9</f>
        <v>150</v>
      </c>
      <c r="R9" s="38">
        <f t="shared" ref="R9:R48" si="1">I9+L9+O9</f>
        <v>131</v>
      </c>
    </row>
    <row r="10" spans="1:18" ht="18" hidden="1" x14ac:dyDescent="0.35">
      <c r="A10" s="34">
        <v>3</v>
      </c>
      <c r="B10" s="35" t="s">
        <v>94</v>
      </c>
      <c r="C10" s="36" t="s">
        <v>35</v>
      </c>
      <c r="D10" s="35">
        <v>98808</v>
      </c>
      <c r="E10" s="35">
        <v>76.2</v>
      </c>
      <c r="F10" s="35" t="s">
        <v>92</v>
      </c>
      <c r="G10" s="35" t="s">
        <v>154</v>
      </c>
      <c r="H10" s="35">
        <v>0</v>
      </c>
      <c r="I10" s="35">
        <v>0</v>
      </c>
      <c r="J10" s="35"/>
      <c r="K10" s="35">
        <v>0</v>
      </c>
      <c r="L10" s="35">
        <v>0</v>
      </c>
      <c r="M10" s="35"/>
      <c r="N10" s="35">
        <v>0</v>
      </c>
      <c r="O10" s="35">
        <v>0</v>
      </c>
      <c r="P10" s="35"/>
      <c r="Q10" s="37">
        <f t="shared" si="0"/>
        <v>0</v>
      </c>
      <c r="R10" s="38">
        <f t="shared" si="1"/>
        <v>0</v>
      </c>
    </row>
    <row r="11" spans="1:18" ht="18" hidden="1" x14ac:dyDescent="0.35">
      <c r="A11" s="34">
        <v>4</v>
      </c>
      <c r="B11" s="35" t="s">
        <v>181</v>
      </c>
      <c r="C11" s="36" t="s">
        <v>97</v>
      </c>
      <c r="D11" s="35">
        <v>93799</v>
      </c>
      <c r="E11" s="35">
        <v>86.36</v>
      </c>
      <c r="F11" s="35" t="s">
        <v>166</v>
      </c>
      <c r="G11" s="35" t="s">
        <v>96</v>
      </c>
      <c r="H11" s="35">
        <v>0</v>
      </c>
      <c r="I11" s="35">
        <v>0</v>
      </c>
      <c r="J11" s="35"/>
      <c r="K11" s="35">
        <v>0</v>
      </c>
      <c r="L11" s="35">
        <v>0</v>
      </c>
      <c r="M11" s="35"/>
      <c r="N11" s="35">
        <v>0</v>
      </c>
      <c r="O11" s="35">
        <v>0</v>
      </c>
      <c r="P11" s="35"/>
      <c r="Q11" s="37">
        <f t="shared" si="0"/>
        <v>0</v>
      </c>
      <c r="R11" s="38">
        <f t="shared" si="1"/>
        <v>0</v>
      </c>
    </row>
    <row r="12" spans="1:18" ht="18" hidden="1" x14ac:dyDescent="0.35">
      <c r="A12" s="34">
        <v>5</v>
      </c>
      <c r="B12" s="35" t="s">
        <v>182</v>
      </c>
      <c r="C12" s="36" t="s">
        <v>97</v>
      </c>
      <c r="D12" s="35">
        <v>93799</v>
      </c>
      <c r="E12" s="35">
        <v>86.36</v>
      </c>
      <c r="F12" s="35" t="s">
        <v>166</v>
      </c>
      <c r="G12" s="35" t="s">
        <v>96</v>
      </c>
      <c r="H12" s="35">
        <v>0</v>
      </c>
      <c r="I12" s="35">
        <v>0</v>
      </c>
      <c r="J12" s="35"/>
      <c r="K12" s="35">
        <v>0</v>
      </c>
      <c r="L12" s="35">
        <v>0</v>
      </c>
      <c r="M12" s="35"/>
      <c r="N12" s="35">
        <v>0</v>
      </c>
      <c r="O12" s="35">
        <v>0</v>
      </c>
      <c r="P12" s="35"/>
      <c r="Q12" s="37">
        <f t="shared" si="0"/>
        <v>0</v>
      </c>
      <c r="R12" s="38">
        <f t="shared" si="1"/>
        <v>0</v>
      </c>
    </row>
    <row r="13" spans="1:18" ht="18" hidden="1" x14ac:dyDescent="0.35">
      <c r="A13" s="34">
        <v>6</v>
      </c>
      <c r="B13" s="35" t="s">
        <v>105</v>
      </c>
      <c r="C13" s="36" t="s">
        <v>95</v>
      </c>
      <c r="D13" s="35">
        <v>86308</v>
      </c>
      <c r="E13" s="35">
        <v>55.88</v>
      </c>
      <c r="F13" s="35" t="s">
        <v>92</v>
      </c>
      <c r="G13" s="35" t="s">
        <v>96</v>
      </c>
      <c r="H13" s="35">
        <v>0</v>
      </c>
      <c r="I13" s="35">
        <v>0</v>
      </c>
      <c r="J13" s="35" t="s">
        <v>164</v>
      </c>
      <c r="K13" s="35">
        <v>0</v>
      </c>
      <c r="L13" s="35">
        <v>0</v>
      </c>
      <c r="M13" s="35"/>
      <c r="N13" s="35">
        <v>0</v>
      </c>
      <c r="O13" s="35">
        <v>0</v>
      </c>
      <c r="P13" s="35"/>
      <c r="Q13" s="37">
        <f t="shared" si="0"/>
        <v>0</v>
      </c>
      <c r="R13" s="38">
        <f t="shared" si="1"/>
        <v>0</v>
      </c>
    </row>
    <row r="14" spans="1:18" ht="18" hidden="1" x14ac:dyDescent="0.35">
      <c r="A14" s="34">
        <v>7</v>
      </c>
      <c r="B14" s="35" t="s">
        <v>106</v>
      </c>
      <c r="C14" s="36" t="s">
        <v>95</v>
      </c>
      <c r="D14" s="35">
        <v>86308</v>
      </c>
      <c r="E14" s="35">
        <v>55.88</v>
      </c>
      <c r="F14" s="35" t="s">
        <v>92</v>
      </c>
      <c r="G14" s="35" t="s">
        <v>163</v>
      </c>
      <c r="H14" s="35">
        <v>0</v>
      </c>
      <c r="I14" s="35">
        <v>0</v>
      </c>
      <c r="J14" s="35" t="s">
        <v>164</v>
      </c>
      <c r="K14" s="35">
        <v>0</v>
      </c>
      <c r="L14" s="35">
        <v>0</v>
      </c>
      <c r="M14" s="35"/>
      <c r="N14" s="35">
        <v>0</v>
      </c>
      <c r="O14" s="35">
        <v>0</v>
      </c>
      <c r="P14" s="35"/>
      <c r="Q14" s="37">
        <f t="shared" si="0"/>
        <v>0</v>
      </c>
      <c r="R14" s="38">
        <f t="shared" si="1"/>
        <v>0</v>
      </c>
    </row>
    <row r="15" spans="1:18" ht="18" hidden="1" x14ac:dyDescent="0.35">
      <c r="A15" s="34">
        <v>8</v>
      </c>
      <c r="B15" s="35" t="s">
        <v>108</v>
      </c>
      <c r="C15" s="36" t="s">
        <v>95</v>
      </c>
      <c r="D15" s="35">
        <v>86308</v>
      </c>
      <c r="E15" s="35">
        <v>55.88</v>
      </c>
      <c r="F15" s="35" t="s">
        <v>92</v>
      </c>
      <c r="G15" s="35" t="s">
        <v>96</v>
      </c>
      <c r="H15" s="35">
        <v>0</v>
      </c>
      <c r="I15" s="35">
        <v>0</v>
      </c>
      <c r="J15" s="35" t="s">
        <v>165</v>
      </c>
      <c r="K15" s="35">
        <v>0</v>
      </c>
      <c r="L15" s="35">
        <v>0</v>
      </c>
      <c r="M15" s="35" t="s">
        <v>165</v>
      </c>
      <c r="N15" s="35">
        <v>0</v>
      </c>
      <c r="O15" s="35">
        <v>0</v>
      </c>
      <c r="P15" s="35"/>
      <c r="Q15" s="37">
        <f t="shared" si="0"/>
        <v>0</v>
      </c>
      <c r="R15" s="38">
        <f t="shared" si="1"/>
        <v>0</v>
      </c>
    </row>
    <row r="16" spans="1:18" ht="18" hidden="1" x14ac:dyDescent="0.35">
      <c r="A16" s="34">
        <v>9</v>
      </c>
      <c r="B16" s="35" t="s">
        <v>185</v>
      </c>
      <c r="C16" s="36" t="s">
        <v>97</v>
      </c>
      <c r="D16" s="35">
        <v>93799</v>
      </c>
      <c r="E16" s="35">
        <v>86.36</v>
      </c>
      <c r="F16" s="35" t="s">
        <v>186</v>
      </c>
      <c r="G16" s="35" t="s">
        <v>187</v>
      </c>
      <c r="H16" s="35">
        <v>0</v>
      </c>
      <c r="I16" s="35">
        <v>0</v>
      </c>
      <c r="J16" s="35"/>
      <c r="K16" s="35">
        <v>0</v>
      </c>
      <c r="L16" s="35">
        <v>0</v>
      </c>
      <c r="M16" s="35"/>
      <c r="N16" s="35">
        <v>0</v>
      </c>
      <c r="O16" s="35">
        <v>0</v>
      </c>
      <c r="P16" s="35"/>
      <c r="Q16" s="37">
        <f t="shared" si="0"/>
        <v>0</v>
      </c>
      <c r="R16" s="38">
        <f t="shared" si="1"/>
        <v>0</v>
      </c>
    </row>
    <row r="17" spans="1:18" ht="18" hidden="1" x14ac:dyDescent="0.35">
      <c r="A17" s="34">
        <v>10</v>
      </c>
      <c r="B17" s="35" t="s">
        <v>102</v>
      </c>
      <c r="C17" s="36" t="s">
        <v>35</v>
      </c>
      <c r="D17" s="35">
        <v>98814</v>
      </c>
      <c r="E17" s="35">
        <v>304.8</v>
      </c>
      <c r="F17" s="35">
        <v>90</v>
      </c>
      <c r="G17" s="35" t="s">
        <v>175</v>
      </c>
      <c r="H17" s="35">
        <v>0</v>
      </c>
      <c r="I17" s="35">
        <v>0</v>
      </c>
      <c r="J17" s="35"/>
      <c r="K17" s="35">
        <v>0</v>
      </c>
      <c r="L17" s="35">
        <v>0</v>
      </c>
      <c r="M17" s="35"/>
      <c r="N17" s="35">
        <v>0</v>
      </c>
      <c r="O17" s="35">
        <v>0</v>
      </c>
      <c r="P17" s="35"/>
      <c r="Q17" s="37">
        <f t="shared" si="0"/>
        <v>0</v>
      </c>
      <c r="R17" s="38">
        <f t="shared" si="1"/>
        <v>0</v>
      </c>
    </row>
    <row r="18" spans="1:18" ht="18" hidden="1" x14ac:dyDescent="0.35">
      <c r="A18" s="34">
        <v>11</v>
      </c>
      <c r="B18" s="35" t="s">
        <v>102</v>
      </c>
      <c r="C18" s="36" t="s">
        <v>35</v>
      </c>
      <c r="D18" s="35">
        <v>98808</v>
      </c>
      <c r="E18" s="35">
        <v>418.2</v>
      </c>
      <c r="F18" s="35">
        <v>90</v>
      </c>
      <c r="G18" s="35" t="s">
        <v>175</v>
      </c>
      <c r="H18" s="35">
        <v>0</v>
      </c>
      <c r="I18" s="35">
        <v>0</v>
      </c>
      <c r="J18" s="35"/>
      <c r="K18" s="35">
        <v>0</v>
      </c>
      <c r="L18" s="35">
        <v>0</v>
      </c>
      <c r="M18" s="35"/>
      <c r="N18" s="35">
        <v>0</v>
      </c>
      <c r="O18" s="35">
        <v>0</v>
      </c>
      <c r="P18" s="35"/>
      <c r="Q18" s="37">
        <f t="shared" si="0"/>
        <v>0</v>
      </c>
      <c r="R18" s="38">
        <f t="shared" si="1"/>
        <v>0</v>
      </c>
    </row>
    <row r="19" spans="1:18" ht="18" x14ac:dyDescent="0.35">
      <c r="A19" s="34">
        <v>12</v>
      </c>
      <c r="B19" s="35" t="s">
        <v>111</v>
      </c>
      <c r="C19" s="36" t="s">
        <v>35</v>
      </c>
      <c r="D19" s="35">
        <v>2123</v>
      </c>
      <c r="E19" s="35"/>
      <c r="F19" s="35" t="s">
        <v>114</v>
      </c>
      <c r="G19" s="35" t="s">
        <v>154</v>
      </c>
      <c r="H19" s="35">
        <v>0</v>
      </c>
      <c r="I19" s="35">
        <v>0</v>
      </c>
      <c r="J19" s="35"/>
      <c r="K19" s="35">
        <v>0</v>
      </c>
      <c r="L19" s="35">
        <v>0</v>
      </c>
      <c r="M19" s="35"/>
      <c r="N19" s="35">
        <v>64</v>
      </c>
      <c r="O19" s="35">
        <v>64</v>
      </c>
      <c r="P19" s="35"/>
      <c r="Q19" s="37">
        <f t="shared" si="0"/>
        <v>64</v>
      </c>
      <c r="R19" s="38">
        <f t="shared" si="1"/>
        <v>64</v>
      </c>
    </row>
    <row r="20" spans="1:18" ht="18" x14ac:dyDescent="0.35">
      <c r="A20" s="34">
        <v>13</v>
      </c>
      <c r="B20" s="35" t="s">
        <v>111</v>
      </c>
      <c r="C20" s="36" t="s">
        <v>35</v>
      </c>
      <c r="D20" s="35">
        <v>98811</v>
      </c>
      <c r="E20" s="35">
        <v>11.05</v>
      </c>
      <c r="F20" s="35">
        <v>90</v>
      </c>
      <c r="G20" s="35" t="s">
        <v>155</v>
      </c>
      <c r="H20" s="35">
        <v>0</v>
      </c>
      <c r="I20" s="35">
        <v>0</v>
      </c>
      <c r="J20" s="35"/>
      <c r="K20" s="35">
        <v>200</v>
      </c>
      <c r="L20" s="35">
        <v>180</v>
      </c>
      <c r="M20" s="35"/>
      <c r="N20" s="35">
        <v>0</v>
      </c>
      <c r="O20" s="35">
        <v>0</v>
      </c>
      <c r="P20" s="35"/>
      <c r="Q20" s="37">
        <f t="shared" si="0"/>
        <v>200</v>
      </c>
      <c r="R20" s="38">
        <f t="shared" si="1"/>
        <v>180</v>
      </c>
    </row>
    <row r="21" spans="1:18" ht="18" x14ac:dyDescent="0.35">
      <c r="A21" s="34">
        <v>14</v>
      </c>
      <c r="B21" s="35" t="s">
        <v>111</v>
      </c>
      <c r="C21" s="36" t="s">
        <v>35</v>
      </c>
      <c r="D21" s="35">
        <v>98811</v>
      </c>
      <c r="E21" s="35">
        <v>20.059999999999999</v>
      </c>
      <c r="F21" s="35">
        <v>90</v>
      </c>
      <c r="G21" s="35" t="s">
        <v>155</v>
      </c>
      <c r="H21" s="35">
        <v>0</v>
      </c>
      <c r="I21" s="35">
        <v>0</v>
      </c>
      <c r="J21" s="35"/>
      <c r="K21" s="35">
        <v>120</v>
      </c>
      <c r="L21" s="35">
        <v>120</v>
      </c>
      <c r="M21" s="35"/>
      <c r="N21" s="35">
        <v>0</v>
      </c>
      <c r="O21" s="35">
        <v>0</v>
      </c>
      <c r="P21" s="35"/>
      <c r="Q21" s="37">
        <f t="shared" si="0"/>
        <v>120</v>
      </c>
      <c r="R21" s="38">
        <f t="shared" si="1"/>
        <v>120</v>
      </c>
    </row>
    <row r="22" spans="1:18" ht="18" x14ac:dyDescent="0.35">
      <c r="A22" s="34">
        <v>15</v>
      </c>
      <c r="B22" s="35" t="s">
        <v>121</v>
      </c>
      <c r="C22" s="36" t="s">
        <v>35</v>
      </c>
      <c r="D22" s="35">
        <v>98809</v>
      </c>
      <c r="E22" s="35">
        <v>152.4</v>
      </c>
      <c r="F22" s="40" t="s">
        <v>190</v>
      </c>
      <c r="G22" s="35" t="s">
        <v>154</v>
      </c>
      <c r="H22" s="35">
        <v>400</v>
      </c>
      <c r="I22" s="35">
        <v>400</v>
      </c>
      <c r="J22" s="35"/>
      <c r="K22" s="35">
        <v>0</v>
      </c>
      <c r="L22" s="35">
        <v>0</v>
      </c>
      <c r="M22" s="26"/>
      <c r="N22" s="35">
        <v>0</v>
      </c>
      <c r="O22" s="35">
        <v>0</v>
      </c>
      <c r="P22" s="26"/>
      <c r="Q22" s="37">
        <f t="shared" si="0"/>
        <v>400</v>
      </c>
      <c r="R22" s="38">
        <f t="shared" si="1"/>
        <v>400</v>
      </c>
    </row>
    <row r="23" spans="1:18" ht="18" hidden="1" x14ac:dyDescent="0.35">
      <c r="A23" s="34">
        <v>16</v>
      </c>
      <c r="B23" s="35" t="s">
        <v>116</v>
      </c>
      <c r="C23" s="36" t="s">
        <v>35</v>
      </c>
      <c r="D23" s="35">
        <v>98808</v>
      </c>
      <c r="E23" s="35">
        <v>428.75</v>
      </c>
      <c r="F23" s="40" t="s">
        <v>122</v>
      </c>
      <c r="G23" s="35" t="s">
        <v>154</v>
      </c>
      <c r="H23" s="35">
        <v>0</v>
      </c>
      <c r="I23" s="35">
        <v>0</v>
      </c>
      <c r="J23" s="35"/>
      <c r="K23" s="35">
        <v>0</v>
      </c>
      <c r="L23" s="35">
        <v>0</v>
      </c>
      <c r="M23" s="26"/>
      <c r="N23" s="35">
        <v>0</v>
      </c>
      <c r="O23" s="35">
        <v>0</v>
      </c>
      <c r="P23" s="26"/>
      <c r="Q23" s="37">
        <f t="shared" si="0"/>
        <v>0</v>
      </c>
      <c r="R23" s="38">
        <f t="shared" si="1"/>
        <v>0</v>
      </c>
    </row>
    <row r="24" spans="1:18" ht="18" x14ac:dyDescent="0.35">
      <c r="A24" s="34">
        <v>17</v>
      </c>
      <c r="B24" s="35" t="s">
        <v>116</v>
      </c>
      <c r="C24" s="36" t="s">
        <v>35</v>
      </c>
      <c r="D24" s="35">
        <v>2123</v>
      </c>
      <c r="E24" s="35"/>
      <c r="F24" s="35" t="s">
        <v>123</v>
      </c>
      <c r="G24" s="35" t="s">
        <v>154</v>
      </c>
      <c r="H24" s="35">
        <v>0</v>
      </c>
      <c r="I24" s="35">
        <v>0</v>
      </c>
      <c r="J24" s="35"/>
      <c r="K24" s="35">
        <v>0</v>
      </c>
      <c r="L24" s="35">
        <v>0</v>
      </c>
      <c r="M24" s="26"/>
      <c r="N24" s="35">
        <v>206</v>
      </c>
      <c r="O24" s="35">
        <v>206</v>
      </c>
      <c r="P24" s="26"/>
      <c r="Q24" s="37">
        <f t="shared" si="0"/>
        <v>206</v>
      </c>
      <c r="R24" s="38">
        <f t="shared" si="1"/>
        <v>206</v>
      </c>
    </row>
    <row r="25" spans="1:18" ht="18" hidden="1" x14ac:dyDescent="0.35">
      <c r="A25" s="34">
        <v>18</v>
      </c>
      <c r="B25" s="35" t="s">
        <v>119</v>
      </c>
      <c r="C25" s="36" t="s">
        <v>35</v>
      </c>
      <c r="D25" s="35">
        <v>98808</v>
      </c>
      <c r="E25" s="35">
        <v>428.75</v>
      </c>
      <c r="F25" s="40" t="s">
        <v>40</v>
      </c>
      <c r="G25" s="35" t="s">
        <v>118</v>
      </c>
      <c r="H25" s="35">
        <v>0</v>
      </c>
      <c r="I25" s="35">
        <v>0</v>
      </c>
      <c r="J25" s="35"/>
      <c r="K25" s="35">
        <v>0</v>
      </c>
      <c r="L25" s="35">
        <v>0</v>
      </c>
      <c r="M25" s="26"/>
      <c r="N25" s="35">
        <v>0</v>
      </c>
      <c r="O25" s="35">
        <v>0</v>
      </c>
      <c r="P25" s="26"/>
      <c r="Q25" s="37">
        <f t="shared" si="0"/>
        <v>0</v>
      </c>
      <c r="R25" s="38">
        <f t="shared" si="1"/>
        <v>0</v>
      </c>
    </row>
    <row r="26" spans="1:18" ht="18" x14ac:dyDescent="0.35">
      <c r="A26" s="34">
        <v>19</v>
      </c>
      <c r="B26" s="35" t="s">
        <v>119</v>
      </c>
      <c r="C26" s="36" t="s">
        <v>35</v>
      </c>
      <c r="D26" s="35">
        <v>98809</v>
      </c>
      <c r="E26" s="35">
        <v>152.4</v>
      </c>
      <c r="F26" s="40" t="s">
        <v>122</v>
      </c>
      <c r="G26" s="35" t="s">
        <v>120</v>
      </c>
      <c r="H26" s="35">
        <v>450</v>
      </c>
      <c r="I26" s="35">
        <v>360</v>
      </c>
      <c r="J26" s="35"/>
      <c r="K26" s="35">
        <v>0</v>
      </c>
      <c r="L26" s="35">
        <v>0</v>
      </c>
      <c r="M26" s="26"/>
      <c r="N26" s="35">
        <v>0</v>
      </c>
      <c r="O26" s="35">
        <v>0</v>
      </c>
      <c r="P26" s="26"/>
      <c r="Q26" s="37">
        <f t="shared" si="0"/>
        <v>450</v>
      </c>
      <c r="R26" s="38">
        <f t="shared" si="1"/>
        <v>360</v>
      </c>
    </row>
    <row r="27" spans="1:18" ht="18" hidden="1" x14ac:dyDescent="0.35">
      <c r="A27" s="34">
        <v>20</v>
      </c>
      <c r="B27" s="35" t="s">
        <v>176</v>
      </c>
      <c r="C27" s="36" t="s">
        <v>35</v>
      </c>
      <c r="D27" s="35">
        <v>98808</v>
      </c>
      <c r="E27" s="35">
        <v>418.2</v>
      </c>
      <c r="F27" s="40" t="s">
        <v>122</v>
      </c>
      <c r="G27" s="35" t="s">
        <v>118</v>
      </c>
      <c r="H27" s="35">
        <v>0</v>
      </c>
      <c r="I27" s="35">
        <v>0</v>
      </c>
      <c r="J27" s="35"/>
      <c r="K27" s="35">
        <v>0</v>
      </c>
      <c r="L27" s="35">
        <v>0</v>
      </c>
      <c r="M27" s="26"/>
      <c r="N27" s="35">
        <v>0</v>
      </c>
      <c r="O27" s="35">
        <v>0</v>
      </c>
      <c r="P27" s="26"/>
      <c r="Q27" s="37">
        <f t="shared" si="0"/>
        <v>0</v>
      </c>
      <c r="R27" s="38">
        <f t="shared" si="1"/>
        <v>0</v>
      </c>
    </row>
    <row r="28" spans="1:18" ht="18" hidden="1" x14ac:dyDescent="0.35">
      <c r="A28" s="34">
        <v>21</v>
      </c>
      <c r="B28" s="35" t="s">
        <v>121</v>
      </c>
      <c r="C28" s="36" t="s">
        <v>35</v>
      </c>
      <c r="D28" s="35">
        <v>98808</v>
      </c>
      <c r="E28" s="35">
        <v>428.75</v>
      </c>
      <c r="F28" s="40" t="s">
        <v>122</v>
      </c>
      <c r="G28" s="35" t="s">
        <v>118</v>
      </c>
      <c r="H28" s="35">
        <v>0</v>
      </c>
      <c r="I28" s="35">
        <v>0</v>
      </c>
      <c r="J28" s="35"/>
      <c r="K28" s="35">
        <v>0</v>
      </c>
      <c r="L28" s="35">
        <v>0</v>
      </c>
      <c r="M28" s="35"/>
      <c r="N28" s="35">
        <v>0</v>
      </c>
      <c r="O28" s="35">
        <v>0</v>
      </c>
      <c r="P28" s="26"/>
      <c r="Q28" s="37">
        <f t="shared" si="0"/>
        <v>0</v>
      </c>
      <c r="R28" s="38">
        <f t="shared" si="1"/>
        <v>0</v>
      </c>
    </row>
    <row r="29" spans="1:18" ht="18" hidden="1" x14ac:dyDescent="0.35">
      <c r="A29" s="34">
        <v>22</v>
      </c>
      <c r="B29" s="35" t="s">
        <v>119</v>
      </c>
      <c r="C29" s="36" t="s">
        <v>35</v>
      </c>
      <c r="D29" s="35">
        <v>98812</v>
      </c>
      <c r="E29" s="35"/>
      <c r="F29" s="40" t="s">
        <v>117</v>
      </c>
      <c r="G29" s="35" t="s">
        <v>118</v>
      </c>
      <c r="H29" s="35">
        <v>0</v>
      </c>
      <c r="I29" s="35">
        <v>0</v>
      </c>
      <c r="J29" s="35"/>
      <c r="K29" s="35">
        <v>0</v>
      </c>
      <c r="L29" s="35">
        <v>0</v>
      </c>
      <c r="M29" s="35"/>
      <c r="N29" s="35">
        <v>0</v>
      </c>
      <c r="O29" s="35">
        <v>0</v>
      </c>
      <c r="P29" s="26"/>
      <c r="Q29" s="37">
        <f t="shared" si="0"/>
        <v>0</v>
      </c>
      <c r="R29" s="38">
        <f t="shared" si="1"/>
        <v>0</v>
      </c>
    </row>
    <row r="30" spans="1:18" ht="18" x14ac:dyDescent="0.35">
      <c r="A30" s="34">
        <v>23</v>
      </c>
      <c r="B30" s="37" t="s">
        <v>124</v>
      </c>
      <c r="C30" s="36" t="s">
        <v>35</v>
      </c>
      <c r="D30" s="37">
        <v>2191</v>
      </c>
      <c r="E30" s="37"/>
      <c r="F30" s="41" t="s">
        <v>126</v>
      </c>
      <c r="G30" s="26"/>
      <c r="H30" s="35">
        <v>120</v>
      </c>
      <c r="I30" s="35">
        <v>116</v>
      </c>
      <c r="J30" s="26"/>
      <c r="K30" s="35">
        <v>0</v>
      </c>
      <c r="L30" s="35">
        <v>0</v>
      </c>
      <c r="M30" s="35"/>
      <c r="N30" s="35">
        <v>0</v>
      </c>
      <c r="O30" s="35">
        <v>0</v>
      </c>
      <c r="P30" s="26"/>
      <c r="Q30" s="37">
        <f t="shared" si="0"/>
        <v>120</v>
      </c>
      <c r="R30" s="38">
        <f t="shared" si="1"/>
        <v>116</v>
      </c>
    </row>
    <row r="31" spans="1:18" ht="18" x14ac:dyDescent="0.35">
      <c r="A31" s="34">
        <v>24</v>
      </c>
      <c r="B31" s="37" t="s">
        <v>124</v>
      </c>
      <c r="C31" s="36" t="s">
        <v>35</v>
      </c>
      <c r="D31" s="37">
        <v>2191</v>
      </c>
      <c r="E31" s="37"/>
      <c r="F31" s="41" t="s">
        <v>174</v>
      </c>
      <c r="G31" s="26"/>
      <c r="H31" s="35">
        <v>180</v>
      </c>
      <c r="I31" s="35">
        <v>170</v>
      </c>
      <c r="J31" s="26"/>
      <c r="K31" s="35">
        <v>0</v>
      </c>
      <c r="L31" s="35">
        <v>0</v>
      </c>
      <c r="M31" s="35"/>
      <c r="N31" s="35">
        <v>70</v>
      </c>
      <c r="O31" s="35">
        <v>62</v>
      </c>
      <c r="P31" s="26"/>
      <c r="Q31" s="37">
        <f t="shared" si="0"/>
        <v>250</v>
      </c>
      <c r="R31" s="38">
        <f t="shared" si="1"/>
        <v>232</v>
      </c>
    </row>
    <row r="32" spans="1:18" ht="18" x14ac:dyDescent="0.35">
      <c r="A32" s="34">
        <v>25</v>
      </c>
      <c r="B32" s="37" t="s">
        <v>124</v>
      </c>
      <c r="C32" s="36" t="s">
        <v>35</v>
      </c>
      <c r="D32" s="37">
        <v>2122</v>
      </c>
      <c r="E32" s="37"/>
      <c r="F32" s="41" t="s">
        <v>127</v>
      </c>
      <c r="G32" s="26"/>
      <c r="H32" s="35">
        <v>80</v>
      </c>
      <c r="I32" s="35">
        <v>70</v>
      </c>
      <c r="J32" s="26"/>
      <c r="K32" s="35">
        <v>0</v>
      </c>
      <c r="L32" s="35">
        <v>0</v>
      </c>
      <c r="M32" s="35"/>
      <c r="N32" s="35">
        <v>0</v>
      </c>
      <c r="O32" s="35">
        <v>0</v>
      </c>
      <c r="P32" s="26"/>
      <c r="Q32" s="37">
        <f t="shared" si="0"/>
        <v>80</v>
      </c>
      <c r="R32" s="38">
        <f t="shared" si="1"/>
        <v>70</v>
      </c>
    </row>
    <row r="33" spans="1:18" ht="18" hidden="1" x14ac:dyDescent="0.35">
      <c r="A33" s="34">
        <v>26</v>
      </c>
      <c r="B33" s="37" t="s">
        <v>124</v>
      </c>
      <c r="C33" s="36" t="s">
        <v>35</v>
      </c>
      <c r="D33" s="37">
        <v>2122</v>
      </c>
      <c r="E33" s="37"/>
      <c r="F33" s="41" t="s">
        <v>128</v>
      </c>
      <c r="G33" s="26"/>
      <c r="H33" s="35">
        <v>0</v>
      </c>
      <c r="I33" s="35">
        <v>0</v>
      </c>
      <c r="J33" s="26"/>
      <c r="K33" s="35">
        <v>0</v>
      </c>
      <c r="L33" s="35">
        <v>0</v>
      </c>
      <c r="M33" s="26"/>
      <c r="N33" s="35">
        <v>0</v>
      </c>
      <c r="O33" s="35">
        <v>0</v>
      </c>
      <c r="P33" s="26"/>
      <c r="Q33" s="37">
        <f t="shared" si="0"/>
        <v>0</v>
      </c>
      <c r="R33" s="38">
        <f t="shared" si="1"/>
        <v>0</v>
      </c>
    </row>
    <row r="34" spans="1:18" ht="18" x14ac:dyDescent="0.35">
      <c r="A34" s="34">
        <v>27</v>
      </c>
      <c r="B34" s="37" t="s">
        <v>124</v>
      </c>
      <c r="C34" s="36" t="s">
        <v>35</v>
      </c>
      <c r="D34" s="37">
        <v>2123</v>
      </c>
      <c r="E34" s="37"/>
      <c r="F34" s="41" t="s">
        <v>127</v>
      </c>
      <c r="G34" s="26"/>
      <c r="H34" s="35">
        <v>0</v>
      </c>
      <c r="I34" s="35">
        <v>0</v>
      </c>
      <c r="J34" s="26"/>
      <c r="K34" s="35">
        <v>183</v>
      </c>
      <c r="L34" s="35">
        <v>183</v>
      </c>
      <c r="M34" s="26"/>
      <c r="N34" s="35">
        <v>80</v>
      </c>
      <c r="O34" s="35">
        <v>64</v>
      </c>
      <c r="P34" s="26"/>
      <c r="Q34" s="37">
        <f t="shared" si="0"/>
        <v>263</v>
      </c>
      <c r="R34" s="38">
        <f t="shared" si="1"/>
        <v>247</v>
      </c>
    </row>
    <row r="35" spans="1:18" ht="18" x14ac:dyDescent="0.35">
      <c r="A35" s="34">
        <v>28</v>
      </c>
      <c r="B35" s="37" t="s">
        <v>124</v>
      </c>
      <c r="C35" s="36" t="s">
        <v>35</v>
      </c>
      <c r="D35" s="37">
        <v>2123</v>
      </c>
      <c r="E35" s="37"/>
      <c r="F35" s="41" t="s">
        <v>129</v>
      </c>
      <c r="G35" s="26"/>
      <c r="H35" s="35">
        <v>0</v>
      </c>
      <c r="I35" s="35">
        <v>0</v>
      </c>
      <c r="J35" s="26"/>
      <c r="K35" s="35">
        <v>183</v>
      </c>
      <c r="L35" s="35">
        <v>183</v>
      </c>
      <c r="M35" s="26"/>
      <c r="N35" s="35">
        <v>120</v>
      </c>
      <c r="O35" s="35">
        <v>100</v>
      </c>
      <c r="P35" s="26"/>
      <c r="Q35" s="37">
        <f t="shared" si="0"/>
        <v>303</v>
      </c>
      <c r="R35" s="38">
        <f t="shared" si="1"/>
        <v>283</v>
      </c>
    </row>
    <row r="36" spans="1:18" ht="18" x14ac:dyDescent="0.35">
      <c r="A36" s="34">
        <v>29</v>
      </c>
      <c r="B36" s="37" t="s">
        <v>124</v>
      </c>
      <c r="C36" s="36" t="s">
        <v>35</v>
      </c>
      <c r="D36" s="37">
        <v>2123</v>
      </c>
      <c r="E36" s="37"/>
      <c r="F36" s="41" t="s">
        <v>128</v>
      </c>
      <c r="G36" s="26"/>
      <c r="H36" s="35">
        <v>0</v>
      </c>
      <c r="I36" s="35">
        <v>0</v>
      </c>
      <c r="J36" s="26"/>
      <c r="K36" s="35">
        <v>0</v>
      </c>
      <c r="L36" s="35">
        <v>0</v>
      </c>
      <c r="M36" s="26"/>
      <c r="N36" s="35">
        <v>120</v>
      </c>
      <c r="O36" s="35">
        <v>100</v>
      </c>
      <c r="P36" s="26"/>
      <c r="Q36" s="37">
        <f t="shared" si="0"/>
        <v>120</v>
      </c>
      <c r="R36" s="38">
        <f t="shared" si="1"/>
        <v>100</v>
      </c>
    </row>
    <row r="37" spans="1:18" ht="18" x14ac:dyDescent="0.35">
      <c r="A37" s="34">
        <v>30</v>
      </c>
      <c r="B37" s="37" t="s">
        <v>131</v>
      </c>
      <c r="C37" s="36" t="s">
        <v>35</v>
      </c>
      <c r="D37" s="37">
        <v>2123</v>
      </c>
      <c r="E37" s="37"/>
      <c r="F37" s="41" t="s">
        <v>128</v>
      </c>
      <c r="G37" s="26"/>
      <c r="H37" s="35">
        <v>70</v>
      </c>
      <c r="I37" s="35">
        <v>62</v>
      </c>
      <c r="J37" s="26"/>
      <c r="K37" s="35">
        <v>70</v>
      </c>
      <c r="L37" s="35">
        <v>59</v>
      </c>
      <c r="M37" s="26"/>
      <c r="N37" s="35">
        <v>80</v>
      </c>
      <c r="O37" s="35">
        <v>65</v>
      </c>
      <c r="P37" s="26"/>
      <c r="Q37" s="37">
        <f t="shared" si="0"/>
        <v>220</v>
      </c>
      <c r="R37" s="38">
        <f t="shared" si="1"/>
        <v>186</v>
      </c>
    </row>
    <row r="38" spans="1:18" ht="18" hidden="1" x14ac:dyDescent="0.35">
      <c r="A38" s="34">
        <v>31</v>
      </c>
      <c r="B38" s="37" t="s">
        <v>162</v>
      </c>
      <c r="C38" s="42" t="s">
        <v>35</v>
      </c>
      <c r="D38" s="37">
        <v>98814</v>
      </c>
      <c r="E38" s="37">
        <v>304.8</v>
      </c>
      <c r="F38" s="41" t="s">
        <v>10</v>
      </c>
      <c r="G38" s="26"/>
      <c r="H38" s="35">
        <v>0</v>
      </c>
      <c r="I38" s="35">
        <v>0</v>
      </c>
      <c r="J38" s="26"/>
      <c r="K38" s="35">
        <v>0</v>
      </c>
      <c r="L38" s="35">
        <v>0</v>
      </c>
      <c r="M38" s="26"/>
      <c r="N38" s="35">
        <v>0</v>
      </c>
      <c r="O38" s="35">
        <v>0</v>
      </c>
      <c r="P38" s="26"/>
      <c r="Q38" s="37">
        <f t="shared" si="0"/>
        <v>0</v>
      </c>
      <c r="R38" s="38">
        <f t="shared" si="1"/>
        <v>0</v>
      </c>
    </row>
    <row r="39" spans="1:18" ht="18" x14ac:dyDescent="0.35">
      <c r="A39" s="34">
        <v>32</v>
      </c>
      <c r="B39" s="37" t="s">
        <v>39</v>
      </c>
      <c r="C39" s="42" t="s">
        <v>35</v>
      </c>
      <c r="D39" s="37">
        <v>98814</v>
      </c>
      <c r="E39" s="37">
        <v>304.8</v>
      </c>
      <c r="F39" s="41" t="s">
        <v>39</v>
      </c>
      <c r="G39" s="37" t="s">
        <v>96</v>
      </c>
      <c r="H39" s="35">
        <v>60</v>
      </c>
      <c r="I39" s="35">
        <v>60</v>
      </c>
      <c r="J39" s="37"/>
      <c r="K39" s="35">
        <v>0</v>
      </c>
      <c r="L39" s="35">
        <v>0</v>
      </c>
      <c r="M39" s="23"/>
      <c r="N39" s="35">
        <v>0</v>
      </c>
      <c r="O39" s="35">
        <v>0</v>
      </c>
      <c r="P39" s="23"/>
      <c r="Q39" s="37">
        <f t="shared" si="0"/>
        <v>60</v>
      </c>
      <c r="R39" s="38">
        <f>I39+L39+O39</f>
        <v>60</v>
      </c>
    </row>
    <row r="40" spans="1:18" ht="18" hidden="1" x14ac:dyDescent="0.35">
      <c r="A40" s="34">
        <v>33</v>
      </c>
      <c r="B40" s="37" t="s">
        <v>132</v>
      </c>
      <c r="C40" s="42" t="s">
        <v>172</v>
      </c>
      <c r="D40" s="37">
        <v>86805</v>
      </c>
      <c r="E40" s="37"/>
      <c r="F40" s="41" t="s">
        <v>12</v>
      </c>
      <c r="G40" s="37" t="s">
        <v>173</v>
      </c>
      <c r="H40" s="35">
        <v>0</v>
      </c>
      <c r="I40" s="35">
        <v>0</v>
      </c>
      <c r="J40" s="37"/>
      <c r="K40" s="35">
        <v>0</v>
      </c>
      <c r="L40" s="35">
        <v>0</v>
      </c>
      <c r="M40" s="26"/>
      <c r="N40" s="35">
        <v>0</v>
      </c>
      <c r="O40" s="35">
        <v>0</v>
      </c>
      <c r="P40" s="26"/>
      <c r="Q40" s="37">
        <f t="shared" si="0"/>
        <v>0</v>
      </c>
      <c r="R40" s="38">
        <f t="shared" si="1"/>
        <v>0</v>
      </c>
    </row>
    <row r="41" spans="1:18" ht="18" hidden="1" x14ac:dyDescent="0.35">
      <c r="A41" s="34">
        <v>34</v>
      </c>
      <c r="B41" s="37" t="s">
        <v>158</v>
      </c>
      <c r="C41" s="42" t="s">
        <v>35</v>
      </c>
      <c r="D41" s="37">
        <v>98815</v>
      </c>
      <c r="E41" s="37">
        <v>406.4</v>
      </c>
      <c r="F41" s="41" t="s">
        <v>135</v>
      </c>
      <c r="G41" s="37" t="s">
        <v>133</v>
      </c>
      <c r="H41" s="35">
        <v>0</v>
      </c>
      <c r="I41" s="35">
        <v>0</v>
      </c>
      <c r="J41" s="37"/>
      <c r="K41" s="35">
        <v>0</v>
      </c>
      <c r="L41" s="35">
        <v>0</v>
      </c>
      <c r="M41" s="26"/>
      <c r="N41" s="35">
        <v>0</v>
      </c>
      <c r="O41" s="35">
        <v>0</v>
      </c>
      <c r="P41" s="26"/>
      <c r="Q41" s="37">
        <f t="shared" si="0"/>
        <v>0</v>
      </c>
      <c r="R41" s="38">
        <f t="shared" si="1"/>
        <v>0</v>
      </c>
    </row>
    <row r="42" spans="1:18" ht="18" hidden="1" x14ac:dyDescent="0.35">
      <c r="A42" s="34">
        <v>35</v>
      </c>
      <c r="B42" s="37" t="s">
        <v>170</v>
      </c>
      <c r="C42" s="42" t="s">
        <v>35</v>
      </c>
      <c r="D42" s="37">
        <v>98815</v>
      </c>
      <c r="E42" s="37">
        <v>406.4</v>
      </c>
      <c r="F42" s="41" t="s">
        <v>159</v>
      </c>
      <c r="G42" s="37" t="s">
        <v>133</v>
      </c>
      <c r="H42" s="35">
        <v>0</v>
      </c>
      <c r="I42" s="35">
        <v>0</v>
      </c>
      <c r="J42" s="37"/>
      <c r="K42" s="35">
        <v>0</v>
      </c>
      <c r="L42" s="35">
        <v>0</v>
      </c>
      <c r="M42" s="26"/>
      <c r="N42" s="35">
        <v>0</v>
      </c>
      <c r="O42" s="35">
        <v>0</v>
      </c>
      <c r="P42" s="26"/>
      <c r="Q42" s="37">
        <f t="shared" si="0"/>
        <v>0</v>
      </c>
      <c r="R42" s="38">
        <f t="shared" si="1"/>
        <v>0</v>
      </c>
    </row>
    <row r="43" spans="1:18" ht="18" hidden="1" x14ac:dyDescent="0.35">
      <c r="A43" s="34">
        <v>36</v>
      </c>
      <c r="B43" s="37" t="s">
        <v>171</v>
      </c>
      <c r="C43" s="42" t="s">
        <v>141</v>
      </c>
      <c r="D43" s="37">
        <v>82527</v>
      </c>
      <c r="E43" s="37">
        <v>155</v>
      </c>
      <c r="F43" s="41" t="s">
        <v>142</v>
      </c>
      <c r="G43" s="37" t="s">
        <v>96</v>
      </c>
      <c r="H43" s="35">
        <v>0</v>
      </c>
      <c r="I43" s="35">
        <v>0</v>
      </c>
      <c r="J43" s="37"/>
      <c r="K43" s="35">
        <v>0</v>
      </c>
      <c r="L43" s="35">
        <v>0</v>
      </c>
      <c r="M43" s="26"/>
      <c r="N43" s="35">
        <v>0</v>
      </c>
      <c r="O43" s="35">
        <v>0</v>
      </c>
      <c r="P43" s="26"/>
      <c r="Q43" s="37">
        <f t="shared" si="0"/>
        <v>0</v>
      </c>
      <c r="R43" s="38">
        <f t="shared" si="1"/>
        <v>0</v>
      </c>
    </row>
    <row r="44" spans="1:18" ht="18" hidden="1" x14ac:dyDescent="0.35">
      <c r="A44" s="34">
        <v>37</v>
      </c>
      <c r="B44" s="37" t="s">
        <v>143</v>
      </c>
      <c r="C44" s="42" t="s">
        <v>144</v>
      </c>
      <c r="D44" s="37">
        <v>83572</v>
      </c>
      <c r="E44" s="37">
        <v>967.65</v>
      </c>
      <c r="F44" s="41" t="s">
        <v>145</v>
      </c>
      <c r="G44" s="37" t="s">
        <v>136</v>
      </c>
      <c r="H44" s="35">
        <v>0</v>
      </c>
      <c r="I44" s="35">
        <v>0</v>
      </c>
      <c r="J44" s="37"/>
      <c r="K44" s="35">
        <v>0</v>
      </c>
      <c r="L44" s="35">
        <v>0</v>
      </c>
      <c r="M44" s="35"/>
      <c r="N44" s="35">
        <v>0</v>
      </c>
      <c r="O44" s="35">
        <v>0</v>
      </c>
      <c r="P44" s="26"/>
      <c r="Q44" s="37">
        <f t="shared" si="0"/>
        <v>0</v>
      </c>
      <c r="R44" s="38">
        <f t="shared" si="1"/>
        <v>0</v>
      </c>
    </row>
    <row r="45" spans="1:18" ht="18" hidden="1" x14ac:dyDescent="0.35">
      <c r="A45" s="34">
        <v>38</v>
      </c>
      <c r="B45" s="37" t="s">
        <v>146</v>
      </c>
      <c r="C45" s="42" t="s">
        <v>144</v>
      </c>
      <c r="D45" s="37">
        <v>83834</v>
      </c>
      <c r="E45" s="37">
        <v>898.89</v>
      </c>
      <c r="F45" s="41" t="s">
        <v>147</v>
      </c>
      <c r="G45" s="37" t="s">
        <v>96</v>
      </c>
      <c r="H45" s="35">
        <v>0</v>
      </c>
      <c r="I45" s="35">
        <v>0</v>
      </c>
      <c r="J45" s="37"/>
      <c r="K45" s="35">
        <v>0</v>
      </c>
      <c r="L45" s="35">
        <v>0</v>
      </c>
      <c r="M45" s="35"/>
      <c r="N45" s="35">
        <v>0</v>
      </c>
      <c r="O45" s="35">
        <v>0</v>
      </c>
      <c r="P45" s="26"/>
      <c r="Q45" s="37">
        <f t="shared" si="0"/>
        <v>0</v>
      </c>
      <c r="R45" s="38">
        <f>I45+L45+O45</f>
        <v>0</v>
      </c>
    </row>
    <row r="46" spans="1:18" ht="36" x14ac:dyDescent="0.35">
      <c r="A46" s="34">
        <v>39</v>
      </c>
      <c r="B46" s="43" t="s">
        <v>148</v>
      </c>
      <c r="C46" s="36" t="s">
        <v>167</v>
      </c>
      <c r="D46" s="35">
        <v>93293</v>
      </c>
      <c r="E46" s="35">
        <v>16.2</v>
      </c>
      <c r="F46" s="40" t="s">
        <v>169</v>
      </c>
      <c r="G46" s="35" t="s">
        <v>104</v>
      </c>
      <c r="H46" s="35">
        <v>4800</v>
      </c>
      <c r="I46" s="35">
        <v>3600</v>
      </c>
      <c r="J46" s="37"/>
      <c r="K46" s="35">
        <v>0</v>
      </c>
      <c r="L46" s="35">
        <v>0</v>
      </c>
      <c r="M46" s="35"/>
      <c r="N46" s="35">
        <v>0</v>
      </c>
      <c r="O46" s="35">
        <v>0</v>
      </c>
      <c r="P46" s="35" t="s">
        <v>165</v>
      </c>
      <c r="Q46" s="35">
        <f t="shared" si="0"/>
        <v>4800</v>
      </c>
      <c r="R46" s="44">
        <f t="shared" si="1"/>
        <v>3600</v>
      </c>
    </row>
    <row r="47" spans="1:18" ht="36" x14ac:dyDescent="0.35">
      <c r="A47" s="34">
        <v>40</v>
      </c>
      <c r="B47" s="43" t="s">
        <v>148</v>
      </c>
      <c r="C47" s="36" t="s">
        <v>167</v>
      </c>
      <c r="D47" s="35">
        <v>93290</v>
      </c>
      <c r="E47" s="35">
        <v>2382</v>
      </c>
      <c r="F47" s="40" t="s">
        <v>150</v>
      </c>
      <c r="G47" s="35" t="s">
        <v>113</v>
      </c>
      <c r="H47" s="35">
        <v>2200</v>
      </c>
      <c r="I47" s="35">
        <v>1891</v>
      </c>
      <c r="J47" s="35" t="s">
        <v>168</v>
      </c>
      <c r="K47" s="35">
        <v>3000</v>
      </c>
      <c r="L47" s="35">
        <v>2601</v>
      </c>
      <c r="M47" s="35"/>
      <c r="N47" s="35">
        <v>3000</v>
      </c>
      <c r="O47" s="35">
        <v>2512</v>
      </c>
      <c r="P47" s="26"/>
      <c r="Q47" s="35">
        <f t="shared" si="0"/>
        <v>8200</v>
      </c>
      <c r="R47" s="44">
        <f t="shared" si="1"/>
        <v>7004</v>
      </c>
    </row>
    <row r="48" spans="1:18" ht="36" hidden="1" x14ac:dyDescent="0.35">
      <c r="A48" s="34">
        <v>41</v>
      </c>
      <c r="B48" s="43" t="s">
        <v>151</v>
      </c>
      <c r="C48" s="36" t="s">
        <v>167</v>
      </c>
      <c r="D48" s="35">
        <v>93292</v>
      </c>
      <c r="E48" s="35">
        <v>1134</v>
      </c>
      <c r="F48" s="40" t="s">
        <v>150</v>
      </c>
      <c r="G48" s="35" t="s">
        <v>113</v>
      </c>
      <c r="H48" s="35">
        <v>0</v>
      </c>
      <c r="I48" s="35">
        <v>0</v>
      </c>
      <c r="J48" s="37"/>
      <c r="K48" s="35">
        <v>0</v>
      </c>
      <c r="L48" s="35">
        <v>0</v>
      </c>
      <c r="M48" s="35"/>
      <c r="N48" s="35">
        <v>0</v>
      </c>
      <c r="O48" s="35">
        <v>0</v>
      </c>
      <c r="P48" s="26"/>
      <c r="Q48" s="35">
        <f>N48+K48+H48</f>
        <v>0</v>
      </c>
      <c r="R48" s="44">
        <f t="shared" si="1"/>
        <v>0</v>
      </c>
    </row>
  </sheetData>
  <autoFilter ref="C6:R48" xr:uid="{00000000-0009-0000-0000-00000E000000}">
    <filterColumn colId="5" showButton="0"/>
    <filterColumn colId="6" showButton="0"/>
    <filterColumn colId="8" showButton="0"/>
    <filterColumn colId="9" showButton="0"/>
    <filterColumn colId="11" showButton="0"/>
    <filterColumn colId="12" showButton="0"/>
    <filterColumn colId="15">
      <filters>
        <filter val="100"/>
        <filter val="116"/>
        <filter val="120"/>
        <filter val="131"/>
        <filter val="180"/>
        <filter val="186"/>
        <filter val="206"/>
        <filter val="232"/>
        <filter val="247"/>
        <filter val="283"/>
        <filter val="360"/>
        <filter val="3600"/>
        <filter val="400"/>
        <filter val="60"/>
        <filter val="64"/>
        <filter val="70"/>
        <filter val="7004"/>
      </filters>
    </filterColumn>
  </autoFilter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47"/>
  <sheetViews>
    <sheetView workbookViewId="0">
      <selection sqref="A1:R47"/>
    </sheetView>
  </sheetViews>
  <sheetFormatPr defaultRowHeight="14.4" x14ac:dyDescent="0.3"/>
  <cols>
    <col min="2" max="2" width="19.44140625" customWidth="1"/>
    <col min="3" max="3" width="23" customWidth="1"/>
    <col min="6" max="6" width="29.44140625" customWidth="1"/>
    <col min="10" max="10" width="13.33203125" customWidth="1"/>
    <col min="11" max="12" width="0" hidden="1" customWidth="1"/>
    <col min="13" max="13" width="13.5546875" hidden="1" customWidth="1"/>
    <col min="16" max="16" width="12.5546875" customWidth="1"/>
    <col min="17" max="17" width="13.88671875" customWidth="1"/>
    <col min="18" max="18" width="16.6640625" customWidth="1"/>
  </cols>
  <sheetData>
    <row r="1" spans="1:18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8" t="s">
        <v>76</v>
      </c>
      <c r="P5" s="29" t="s">
        <v>210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93" t="s">
        <v>83</v>
      </c>
      <c r="L6" s="94"/>
      <c r="M6" s="95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91</v>
      </c>
      <c r="C8" s="36" t="s">
        <v>35</v>
      </c>
      <c r="D8" s="35">
        <v>98812</v>
      </c>
      <c r="E8" s="35">
        <v>292.10000000000002</v>
      </c>
      <c r="F8" s="35" t="s">
        <v>92</v>
      </c>
      <c r="G8" s="35" t="s">
        <v>93</v>
      </c>
      <c r="H8" s="35">
        <v>0</v>
      </c>
      <c r="I8" s="35">
        <v>0</v>
      </c>
      <c r="J8" s="35"/>
      <c r="K8" s="35">
        <v>0</v>
      </c>
      <c r="L8" s="35">
        <v>0</v>
      </c>
      <c r="M8" s="35"/>
      <c r="N8" s="35">
        <v>0</v>
      </c>
      <c r="O8" s="35">
        <v>0</v>
      </c>
      <c r="P8" s="35"/>
      <c r="Q8" s="37">
        <f t="shared" ref="Q8:Q47" si="0">N8+K8+H8</f>
        <v>0</v>
      </c>
      <c r="R8" s="38">
        <f t="shared" ref="R8:R47" si="1">I8+L8+O8</f>
        <v>0</v>
      </c>
    </row>
    <row r="9" spans="1:18" ht="18" x14ac:dyDescent="0.35">
      <c r="A9" s="34">
        <v>2</v>
      </c>
      <c r="B9" s="35" t="s">
        <v>94</v>
      </c>
      <c r="C9" s="36" t="s">
        <v>184</v>
      </c>
      <c r="D9" s="35">
        <v>96720</v>
      </c>
      <c r="E9" s="35">
        <v>5700</v>
      </c>
      <c r="F9" s="35" t="s">
        <v>92</v>
      </c>
      <c r="G9" s="35" t="s">
        <v>96</v>
      </c>
      <c r="H9" s="35">
        <v>0</v>
      </c>
      <c r="I9" s="35">
        <v>0</v>
      </c>
      <c r="J9" s="35"/>
      <c r="K9" s="35">
        <v>0</v>
      </c>
      <c r="L9" s="35">
        <v>0</v>
      </c>
      <c r="M9" s="35"/>
      <c r="N9" s="35">
        <v>0</v>
      </c>
      <c r="O9" s="35">
        <v>0</v>
      </c>
      <c r="P9" s="35"/>
      <c r="Q9" s="37">
        <f t="shared" si="0"/>
        <v>0</v>
      </c>
      <c r="R9" s="38">
        <f t="shared" si="1"/>
        <v>0</v>
      </c>
    </row>
    <row r="10" spans="1:18" ht="18" x14ac:dyDescent="0.35">
      <c r="A10" s="34">
        <v>3</v>
      </c>
      <c r="B10" s="35" t="s">
        <v>94</v>
      </c>
      <c r="C10" s="36" t="s">
        <v>35</v>
      </c>
      <c r="D10" s="35">
        <v>98808</v>
      </c>
      <c r="E10" s="35">
        <v>76.2</v>
      </c>
      <c r="F10" s="35" t="s">
        <v>92</v>
      </c>
      <c r="G10" s="35" t="s">
        <v>154</v>
      </c>
      <c r="H10" s="35">
        <v>0</v>
      </c>
      <c r="I10" s="35">
        <v>0</v>
      </c>
      <c r="J10" s="35"/>
      <c r="K10" s="35">
        <v>0</v>
      </c>
      <c r="L10" s="35">
        <v>0</v>
      </c>
      <c r="M10" s="35"/>
      <c r="N10" s="35">
        <v>0</v>
      </c>
      <c r="O10" s="35">
        <v>0</v>
      </c>
      <c r="P10" s="35"/>
      <c r="Q10" s="37">
        <f t="shared" si="0"/>
        <v>0</v>
      </c>
      <c r="R10" s="38">
        <f t="shared" si="1"/>
        <v>0</v>
      </c>
    </row>
    <row r="11" spans="1:18" ht="18" x14ac:dyDescent="0.35">
      <c r="A11" s="34">
        <v>4</v>
      </c>
      <c r="B11" s="35" t="s">
        <v>181</v>
      </c>
      <c r="C11" s="36" t="s">
        <v>97</v>
      </c>
      <c r="D11" s="35">
        <v>93799</v>
      </c>
      <c r="E11" s="35">
        <v>86.36</v>
      </c>
      <c r="F11" s="35" t="s">
        <v>166</v>
      </c>
      <c r="G11" s="35" t="s">
        <v>96</v>
      </c>
      <c r="H11" s="35">
        <v>0</v>
      </c>
      <c r="I11" s="35">
        <v>0</v>
      </c>
      <c r="J11" s="35"/>
      <c r="K11" s="35">
        <v>0</v>
      </c>
      <c r="L11" s="35">
        <v>0</v>
      </c>
      <c r="M11" s="35"/>
      <c r="N11" s="35">
        <v>0</v>
      </c>
      <c r="O11" s="35">
        <v>0</v>
      </c>
      <c r="P11" s="35"/>
      <c r="Q11" s="37">
        <f t="shared" si="0"/>
        <v>0</v>
      </c>
      <c r="R11" s="38">
        <f t="shared" si="1"/>
        <v>0</v>
      </c>
    </row>
    <row r="12" spans="1:18" ht="18" x14ac:dyDescent="0.35">
      <c r="A12" s="34">
        <v>5</v>
      </c>
      <c r="B12" s="35" t="s">
        <v>182</v>
      </c>
      <c r="C12" s="36" t="s">
        <v>97</v>
      </c>
      <c r="D12" s="35">
        <v>93799</v>
      </c>
      <c r="E12" s="35">
        <v>86.36</v>
      </c>
      <c r="F12" s="35" t="s">
        <v>166</v>
      </c>
      <c r="G12" s="35" t="s">
        <v>96</v>
      </c>
      <c r="H12" s="35">
        <v>0</v>
      </c>
      <c r="I12" s="35">
        <v>0</v>
      </c>
      <c r="J12" s="35"/>
      <c r="K12" s="35">
        <v>0</v>
      </c>
      <c r="L12" s="35">
        <v>0</v>
      </c>
      <c r="M12" s="35"/>
      <c r="N12" s="35">
        <v>0</v>
      </c>
      <c r="O12" s="35">
        <v>0</v>
      </c>
      <c r="P12" s="35"/>
      <c r="Q12" s="37">
        <f t="shared" si="0"/>
        <v>0</v>
      </c>
      <c r="R12" s="38">
        <f t="shared" si="1"/>
        <v>0</v>
      </c>
    </row>
    <row r="13" spans="1:18" ht="18" x14ac:dyDescent="0.35">
      <c r="A13" s="34">
        <v>6</v>
      </c>
      <c r="B13" s="35" t="s">
        <v>105</v>
      </c>
      <c r="C13" s="36" t="s">
        <v>95</v>
      </c>
      <c r="D13" s="35">
        <v>86308</v>
      </c>
      <c r="E13" s="35">
        <v>55.88</v>
      </c>
      <c r="F13" s="35" t="s">
        <v>92</v>
      </c>
      <c r="G13" s="35" t="s">
        <v>96</v>
      </c>
      <c r="H13" s="35">
        <v>0</v>
      </c>
      <c r="I13" s="35">
        <v>0</v>
      </c>
      <c r="J13" s="35"/>
      <c r="K13" s="35">
        <v>0</v>
      </c>
      <c r="L13" s="35">
        <v>0</v>
      </c>
      <c r="M13" s="35"/>
      <c r="N13" s="35">
        <v>0</v>
      </c>
      <c r="O13" s="35">
        <v>0</v>
      </c>
      <c r="P13" s="35"/>
      <c r="Q13" s="37">
        <f t="shared" si="0"/>
        <v>0</v>
      </c>
      <c r="R13" s="38">
        <f t="shared" si="1"/>
        <v>0</v>
      </c>
    </row>
    <row r="14" spans="1:18" ht="18" x14ac:dyDescent="0.35">
      <c r="A14" s="34">
        <v>7</v>
      </c>
      <c r="B14" s="35" t="s">
        <v>106</v>
      </c>
      <c r="C14" s="36" t="s">
        <v>95</v>
      </c>
      <c r="D14" s="35">
        <v>86308</v>
      </c>
      <c r="E14" s="35">
        <v>55.88</v>
      </c>
      <c r="F14" s="35" t="s">
        <v>92</v>
      </c>
      <c r="G14" s="35" t="s">
        <v>163</v>
      </c>
      <c r="H14" s="35">
        <v>0</v>
      </c>
      <c r="I14" s="35">
        <v>0</v>
      </c>
      <c r="J14" s="35"/>
      <c r="K14" s="35">
        <v>0</v>
      </c>
      <c r="L14" s="35">
        <v>0</v>
      </c>
      <c r="M14" s="35"/>
      <c r="N14" s="35">
        <v>0</v>
      </c>
      <c r="O14" s="35">
        <v>0</v>
      </c>
      <c r="P14" s="35"/>
      <c r="Q14" s="37">
        <f t="shared" si="0"/>
        <v>0</v>
      </c>
      <c r="R14" s="38">
        <f t="shared" si="1"/>
        <v>0</v>
      </c>
    </row>
    <row r="15" spans="1:18" ht="18" x14ac:dyDescent="0.35">
      <c r="A15" s="34">
        <v>8</v>
      </c>
      <c r="B15" s="35" t="s">
        <v>108</v>
      </c>
      <c r="C15" s="36" t="s">
        <v>95</v>
      </c>
      <c r="D15" s="35">
        <v>86308</v>
      </c>
      <c r="E15" s="35">
        <v>55.88</v>
      </c>
      <c r="F15" s="35" t="s">
        <v>92</v>
      </c>
      <c r="G15" s="35" t="s">
        <v>96</v>
      </c>
      <c r="H15" s="35">
        <v>0</v>
      </c>
      <c r="I15" s="35">
        <v>0</v>
      </c>
      <c r="J15" s="35"/>
      <c r="K15" s="35">
        <v>0</v>
      </c>
      <c r="L15" s="35">
        <v>0</v>
      </c>
      <c r="M15" s="35"/>
      <c r="N15" s="35">
        <v>0</v>
      </c>
      <c r="O15" s="35">
        <v>0</v>
      </c>
      <c r="P15" s="35"/>
      <c r="Q15" s="37">
        <f t="shared" si="0"/>
        <v>0</v>
      </c>
      <c r="R15" s="38">
        <f t="shared" si="1"/>
        <v>0</v>
      </c>
    </row>
    <row r="16" spans="1:18" ht="18" x14ac:dyDescent="0.35">
      <c r="A16" s="34">
        <v>9</v>
      </c>
      <c r="B16" s="35" t="s">
        <v>185</v>
      </c>
      <c r="C16" s="36" t="s">
        <v>97</v>
      </c>
      <c r="D16" s="35">
        <v>93799</v>
      </c>
      <c r="E16" s="35">
        <v>86.36</v>
      </c>
      <c r="F16" s="35" t="s">
        <v>186</v>
      </c>
      <c r="G16" s="35" t="s">
        <v>187</v>
      </c>
      <c r="H16" s="35">
        <v>0</v>
      </c>
      <c r="I16" s="35">
        <v>0</v>
      </c>
      <c r="J16" s="35"/>
      <c r="K16" s="35">
        <v>0</v>
      </c>
      <c r="L16" s="35">
        <v>0</v>
      </c>
      <c r="M16" s="35"/>
      <c r="N16" s="35">
        <v>0</v>
      </c>
      <c r="O16" s="35">
        <v>0</v>
      </c>
      <c r="P16" s="35"/>
      <c r="Q16" s="37">
        <f t="shared" si="0"/>
        <v>0</v>
      </c>
      <c r="R16" s="38">
        <f t="shared" si="1"/>
        <v>0</v>
      </c>
    </row>
    <row r="17" spans="1:18" ht="18" x14ac:dyDescent="0.35">
      <c r="A17" s="34">
        <v>10</v>
      </c>
      <c r="B17" s="35" t="s">
        <v>102</v>
      </c>
      <c r="C17" s="36" t="s">
        <v>35</v>
      </c>
      <c r="D17" s="35">
        <v>98814</v>
      </c>
      <c r="E17" s="35">
        <v>304.8</v>
      </c>
      <c r="F17" s="35">
        <v>90</v>
      </c>
      <c r="G17" s="35" t="s">
        <v>175</v>
      </c>
      <c r="H17" s="35">
        <v>0</v>
      </c>
      <c r="I17" s="35">
        <v>0</v>
      </c>
      <c r="J17" s="35"/>
      <c r="K17" s="35">
        <v>0</v>
      </c>
      <c r="L17" s="35">
        <v>0</v>
      </c>
      <c r="M17" s="35"/>
      <c r="N17" s="35">
        <v>0</v>
      </c>
      <c r="O17" s="35">
        <v>0</v>
      </c>
      <c r="P17" s="35"/>
      <c r="Q17" s="37">
        <f t="shared" si="0"/>
        <v>0</v>
      </c>
      <c r="R17" s="38">
        <f t="shared" si="1"/>
        <v>0</v>
      </c>
    </row>
    <row r="18" spans="1:18" ht="18" x14ac:dyDescent="0.35">
      <c r="A18" s="34">
        <v>11</v>
      </c>
      <c r="B18" s="35" t="s">
        <v>102</v>
      </c>
      <c r="C18" s="36" t="s">
        <v>35</v>
      </c>
      <c r="D18" s="35">
        <v>98808</v>
      </c>
      <c r="E18" s="35">
        <v>796.5</v>
      </c>
      <c r="F18" s="35">
        <v>90</v>
      </c>
      <c r="G18" s="35" t="s">
        <v>175</v>
      </c>
      <c r="H18" s="35">
        <v>150</v>
      </c>
      <c r="I18" s="35">
        <v>122</v>
      </c>
      <c r="J18" s="35"/>
      <c r="K18" s="35">
        <v>0</v>
      </c>
      <c r="L18" s="35">
        <v>0</v>
      </c>
      <c r="M18" s="35"/>
      <c r="N18" s="35">
        <v>0</v>
      </c>
      <c r="O18" s="35">
        <v>0</v>
      </c>
      <c r="P18" s="35"/>
      <c r="Q18" s="37">
        <f t="shared" si="0"/>
        <v>150</v>
      </c>
      <c r="R18" s="38">
        <f t="shared" si="1"/>
        <v>122</v>
      </c>
    </row>
    <row r="19" spans="1:18" ht="18" x14ac:dyDescent="0.35">
      <c r="A19" s="34">
        <v>13</v>
      </c>
      <c r="B19" s="35" t="s">
        <v>109</v>
      </c>
      <c r="C19" s="36" t="s">
        <v>35</v>
      </c>
      <c r="D19" s="35">
        <v>98815</v>
      </c>
      <c r="E19" s="35">
        <v>420.12</v>
      </c>
      <c r="F19" s="35">
        <v>90</v>
      </c>
      <c r="G19" s="35" t="s">
        <v>93</v>
      </c>
      <c r="H19" s="35">
        <v>500</v>
      </c>
      <c r="I19" s="35">
        <v>450</v>
      </c>
      <c r="J19" s="35"/>
      <c r="K19" s="35">
        <v>0</v>
      </c>
      <c r="L19" s="35">
        <v>0</v>
      </c>
      <c r="M19" s="35"/>
      <c r="N19" s="35">
        <v>0</v>
      </c>
      <c r="O19" s="35">
        <v>0</v>
      </c>
      <c r="P19" s="35"/>
      <c r="Q19" s="37">
        <f t="shared" si="0"/>
        <v>500</v>
      </c>
      <c r="R19" s="38">
        <f t="shared" si="1"/>
        <v>450</v>
      </c>
    </row>
    <row r="20" spans="1:18" ht="18" x14ac:dyDescent="0.35">
      <c r="A20" s="34">
        <v>14</v>
      </c>
      <c r="B20" s="35" t="s">
        <v>109</v>
      </c>
      <c r="C20" s="36" t="s">
        <v>35</v>
      </c>
      <c r="D20" s="35">
        <v>98815</v>
      </c>
      <c r="E20" s="35">
        <v>406.4</v>
      </c>
      <c r="F20" s="35">
        <v>90</v>
      </c>
      <c r="G20" s="35" t="s">
        <v>175</v>
      </c>
      <c r="H20" s="35">
        <v>150</v>
      </c>
      <c r="I20" s="35">
        <v>80</v>
      </c>
      <c r="J20" s="35"/>
      <c r="K20" s="35">
        <v>0</v>
      </c>
      <c r="L20" s="35">
        <v>0</v>
      </c>
      <c r="M20" s="35"/>
      <c r="N20" s="35">
        <v>0</v>
      </c>
      <c r="O20" s="35">
        <v>0</v>
      </c>
      <c r="P20" s="35"/>
      <c r="Q20" s="37">
        <f t="shared" si="0"/>
        <v>150</v>
      </c>
      <c r="R20" s="38">
        <f t="shared" si="1"/>
        <v>80</v>
      </c>
    </row>
    <row r="21" spans="1:18" ht="18" x14ac:dyDescent="0.35">
      <c r="A21" s="34">
        <v>15</v>
      </c>
      <c r="B21" s="35" t="s">
        <v>121</v>
      </c>
      <c r="C21" s="36" t="s">
        <v>35</v>
      </c>
      <c r="D21" s="35">
        <v>98809</v>
      </c>
      <c r="E21" s="35">
        <v>152.4</v>
      </c>
      <c r="F21" s="40" t="s">
        <v>190</v>
      </c>
      <c r="G21" s="35" t="s">
        <v>154</v>
      </c>
      <c r="H21" s="35">
        <v>0</v>
      </c>
      <c r="I21" s="35">
        <v>0</v>
      </c>
      <c r="J21" s="35"/>
      <c r="K21" s="35">
        <v>0</v>
      </c>
      <c r="L21" s="35">
        <v>0</v>
      </c>
      <c r="M21" s="35"/>
      <c r="N21" s="35">
        <v>0</v>
      </c>
      <c r="O21" s="35">
        <v>0</v>
      </c>
      <c r="P21" s="26"/>
      <c r="Q21" s="37">
        <f t="shared" si="0"/>
        <v>0</v>
      </c>
      <c r="R21" s="38">
        <f t="shared" si="1"/>
        <v>0</v>
      </c>
    </row>
    <row r="22" spans="1:18" ht="18" x14ac:dyDescent="0.35">
      <c r="A22" s="34">
        <v>16</v>
      </c>
      <c r="B22" s="35" t="s">
        <v>116</v>
      </c>
      <c r="C22" s="36" t="s">
        <v>35</v>
      </c>
      <c r="D22" s="35">
        <v>98808</v>
      </c>
      <c r="E22" s="35">
        <v>428.75</v>
      </c>
      <c r="F22" s="40" t="s">
        <v>122</v>
      </c>
      <c r="G22" s="35" t="s">
        <v>154</v>
      </c>
      <c r="H22" s="35">
        <v>0</v>
      </c>
      <c r="I22" s="35">
        <v>0</v>
      </c>
      <c r="J22" s="35"/>
      <c r="K22" s="35">
        <v>0</v>
      </c>
      <c r="L22" s="35">
        <v>0</v>
      </c>
      <c r="M22" s="35"/>
      <c r="N22" s="35">
        <v>0</v>
      </c>
      <c r="O22" s="35">
        <v>0</v>
      </c>
      <c r="P22" s="26"/>
      <c r="Q22" s="37">
        <f t="shared" si="0"/>
        <v>0</v>
      </c>
      <c r="R22" s="38">
        <f t="shared" si="1"/>
        <v>0</v>
      </c>
    </row>
    <row r="23" spans="1:18" ht="18" x14ac:dyDescent="0.35">
      <c r="A23" s="34">
        <v>17</v>
      </c>
      <c r="B23" s="35" t="s">
        <v>116</v>
      </c>
      <c r="C23" s="36" t="s">
        <v>35</v>
      </c>
      <c r="D23" s="35">
        <v>2123</v>
      </c>
      <c r="E23" s="35"/>
      <c r="F23" s="35" t="s">
        <v>123</v>
      </c>
      <c r="G23" s="35" t="s">
        <v>154</v>
      </c>
      <c r="H23" s="35">
        <v>0</v>
      </c>
      <c r="I23" s="35">
        <v>0</v>
      </c>
      <c r="J23" s="35"/>
      <c r="K23" s="35">
        <v>0</v>
      </c>
      <c r="L23" s="35">
        <v>0</v>
      </c>
      <c r="M23" s="35"/>
      <c r="N23" s="35">
        <v>0</v>
      </c>
      <c r="O23" s="35">
        <v>0</v>
      </c>
      <c r="P23" s="26"/>
      <c r="Q23" s="37">
        <f t="shared" si="0"/>
        <v>0</v>
      </c>
      <c r="R23" s="38">
        <f t="shared" si="1"/>
        <v>0</v>
      </c>
    </row>
    <row r="24" spans="1:18" ht="18" x14ac:dyDescent="0.35">
      <c r="A24" s="34">
        <v>18</v>
      </c>
      <c r="B24" s="35" t="s">
        <v>119</v>
      </c>
      <c r="C24" s="36" t="s">
        <v>35</v>
      </c>
      <c r="D24" s="35">
        <v>98808</v>
      </c>
      <c r="E24" s="35">
        <v>428.75</v>
      </c>
      <c r="F24" s="40" t="s">
        <v>40</v>
      </c>
      <c r="G24" s="35" t="s">
        <v>118</v>
      </c>
      <c r="H24" s="35">
        <v>0</v>
      </c>
      <c r="I24" s="35">
        <v>0</v>
      </c>
      <c r="J24" s="35"/>
      <c r="K24" s="35">
        <v>0</v>
      </c>
      <c r="L24" s="35">
        <v>0</v>
      </c>
      <c r="M24" s="35"/>
      <c r="N24" s="35">
        <v>0</v>
      </c>
      <c r="O24" s="35">
        <v>0</v>
      </c>
      <c r="P24" s="26"/>
      <c r="Q24" s="37">
        <f t="shared" si="0"/>
        <v>0</v>
      </c>
      <c r="R24" s="38">
        <f t="shared" si="1"/>
        <v>0</v>
      </c>
    </row>
    <row r="25" spans="1:18" ht="18" x14ac:dyDescent="0.35">
      <c r="A25" s="34">
        <v>19</v>
      </c>
      <c r="B25" s="35" t="s">
        <v>119</v>
      </c>
      <c r="C25" s="36" t="s">
        <v>35</v>
      </c>
      <c r="D25" s="35">
        <v>98809</v>
      </c>
      <c r="E25" s="35">
        <v>152.4</v>
      </c>
      <c r="F25" s="40" t="s">
        <v>122</v>
      </c>
      <c r="G25" s="35" t="s">
        <v>120</v>
      </c>
      <c r="H25" s="35">
        <v>0</v>
      </c>
      <c r="I25" s="35">
        <v>0</v>
      </c>
      <c r="J25" s="35"/>
      <c r="K25" s="35">
        <v>0</v>
      </c>
      <c r="L25" s="35">
        <v>0</v>
      </c>
      <c r="M25" s="35"/>
      <c r="N25" s="35">
        <v>0</v>
      </c>
      <c r="O25" s="35">
        <v>0</v>
      </c>
      <c r="P25" s="26"/>
      <c r="Q25" s="37">
        <f t="shared" si="0"/>
        <v>0</v>
      </c>
      <c r="R25" s="38">
        <f t="shared" si="1"/>
        <v>0</v>
      </c>
    </row>
    <row r="26" spans="1:18" ht="18" x14ac:dyDescent="0.35">
      <c r="A26" s="34">
        <v>20</v>
      </c>
      <c r="B26" s="35" t="s">
        <v>176</v>
      </c>
      <c r="C26" s="36" t="s">
        <v>35</v>
      </c>
      <c r="D26" s="35">
        <v>98808</v>
      </c>
      <c r="E26" s="35">
        <v>418.2</v>
      </c>
      <c r="F26" s="40" t="s">
        <v>122</v>
      </c>
      <c r="G26" s="35" t="s">
        <v>118</v>
      </c>
      <c r="H26" s="35">
        <v>0</v>
      </c>
      <c r="I26" s="35">
        <v>0</v>
      </c>
      <c r="J26" s="35"/>
      <c r="K26" s="35">
        <v>0</v>
      </c>
      <c r="L26" s="35">
        <v>0</v>
      </c>
      <c r="M26" s="35"/>
      <c r="N26" s="35">
        <v>0</v>
      </c>
      <c r="O26" s="35">
        <v>0</v>
      </c>
      <c r="P26" s="26"/>
      <c r="Q26" s="37">
        <f t="shared" si="0"/>
        <v>0</v>
      </c>
      <c r="R26" s="38">
        <f t="shared" si="1"/>
        <v>0</v>
      </c>
    </row>
    <row r="27" spans="1:18" ht="18" x14ac:dyDescent="0.35">
      <c r="A27" s="34">
        <v>21</v>
      </c>
      <c r="B27" s="35" t="s">
        <v>121</v>
      </c>
      <c r="C27" s="36" t="s">
        <v>35</v>
      </c>
      <c r="D27" s="35">
        <v>98808</v>
      </c>
      <c r="E27" s="35">
        <v>428.75</v>
      </c>
      <c r="F27" s="40" t="s">
        <v>122</v>
      </c>
      <c r="G27" s="35" t="s">
        <v>118</v>
      </c>
      <c r="H27" s="35">
        <v>0</v>
      </c>
      <c r="I27" s="35">
        <v>0</v>
      </c>
      <c r="J27" s="35"/>
      <c r="K27" s="35">
        <v>0</v>
      </c>
      <c r="L27" s="35">
        <v>0</v>
      </c>
      <c r="M27" s="35"/>
      <c r="N27" s="35">
        <v>0</v>
      </c>
      <c r="O27" s="35">
        <v>0</v>
      </c>
      <c r="P27" s="26"/>
      <c r="Q27" s="37">
        <f t="shared" si="0"/>
        <v>0</v>
      </c>
      <c r="R27" s="38">
        <f t="shared" si="1"/>
        <v>0</v>
      </c>
    </row>
    <row r="28" spans="1:18" ht="18" x14ac:dyDescent="0.35">
      <c r="A28" s="34">
        <v>22</v>
      </c>
      <c r="B28" s="35" t="s">
        <v>119</v>
      </c>
      <c r="C28" s="36" t="s">
        <v>35</v>
      </c>
      <c r="D28" s="35">
        <v>98812</v>
      </c>
      <c r="E28" s="35"/>
      <c r="F28" s="40" t="s">
        <v>117</v>
      </c>
      <c r="G28" s="35" t="s">
        <v>118</v>
      </c>
      <c r="H28" s="35">
        <v>0</v>
      </c>
      <c r="I28" s="35">
        <v>0</v>
      </c>
      <c r="J28" s="35"/>
      <c r="K28" s="35">
        <v>0</v>
      </c>
      <c r="L28" s="35">
        <v>0</v>
      </c>
      <c r="M28" s="35"/>
      <c r="N28" s="35">
        <v>0</v>
      </c>
      <c r="O28" s="35">
        <v>0</v>
      </c>
      <c r="P28" s="26"/>
      <c r="Q28" s="37">
        <f t="shared" si="0"/>
        <v>0</v>
      </c>
      <c r="R28" s="38">
        <f t="shared" si="1"/>
        <v>0</v>
      </c>
    </row>
    <row r="29" spans="1:18" ht="18" x14ac:dyDescent="0.35">
      <c r="A29" s="34">
        <v>23</v>
      </c>
      <c r="B29" s="37" t="s">
        <v>124</v>
      </c>
      <c r="C29" s="36" t="s">
        <v>35</v>
      </c>
      <c r="D29" s="37">
        <v>2191</v>
      </c>
      <c r="E29" s="37"/>
      <c r="F29" s="41" t="s">
        <v>126</v>
      </c>
      <c r="G29" s="26"/>
      <c r="H29" s="35">
        <v>0</v>
      </c>
      <c r="I29" s="35">
        <v>0</v>
      </c>
      <c r="J29" s="35"/>
      <c r="K29" s="35">
        <v>0</v>
      </c>
      <c r="L29" s="35">
        <v>0</v>
      </c>
      <c r="M29" s="35"/>
      <c r="N29" s="35">
        <v>0</v>
      </c>
      <c r="O29" s="35">
        <v>0</v>
      </c>
      <c r="P29" s="26"/>
      <c r="Q29" s="37">
        <f t="shared" si="0"/>
        <v>0</v>
      </c>
      <c r="R29" s="38">
        <f t="shared" si="1"/>
        <v>0</v>
      </c>
    </row>
    <row r="30" spans="1:18" ht="18" x14ac:dyDescent="0.35">
      <c r="A30" s="34">
        <v>24</v>
      </c>
      <c r="B30" s="37" t="s">
        <v>124</v>
      </c>
      <c r="C30" s="36" t="s">
        <v>35</v>
      </c>
      <c r="D30" s="37">
        <v>2191</v>
      </c>
      <c r="E30" s="37"/>
      <c r="F30" s="41" t="s">
        <v>174</v>
      </c>
      <c r="G30" s="26"/>
      <c r="H30" s="35">
        <v>0</v>
      </c>
      <c r="I30" s="35">
        <v>0</v>
      </c>
      <c r="J30" s="35"/>
      <c r="K30" s="35">
        <v>0</v>
      </c>
      <c r="L30" s="35">
        <v>0</v>
      </c>
      <c r="M30" s="35"/>
      <c r="N30" s="35">
        <v>0</v>
      </c>
      <c r="O30" s="35">
        <v>0</v>
      </c>
      <c r="P30" s="26"/>
      <c r="Q30" s="37">
        <f t="shared" si="0"/>
        <v>0</v>
      </c>
      <c r="R30" s="38">
        <f t="shared" si="1"/>
        <v>0</v>
      </c>
    </row>
    <row r="31" spans="1:18" ht="18" x14ac:dyDescent="0.35">
      <c r="A31" s="34">
        <v>25</v>
      </c>
      <c r="B31" s="37" t="s">
        <v>124</v>
      </c>
      <c r="C31" s="36" t="s">
        <v>35</v>
      </c>
      <c r="D31" s="37">
        <v>2122</v>
      </c>
      <c r="E31" s="37"/>
      <c r="F31" s="41" t="s">
        <v>127</v>
      </c>
      <c r="G31" s="26"/>
      <c r="H31" s="35">
        <v>0</v>
      </c>
      <c r="I31" s="35">
        <v>0</v>
      </c>
      <c r="J31" s="35"/>
      <c r="K31" s="35">
        <v>0</v>
      </c>
      <c r="L31" s="35">
        <v>0</v>
      </c>
      <c r="M31" s="35"/>
      <c r="N31" s="35">
        <v>0</v>
      </c>
      <c r="O31" s="35">
        <v>0</v>
      </c>
      <c r="P31" s="26"/>
      <c r="Q31" s="37">
        <f t="shared" si="0"/>
        <v>0</v>
      </c>
      <c r="R31" s="38">
        <f t="shared" si="1"/>
        <v>0</v>
      </c>
    </row>
    <row r="32" spans="1:18" ht="18" x14ac:dyDescent="0.35">
      <c r="A32" s="34">
        <v>26</v>
      </c>
      <c r="B32" s="37" t="s">
        <v>124</v>
      </c>
      <c r="C32" s="36" t="s">
        <v>35</v>
      </c>
      <c r="D32" s="37">
        <v>2122</v>
      </c>
      <c r="E32" s="37"/>
      <c r="F32" s="41" t="s">
        <v>128</v>
      </c>
      <c r="G32" s="26"/>
      <c r="H32" s="35">
        <v>0</v>
      </c>
      <c r="I32" s="35">
        <v>0</v>
      </c>
      <c r="J32" s="35"/>
      <c r="K32" s="35">
        <v>0</v>
      </c>
      <c r="L32" s="35">
        <v>0</v>
      </c>
      <c r="M32" s="35"/>
      <c r="N32" s="35">
        <v>0</v>
      </c>
      <c r="O32" s="35">
        <v>0</v>
      </c>
      <c r="P32" s="26"/>
      <c r="Q32" s="37">
        <f t="shared" si="0"/>
        <v>0</v>
      </c>
      <c r="R32" s="38">
        <f t="shared" si="1"/>
        <v>0</v>
      </c>
    </row>
    <row r="33" spans="1:18" ht="18" x14ac:dyDescent="0.35">
      <c r="A33" s="34">
        <v>27</v>
      </c>
      <c r="B33" s="37" t="s">
        <v>124</v>
      </c>
      <c r="C33" s="36" t="s">
        <v>35</v>
      </c>
      <c r="D33" s="37">
        <v>2123</v>
      </c>
      <c r="E33" s="37"/>
      <c r="F33" s="41" t="s">
        <v>127</v>
      </c>
      <c r="G33" s="26"/>
      <c r="H33" s="35">
        <v>0</v>
      </c>
      <c r="I33" s="35">
        <v>0</v>
      </c>
      <c r="J33" s="35"/>
      <c r="K33" s="35">
        <v>0</v>
      </c>
      <c r="L33" s="35">
        <v>0</v>
      </c>
      <c r="M33" s="35"/>
      <c r="N33" s="35">
        <v>0</v>
      </c>
      <c r="O33" s="35">
        <v>0</v>
      </c>
      <c r="P33" s="26"/>
      <c r="Q33" s="37">
        <f t="shared" si="0"/>
        <v>0</v>
      </c>
      <c r="R33" s="38">
        <f t="shared" si="1"/>
        <v>0</v>
      </c>
    </row>
    <row r="34" spans="1:18" ht="18" x14ac:dyDescent="0.35">
      <c r="A34" s="34">
        <v>28</v>
      </c>
      <c r="B34" s="37" t="s">
        <v>124</v>
      </c>
      <c r="C34" s="36" t="s">
        <v>35</v>
      </c>
      <c r="D34" s="37">
        <v>2123</v>
      </c>
      <c r="E34" s="37"/>
      <c r="F34" s="41" t="s">
        <v>129</v>
      </c>
      <c r="G34" s="26"/>
      <c r="H34" s="35">
        <v>0</v>
      </c>
      <c r="I34" s="35">
        <v>0</v>
      </c>
      <c r="J34" s="35"/>
      <c r="K34" s="35">
        <v>0</v>
      </c>
      <c r="L34" s="35">
        <v>0</v>
      </c>
      <c r="M34" s="35"/>
      <c r="N34" s="35">
        <v>0</v>
      </c>
      <c r="O34" s="35">
        <v>0</v>
      </c>
      <c r="P34" s="26"/>
      <c r="Q34" s="37">
        <f t="shared" si="0"/>
        <v>0</v>
      </c>
      <c r="R34" s="38">
        <f t="shared" si="1"/>
        <v>0</v>
      </c>
    </row>
    <row r="35" spans="1:18" ht="18" x14ac:dyDescent="0.35">
      <c r="A35" s="34">
        <v>29</v>
      </c>
      <c r="B35" s="37" t="s">
        <v>124</v>
      </c>
      <c r="C35" s="36" t="s">
        <v>35</v>
      </c>
      <c r="D35" s="37">
        <v>2123</v>
      </c>
      <c r="E35" s="37"/>
      <c r="F35" s="41" t="s">
        <v>128</v>
      </c>
      <c r="G35" s="26"/>
      <c r="H35" s="35">
        <v>0</v>
      </c>
      <c r="I35" s="35">
        <v>0</v>
      </c>
      <c r="J35" s="35"/>
      <c r="K35" s="35">
        <v>0</v>
      </c>
      <c r="L35" s="35">
        <v>0</v>
      </c>
      <c r="M35" s="35"/>
      <c r="N35" s="35">
        <v>0</v>
      </c>
      <c r="O35" s="35">
        <v>0</v>
      </c>
      <c r="P35" s="26"/>
      <c r="Q35" s="37">
        <f t="shared" si="0"/>
        <v>0</v>
      </c>
      <c r="R35" s="38">
        <f t="shared" si="1"/>
        <v>0</v>
      </c>
    </row>
    <row r="36" spans="1:18" ht="18" x14ac:dyDescent="0.35">
      <c r="A36" s="34">
        <v>30</v>
      </c>
      <c r="B36" s="37" t="s">
        <v>131</v>
      </c>
      <c r="C36" s="36" t="s">
        <v>35</v>
      </c>
      <c r="D36" s="37">
        <v>2123</v>
      </c>
      <c r="E36" s="37"/>
      <c r="F36" s="41" t="s">
        <v>128</v>
      </c>
      <c r="G36" s="26"/>
      <c r="H36" s="35">
        <v>0</v>
      </c>
      <c r="I36" s="35">
        <v>0</v>
      </c>
      <c r="J36" s="35"/>
      <c r="K36" s="35">
        <v>0</v>
      </c>
      <c r="L36" s="35">
        <v>0</v>
      </c>
      <c r="M36" s="35"/>
      <c r="N36" s="35">
        <v>0</v>
      </c>
      <c r="O36" s="35">
        <v>0</v>
      </c>
      <c r="P36" s="26"/>
      <c r="Q36" s="37">
        <f t="shared" si="0"/>
        <v>0</v>
      </c>
      <c r="R36" s="38">
        <f t="shared" si="1"/>
        <v>0</v>
      </c>
    </row>
    <row r="37" spans="1:18" ht="18" x14ac:dyDescent="0.35">
      <c r="A37" s="34">
        <v>31</v>
      </c>
      <c r="B37" s="37" t="s">
        <v>162</v>
      </c>
      <c r="C37" s="42" t="s">
        <v>35</v>
      </c>
      <c r="D37" s="37">
        <v>98814</v>
      </c>
      <c r="E37" s="37">
        <v>304.8</v>
      </c>
      <c r="F37" s="41" t="s">
        <v>10</v>
      </c>
      <c r="G37" s="26"/>
      <c r="H37" s="35">
        <v>0</v>
      </c>
      <c r="I37" s="35">
        <v>0</v>
      </c>
      <c r="J37" s="35"/>
      <c r="K37" s="35">
        <v>0</v>
      </c>
      <c r="L37" s="35">
        <v>0</v>
      </c>
      <c r="M37" s="35"/>
      <c r="N37" s="35">
        <v>0</v>
      </c>
      <c r="O37" s="35">
        <v>0</v>
      </c>
      <c r="P37" s="26"/>
      <c r="Q37" s="37">
        <f t="shared" si="0"/>
        <v>0</v>
      </c>
      <c r="R37" s="38">
        <f t="shared" si="1"/>
        <v>0</v>
      </c>
    </row>
    <row r="38" spans="1:18" ht="18" x14ac:dyDescent="0.35">
      <c r="A38" s="34">
        <v>32</v>
      </c>
      <c r="B38" s="37" t="s">
        <v>39</v>
      </c>
      <c r="C38" s="42" t="s">
        <v>35</v>
      </c>
      <c r="D38" s="37">
        <v>98814</v>
      </c>
      <c r="E38" s="37">
        <v>304.8</v>
      </c>
      <c r="F38" s="41" t="s">
        <v>39</v>
      </c>
      <c r="G38" s="37" t="s">
        <v>96</v>
      </c>
      <c r="H38" s="35">
        <v>0</v>
      </c>
      <c r="I38" s="35">
        <v>0</v>
      </c>
      <c r="J38" s="35"/>
      <c r="K38" s="35">
        <v>0</v>
      </c>
      <c r="L38" s="35">
        <v>0</v>
      </c>
      <c r="M38" s="35"/>
      <c r="N38" s="35">
        <v>0</v>
      </c>
      <c r="O38" s="35">
        <v>0</v>
      </c>
      <c r="P38" s="23"/>
      <c r="Q38" s="37">
        <f t="shared" si="0"/>
        <v>0</v>
      </c>
      <c r="R38" s="38">
        <f t="shared" si="1"/>
        <v>0</v>
      </c>
    </row>
    <row r="39" spans="1:18" ht="18" x14ac:dyDescent="0.35">
      <c r="A39" s="34">
        <v>33</v>
      </c>
      <c r="B39" s="37" t="s">
        <v>132</v>
      </c>
      <c r="C39" s="42" t="s">
        <v>172</v>
      </c>
      <c r="D39" s="37">
        <v>86805</v>
      </c>
      <c r="E39" s="37"/>
      <c r="F39" s="41" t="s">
        <v>12</v>
      </c>
      <c r="G39" s="37" t="s">
        <v>173</v>
      </c>
      <c r="H39" s="35">
        <v>0</v>
      </c>
      <c r="I39" s="35">
        <v>0</v>
      </c>
      <c r="J39" s="35"/>
      <c r="K39" s="35">
        <v>0</v>
      </c>
      <c r="L39" s="35">
        <v>0</v>
      </c>
      <c r="M39" s="35"/>
      <c r="N39" s="35">
        <v>0</v>
      </c>
      <c r="O39" s="35">
        <v>0</v>
      </c>
      <c r="P39" s="26"/>
      <c r="Q39" s="37">
        <f t="shared" si="0"/>
        <v>0</v>
      </c>
      <c r="R39" s="38">
        <f t="shared" si="1"/>
        <v>0</v>
      </c>
    </row>
    <row r="40" spans="1:18" ht="18" x14ac:dyDescent="0.35">
      <c r="A40" s="34">
        <v>34</v>
      </c>
      <c r="B40" s="37" t="s">
        <v>158</v>
      </c>
      <c r="C40" s="42" t="s">
        <v>35</v>
      </c>
      <c r="D40" s="37">
        <v>98815</v>
      </c>
      <c r="E40" s="37">
        <v>406.4</v>
      </c>
      <c r="F40" s="41" t="s">
        <v>135</v>
      </c>
      <c r="G40" s="37" t="s">
        <v>133</v>
      </c>
      <c r="H40" s="35">
        <v>0</v>
      </c>
      <c r="I40" s="35">
        <v>0</v>
      </c>
      <c r="J40" s="35"/>
      <c r="K40" s="35">
        <v>0</v>
      </c>
      <c r="L40" s="35">
        <v>0</v>
      </c>
      <c r="M40" s="35"/>
      <c r="N40" s="35">
        <v>0</v>
      </c>
      <c r="O40" s="35">
        <v>0</v>
      </c>
      <c r="P40" s="26"/>
      <c r="Q40" s="37">
        <f t="shared" si="0"/>
        <v>0</v>
      </c>
      <c r="R40" s="38">
        <f t="shared" si="1"/>
        <v>0</v>
      </c>
    </row>
    <row r="41" spans="1:18" ht="18" x14ac:dyDescent="0.35">
      <c r="A41" s="34">
        <v>35</v>
      </c>
      <c r="B41" s="37" t="s">
        <v>170</v>
      </c>
      <c r="C41" s="42" t="s">
        <v>35</v>
      </c>
      <c r="D41" s="37">
        <v>98815</v>
      </c>
      <c r="E41" s="37">
        <v>406.4</v>
      </c>
      <c r="F41" s="41" t="s">
        <v>159</v>
      </c>
      <c r="G41" s="37" t="s">
        <v>133</v>
      </c>
      <c r="H41" s="35">
        <v>0</v>
      </c>
      <c r="I41" s="35">
        <v>0</v>
      </c>
      <c r="J41" s="35"/>
      <c r="K41" s="35">
        <v>0</v>
      </c>
      <c r="L41" s="35">
        <v>0</v>
      </c>
      <c r="M41" s="35"/>
      <c r="N41" s="35">
        <v>0</v>
      </c>
      <c r="O41" s="35">
        <v>0</v>
      </c>
      <c r="P41" s="26"/>
      <c r="Q41" s="37">
        <f t="shared" si="0"/>
        <v>0</v>
      </c>
      <c r="R41" s="38">
        <f t="shared" si="1"/>
        <v>0</v>
      </c>
    </row>
    <row r="42" spans="1:18" ht="18" x14ac:dyDescent="0.35">
      <c r="A42" s="34">
        <v>36</v>
      </c>
      <c r="B42" s="37" t="s">
        <v>171</v>
      </c>
      <c r="C42" s="42" t="s">
        <v>141</v>
      </c>
      <c r="D42" s="37">
        <v>82527</v>
      </c>
      <c r="E42" s="37">
        <v>155</v>
      </c>
      <c r="F42" s="41" t="s">
        <v>142</v>
      </c>
      <c r="G42" s="37" t="s">
        <v>96</v>
      </c>
      <c r="H42" s="35">
        <v>0</v>
      </c>
      <c r="I42" s="35">
        <v>0</v>
      </c>
      <c r="J42" s="35"/>
      <c r="K42" s="35">
        <v>0</v>
      </c>
      <c r="L42" s="35">
        <v>0</v>
      </c>
      <c r="M42" s="35"/>
      <c r="N42" s="35">
        <v>0</v>
      </c>
      <c r="O42" s="35">
        <v>0</v>
      </c>
      <c r="P42" s="26"/>
      <c r="Q42" s="37">
        <f t="shared" si="0"/>
        <v>0</v>
      </c>
      <c r="R42" s="38">
        <f t="shared" si="1"/>
        <v>0</v>
      </c>
    </row>
    <row r="43" spans="1:18" ht="18" x14ac:dyDescent="0.35">
      <c r="A43" s="34">
        <v>37</v>
      </c>
      <c r="B43" s="37" t="s">
        <v>143</v>
      </c>
      <c r="C43" s="42" t="s">
        <v>144</v>
      </c>
      <c r="D43" s="37">
        <v>83572</v>
      </c>
      <c r="E43" s="37">
        <v>967.65</v>
      </c>
      <c r="F43" s="41" t="s">
        <v>145</v>
      </c>
      <c r="G43" s="37" t="s">
        <v>136</v>
      </c>
      <c r="H43" s="35">
        <v>0</v>
      </c>
      <c r="I43" s="35">
        <v>0</v>
      </c>
      <c r="J43" s="35"/>
      <c r="K43" s="35">
        <v>0</v>
      </c>
      <c r="L43" s="35">
        <v>0</v>
      </c>
      <c r="M43" s="35"/>
      <c r="N43" s="35">
        <v>0</v>
      </c>
      <c r="O43" s="35">
        <v>0</v>
      </c>
      <c r="P43" s="26"/>
      <c r="Q43" s="37">
        <f t="shared" si="0"/>
        <v>0</v>
      </c>
      <c r="R43" s="38">
        <f t="shared" si="1"/>
        <v>0</v>
      </c>
    </row>
    <row r="44" spans="1:18" ht="18" x14ac:dyDescent="0.35">
      <c r="A44" s="34">
        <v>38</v>
      </c>
      <c r="B44" s="37" t="s">
        <v>146</v>
      </c>
      <c r="C44" s="42" t="s">
        <v>144</v>
      </c>
      <c r="D44" s="37">
        <v>83834</v>
      </c>
      <c r="E44" s="37">
        <v>898.89</v>
      </c>
      <c r="F44" s="41" t="s">
        <v>147</v>
      </c>
      <c r="G44" s="37" t="s">
        <v>96</v>
      </c>
      <c r="H44" s="35">
        <v>0</v>
      </c>
      <c r="I44" s="35">
        <v>0</v>
      </c>
      <c r="J44" s="35"/>
      <c r="K44" s="35">
        <v>0</v>
      </c>
      <c r="L44" s="35">
        <v>0</v>
      </c>
      <c r="M44" s="35"/>
      <c r="N44" s="35">
        <v>0</v>
      </c>
      <c r="O44" s="35">
        <v>0</v>
      </c>
      <c r="P44" s="26"/>
      <c r="Q44" s="37">
        <f t="shared" si="0"/>
        <v>0</v>
      </c>
      <c r="R44" s="38">
        <f t="shared" si="1"/>
        <v>0</v>
      </c>
    </row>
    <row r="45" spans="1:18" ht="36" x14ac:dyDescent="0.35">
      <c r="A45" s="34">
        <v>39</v>
      </c>
      <c r="B45" s="43" t="s">
        <v>148</v>
      </c>
      <c r="C45" s="36" t="s">
        <v>167</v>
      </c>
      <c r="D45" s="35">
        <v>93293</v>
      </c>
      <c r="E45" s="35">
        <v>16.2</v>
      </c>
      <c r="F45" s="40" t="s">
        <v>169</v>
      </c>
      <c r="G45" s="35" t="s">
        <v>104</v>
      </c>
      <c r="H45" s="35">
        <v>0</v>
      </c>
      <c r="I45" s="35">
        <v>0</v>
      </c>
      <c r="J45" s="35"/>
      <c r="K45" s="35">
        <v>0</v>
      </c>
      <c r="L45" s="35">
        <v>0</v>
      </c>
      <c r="M45" s="35"/>
      <c r="N45" s="35">
        <v>0</v>
      </c>
      <c r="O45" s="35">
        <v>0</v>
      </c>
      <c r="P45" s="35"/>
      <c r="Q45" s="35">
        <f t="shared" si="0"/>
        <v>0</v>
      </c>
      <c r="R45" s="44">
        <f t="shared" si="1"/>
        <v>0</v>
      </c>
    </row>
    <row r="46" spans="1:18" ht="36" x14ac:dyDescent="0.35">
      <c r="A46" s="34">
        <v>40</v>
      </c>
      <c r="B46" s="43" t="s">
        <v>148</v>
      </c>
      <c r="C46" s="36" t="s">
        <v>167</v>
      </c>
      <c r="D46" s="35">
        <v>93290</v>
      </c>
      <c r="E46" s="35">
        <v>2382</v>
      </c>
      <c r="F46" s="40" t="s">
        <v>150</v>
      </c>
      <c r="G46" s="35" t="s">
        <v>113</v>
      </c>
      <c r="H46" s="35">
        <v>2000</v>
      </c>
      <c r="I46" s="35">
        <v>3320</v>
      </c>
      <c r="J46" s="35"/>
      <c r="K46" s="35">
        <v>0</v>
      </c>
      <c r="L46" s="35">
        <v>0</v>
      </c>
      <c r="M46" s="35"/>
      <c r="N46" s="35">
        <v>0</v>
      </c>
      <c r="O46" s="35">
        <v>0</v>
      </c>
      <c r="P46" s="26"/>
      <c r="Q46" s="35">
        <f t="shared" si="0"/>
        <v>2000</v>
      </c>
      <c r="R46" s="44">
        <f t="shared" si="1"/>
        <v>3320</v>
      </c>
    </row>
    <row r="47" spans="1:18" ht="36" x14ac:dyDescent="0.35">
      <c r="A47" s="34">
        <v>41</v>
      </c>
      <c r="B47" s="43" t="s">
        <v>151</v>
      </c>
      <c r="C47" s="36" t="s">
        <v>167</v>
      </c>
      <c r="D47" s="35">
        <v>93292</v>
      </c>
      <c r="E47" s="35">
        <v>1134</v>
      </c>
      <c r="F47" s="40" t="s">
        <v>150</v>
      </c>
      <c r="G47" s="35" t="s">
        <v>113</v>
      </c>
      <c r="H47" s="35">
        <v>4800</v>
      </c>
      <c r="I47" s="35">
        <v>1497</v>
      </c>
      <c r="J47" s="35"/>
      <c r="K47" s="35">
        <v>0</v>
      </c>
      <c r="L47" s="35">
        <v>0</v>
      </c>
      <c r="M47" s="35"/>
      <c r="N47" s="35">
        <v>0</v>
      </c>
      <c r="O47" s="35">
        <v>0</v>
      </c>
      <c r="P47" s="26"/>
      <c r="Q47" s="35">
        <f t="shared" si="0"/>
        <v>4800</v>
      </c>
      <c r="R47" s="44">
        <f t="shared" si="1"/>
        <v>1497</v>
      </c>
    </row>
  </sheetData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33"/>
  <sheetViews>
    <sheetView topLeftCell="A8" workbookViewId="0">
      <selection sqref="A1:R33"/>
    </sheetView>
  </sheetViews>
  <sheetFormatPr defaultRowHeight="14.4" x14ac:dyDescent="0.3"/>
  <cols>
    <col min="2" max="2" width="20.6640625" customWidth="1"/>
    <col min="3" max="3" width="22.109375" customWidth="1"/>
    <col min="5" max="5" width="13.5546875" customWidth="1"/>
    <col min="6" max="6" width="26.109375" customWidth="1"/>
    <col min="10" max="10" width="11.6640625" customWidth="1"/>
    <col min="11" max="12" width="0" hidden="1" customWidth="1"/>
    <col min="13" max="13" width="11.109375" hidden="1" customWidth="1"/>
    <col min="16" max="16" width="13.6640625" customWidth="1"/>
    <col min="17" max="17" width="14" customWidth="1"/>
    <col min="18" max="18" width="15.6640625" customWidth="1"/>
  </cols>
  <sheetData>
    <row r="1" spans="1:18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8" t="s">
        <v>76</v>
      </c>
      <c r="P5" s="29" t="s">
        <v>211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93" t="s">
        <v>83</v>
      </c>
      <c r="L6" s="94"/>
      <c r="M6" s="95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91</v>
      </c>
      <c r="C8" s="36" t="s">
        <v>97</v>
      </c>
      <c r="D8" s="35">
        <v>93799</v>
      </c>
      <c r="E8" s="35">
        <v>45.72</v>
      </c>
      <c r="F8" s="35" t="s">
        <v>92</v>
      </c>
      <c r="G8" s="35" t="s">
        <v>93</v>
      </c>
      <c r="H8" s="35">
        <v>200</v>
      </c>
      <c r="I8" s="35">
        <v>160</v>
      </c>
      <c r="J8" s="35"/>
      <c r="K8" s="35">
        <v>0</v>
      </c>
      <c r="L8" s="35">
        <v>0</v>
      </c>
      <c r="M8" s="35"/>
      <c r="N8" s="35">
        <v>0</v>
      </c>
      <c r="O8" s="35">
        <v>0</v>
      </c>
      <c r="P8" s="35"/>
      <c r="Q8" s="37">
        <f t="shared" ref="Q8:Q33" si="0">N8+K8+H8</f>
        <v>200</v>
      </c>
      <c r="R8" s="38">
        <f t="shared" ref="R8:R33" si="1">I8+L8+O8</f>
        <v>160</v>
      </c>
    </row>
    <row r="9" spans="1:18" ht="18" x14ac:dyDescent="0.35">
      <c r="A9" s="34">
        <v>2</v>
      </c>
      <c r="B9" s="35" t="s">
        <v>94</v>
      </c>
      <c r="C9" s="36" t="s">
        <v>184</v>
      </c>
      <c r="D9" s="35">
        <v>96720</v>
      </c>
      <c r="E9" s="35">
        <v>5700</v>
      </c>
      <c r="F9" s="35" t="s">
        <v>92</v>
      </c>
      <c r="G9" s="35" t="s">
        <v>96</v>
      </c>
      <c r="H9" s="35">
        <v>21</v>
      </c>
      <c r="I9" s="35">
        <v>21</v>
      </c>
      <c r="J9" s="35"/>
      <c r="K9" s="35">
        <v>0</v>
      </c>
      <c r="L9" s="35">
        <v>0</v>
      </c>
      <c r="M9" s="35"/>
      <c r="N9" s="35">
        <v>0</v>
      </c>
      <c r="O9" s="35">
        <v>0</v>
      </c>
      <c r="P9" s="35"/>
      <c r="Q9" s="37">
        <f t="shared" si="0"/>
        <v>21</v>
      </c>
      <c r="R9" s="38">
        <f t="shared" si="1"/>
        <v>21</v>
      </c>
    </row>
    <row r="10" spans="1:18" ht="18" x14ac:dyDescent="0.35">
      <c r="A10" s="34">
        <v>3</v>
      </c>
      <c r="B10" s="35" t="s">
        <v>181</v>
      </c>
      <c r="C10" s="36" t="s">
        <v>97</v>
      </c>
      <c r="D10" s="35">
        <v>93799</v>
      </c>
      <c r="E10" s="35">
        <v>45.7</v>
      </c>
      <c r="F10" s="35" t="s">
        <v>166</v>
      </c>
      <c r="G10" s="35" t="s">
        <v>96</v>
      </c>
      <c r="H10" s="35">
        <v>300</v>
      </c>
      <c r="I10" s="35">
        <v>230</v>
      </c>
      <c r="J10" s="35"/>
      <c r="K10" s="35">
        <v>0</v>
      </c>
      <c r="L10" s="35">
        <v>0</v>
      </c>
      <c r="M10" s="35"/>
      <c r="N10" s="35">
        <v>300</v>
      </c>
      <c r="O10" s="35">
        <v>270</v>
      </c>
      <c r="P10" s="35"/>
      <c r="Q10" s="37">
        <f t="shared" si="0"/>
        <v>600</v>
      </c>
      <c r="R10" s="38">
        <f t="shared" si="1"/>
        <v>500</v>
      </c>
    </row>
    <row r="11" spans="1:18" ht="18" x14ac:dyDescent="0.35">
      <c r="A11" s="34">
        <v>4</v>
      </c>
      <c r="B11" s="35" t="s">
        <v>182</v>
      </c>
      <c r="C11" s="36" t="s">
        <v>97</v>
      </c>
      <c r="D11" s="35">
        <v>93799</v>
      </c>
      <c r="E11" s="35">
        <v>76.2</v>
      </c>
      <c r="F11" s="35" t="s">
        <v>166</v>
      </c>
      <c r="G11" s="35" t="s">
        <v>96</v>
      </c>
      <c r="H11" s="35">
        <v>220</v>
      </c>
      <c r="I11" s="35">
        <v>220</v>
      </c>
      <c r="J11" s="35"/>
      <c r="K11" s="35">
        <v>0</v>
      </c>
      <c r="L11" s="35">
        <v>0</v>
      </c>
      <c r="M11" s="35"/>
      <c r="N11" s="35">
        <v>300</v>
      </c>
      <c r="O11" s="35">
        <v>270</v>
      </c>
      <c r="P11" s="35"/>
      <c r="Q11" s="37">
        <f t="shared" si="0"/>
        <v>520</v>
      </c>
      <c r="R11" s="38">
        <f t="shared" si="1"/>
        <v>490</v>
      </c>
    </row>
    <row r="12" spans="1:18" ht="18" x14ac:dyDescent="0.35">
      <c r="A12" s="34">
        <v>5</v>
      </c>
      <c r="B12" s="35" t="s">
        <v>198</v>
      </c>
      <c r="C12" s="36" t="s">
        <v>97</v>
      </c>
      <c r="D12" s="35">
        <v>93799</v>
      </c>
      <c r="E12" s="35">
        <v>45.7</v>
      </c>
      <c r="F12" s="35" t="s">
        <v>166</v>
      </c>
      <c r="G12" s="35" t="s">
        <v>96</v>
      </c>
      <c r="H12" s="35">
        <v>360</v>
      </c>
      <c r="I12" s="35">
        <v>270</v>
      </c>
      <c r="J12" s="35"/>
      <c r="K12" s="35">
        <v>0</v>
      </c>
      <c r="L12" s="35">
        <v>0</v>
      </c>
      <c r="M12" s="35"/>
      <c r="N12" s="35">
        <v>0</v>
      </c>
      <c r="O12" s="35">
        <v>0</v>
      </c>
      <c r="P12" s="35"/>
      <c r="Q12" s="37">
        <f t="shared" si="0"/>
        <v>360</v>
      </c>
      <c r="R12" s="38">
        <f t="shared" si="1"/>
        <v>270</v>
      </c>
    </row>
    <row r="13" spans="1:18" ht="18" x14ac:dyDescent="0.35">
      <c r="A13" s="34">
        <v>6</v>
      </c>
      <c r="B13" s="35" t="s">
        <v>108</v>
      </c>
      <c r="C13" s="36" t="s">
        <v>95</v>
      </c>
      <c r="D13" s="35">
        <v>98808</v>
      </c>
      <c r="E13" s="35">
        <v>76.2</v>
      </c>
      <c r="F13" s="35" t="s">
        <v>92</v>
      </c>
      <c r="G13" s="35" t="s">
        <v>96</v>
      </c>
      <c r="H13" s="35">
        <v>250</v>
      </c>
      <c r="I13" s="35">
        <v>195</v>
      </c>
      <c r="J13" s="35"/>
      <c r="K13" s="35">
        <v>0</v>
      </c>
      <c r="L13" s="35">
        <v>0</v>
      </c>
      <c r="M13" s="35"/>
      <c r="N13" s="35">
        <v>450</v>
      </c>
      <c r="O13" s="35">
        <v>402</v>
      </c>
      <c r="P13" s="35"/>
      <c r="Q13" s="37">
        <f t="shared" si="0"/>
        <v>700</v>
      </c>
      <c r="R13" s="38">
        <f t="shared" si="1"/>
        <v>597</v>
      </c>
    </row>
    <row r="14" spans="1:18" ht="18" x14ac:dyDescent="0.35">
      <c r="A14" s="34">
        <v>7</v>
      </c>
      <c r="B14" s="35" t="s">
        <v>105</v>
      </c>
      <c r="C14" s="36" t="s">
        <v>95</v>
      </c>
      <c r="D14" s="35">
        <v>93799</v>
      </c>
      <c r="E14" s="35">
        <v>45.72</v>
      </c>
      <c r="F14" s="35" t="s">
        <v>92</v>
      </c>
      <c r="G14" s="35" t="s">
        <v>163</v>
      </c>
      <c r="H14" s="35">
        <v>480</v>
      </c>
      <c r="I14" s="35">
        <v>366</v>
      </c>
      <c r="J14" s="35"/>
      <c r="K14" s="35">
        <v>0</v>
      </c>
      <c r="L14" s="35">
        <v>0</v>
      </c>
      <c r="M14" s="35"/>
      <c r="N14" s="35">
        <v>450</v>
      </c>
      <c r="O14" s="35">
        <v>427</v>
      </c>
      <c r="P14" s="35"/>
      <c r="Q14" s="37">
        <f t="shared" si="0"/>
        <v>930</v>
      </c>
      <c r="R14" s="38">
        <f t="shared" si="1"/>
        <v>793</v>
      </c>
    </row>
    <row r="15" spans="1:18" ht="18" x14ac:dyDescent="0.35">
      <c r="A15" s="34">
        <v>8</v>
      </c>
      <c r="B15" s="35" t="s">
        <v>106</v>
      </c>
      <c r="C15" s="36" t="s">
        <v>95</v>
      </c>
      <c r="D15" s="35">
        <v>93799</v>
      </c>
      <c r="E15" s="35">
        <v>45.72</v>
      </c>
      <c r="F15" s="35" t="s">
        <v>92</v>
      </c>
      <c r="G15" s="35" t="s">
        <v>96</v>
      </c>
      <c r="H15" s="35">
        <v>480</v>
      </c>
      <c r="I15" s="35">
        <v>392</v>
      </c>
      <c r="J15" s="35"/>
      <c r="K15" s="35">
        <v>0</v>
      </c>
      <c r="L15" s="35">
        <v>0</v>
      </c>
      <c r="M15" s="35"/>
      <c r="N15" s="35">
        <v>0</v>
      </c>
      <c r="O15" s="35">
        <v>0</v>
      </c>
      <c r="P15" s="35"/>
      <c r="Q15" s="37">
        <f t="shared" si="0"/>
        <v>480</v>
      </c>
      <c r="R15" s="38">
        <f t="shared" si="1"/>
        <v>392</v>
      </c>
    </row>
    <row r="16" spans="1:18" ht="18" x14ac:dyDescent="0.35">
      <c r="A16" s="34">
        <v>9</v>
      </c>
      <c r="B16" s="35" t="s">
        <v>108</v>
      </c>
      <c r="C16" s="36" t="s">
        <v>95</v>
      </c>
      <c r="D16" s="35">
        <v>93799</v>
      </c>
      <c r="E16" s="35">
        <v>45.72</v>
      </c>
      <c r="F16" s="35" t="s">
        <v>92</v>
      </c>
      <c r="G16" s="35" t="s">
        <v>96</v>
      </c>
      <c r="H16" s="35">
        <v>200</v>
      </c>
      <c r="I16" s="35">
        <v>160</v>
      </c>
      <c r="J16" s="35"/>
      <c r="K16" s="35">
        <v>0</v>
      </c>
      <c r="L16" s="35">
        <v>0</v>
      </c>
      <c r="M16" s="35"/>
      <c r="N16" s="35">
        <v>0</v>
      </c>
      <c r="O16" s="35">
        <v>0</v>
      </c>
      <c r="P16" s="35"/>
      <c r="Q16" s="37">
        <f t="shared" si="0"/>
        <v>200</v>
      </c>
      <c r="R16" s="38">
        <f t="shared" si="1"/>
        <v>160</v>
      </c>
    </row>
    <row r="17" spans="1:18" ht="18" x14ac:dyDescent="0.35">
      <c r="A17" s="34">
        <v>10</v>
      </c>
      <c r="B17" s="35" t="s">
        <v>185</v>
      </c>
      <c r="C17" s="36" t="s">
        <v>97</v>
      </c>
      <c r="D17" s="35">
        <v>93799</v>
      </c>
      <c r="E17" s="35">
        <v>76.2</v>
      </c>
      <c r="F17" s="35" t="s">
        <v>186</v>
      </c>
      <c r="G17" s="35" t="s">
        <v>187</v>
      </c>
      <c r="H17" s="35">
        <v>700</v>
      </c>
      <c r="I17" s="35">
        <v>500</v>
      </c>
      <c r="J17" s="35"/>
      <c r="K17" s="35">
        <v>0</v>
      </c>
      <c r="L17" s="35">
        <v>0</v>
      </c>
      <c r="M17" s="35"/>
      <c r="N17" s="35">
        <v>0</v>
      </c>
      <c r="O17" s="35">
        <v>0</v>
      </c>
      <c r="P17" s="35"/>
      <c r="Q17" s="37">
        <f t="shared" si="0"/>
        <v>700</v>
      </c>
      <c r="R17" s="38">
        <f t="shared" si="1"/>
        <v>500</v>
      </c>
    </row>
    <row r="18" spans="1:18" ht="18" x14ac:dyDescent="0.35">
      <c r="A18" s="34">
        <v>11</v>
      </c>
      <c r="B18" s="35" t="s">
        <v>185</v>
      </c>
      <c r="C18" s="36" t="s">
        <v>97</v>
      </c>
      <c r="D18" s="35">
        <v>93799</v>
      </c>
      <c r="E18" s="35">
        <v>45.72</v>
      </c>
      <c r="F18" s="35" t="s">
        <v>186</v>
      </c>
      <c r="G18" s="35" t="s">
        <v>187</v>
      </c>
      <c r="H18" s="35">
        <v>700</v>
      </c>
      <c r="I18" s="35">
        <v>620</v>
      </c>
      <c r="J18" s="35"/>
      <c r="K18" s="35">
        <v>0</v>
      </c>
      <c r="L18" s="35">
        <v>0</v>
      </c>
      <c r="M18" s="35"/>
      <c r="N18" s="35">
        <v>700</v>
      </c>
      <c r="O18" s="35">
        <v>600</v>
      </c>
      <c r="P18" s="35"/>
      <c r="Q18" s="37">
        <f t="shared" si="0"/>
        <v>1400</v>
      </c>
      <c r="R18" s="38">
        <f t="shared" si="1"/>
        <v>1220</v>
      </c>
    </row>
    <row r="19" spans="1:18" ht="18" x14ac:dyDescent="0.35">
      <c r="A19" s="34">
        <v>13</v>
      </c>
      <c r="B19" s="35" t="s">
        <v>109</v>
      </c>
      <c r="C19" s="36" t="s">
        <v>35</v>
      </c>
      <c r="D19" s="35">
        <v>98815</v>
      </c>
      <c r="E19" s="35">
        <v>406.4</v>
      </c>
      <c r="F19" s="35">
        <v>90</v>
      </c>
      <c r="G19" s="35" t="s">
        <v>93</v>
      </c>
      <c r="H19" s="35">
        <v>400</v>
      </c>
      <c r="I19" s="35">
        <v>320</v>
      </c>
      <c r="J19" s="35"/>
      <c r="K19" s="35">
        <v>0</v>
      </c>
      <c r="L19" s="35">
        <v>0</v>
      </c>
      <c r="M19" s="35"/>
      <c r="N19" s="35">
        <v>0</v>
      </c>
      <c r="O19" s="35">
        <v>0</v>
      </c>
      <c r="P19" s="35"/>
      <c r="Q19" s="37">
        <f t="shared" si="0"/>
        <v>400</v>
      </c>
      <c r="R19" s="38">
        <f t="shared" si="1"/>
        <v>320</v>
      </c>
    </row>
    <row r="20" spans="1:18" ht="18" x14ac:dyDescent="0.35">
      <c r="A20" s="34">
        <v>14</v>
      </c>
      <c r="B20" s="35" t="s">
        <v>102</v>
      </c>
      <c r="C20" s="36" t="s">
        <v>35</v>
      </c>
      <c r="D20" s="35">
        <v>98808</v>
      </c>
      <c r="E20" s="35">
        <v>796.5</v>
      </c>
      <c r="F20" s="35">
        <v>90</v>
      </c>
      <c r="G20" s="35" t="s">
        <v>175</v>
      </c>
      <c r="H20" s="35">
        <v>480</v>
      </c>
      <c r="I20" s="35">
        <v>370</v>
      </c>
      <c r="J20" s="35"/>
      <c r="K20" s="35">
        <v>0</v>
      </c>
      <c r="L20" s="35">
        <v>0</v>
      </c>
      <c r="M20" s="35"/>
      <c r="N20" s="35">
        <v>300</v>
      </c>
      <c r="O20" s="35">
        <v>240</v>
      </c>
      <c r="P20" s="35"/>
      <c r="Q20" s="37">
        <f t="shared" si="0"/>
        <v>780</v>
      </c>
      <c r="R20" s="38">
        <f t="shared" si="1"/>
        <v>610</v>
      </c>
    </row>
    <row r="21" spans="1:18" ht="18" x14ac:dyDescent="0.35">
      <c r="A21" s="34">
        <v>15</v>
      </c>
      <c r="B21" s="35" t="s">
        <v>102</v>
      </c>
      <c r="C21" s="36" t="s">
        <v>35</v>
      </c>
      <c r="D21" s="35">
        <v>98812</v>
      </c>
      <c r="E21" s="35">
        <v>292.10000000000002</v>
      </c>
      <c r="F21" s="40">
        <v>90</v>
      </c>
      <c r="G21" s="35" t="s">
        <v>154</v>
      </c>
      <c r="H21" s="35">
        <v>0</v>
      </c>
      <c r="I21" s="35">
        <v>0</v>
      </c>
      <c r="J21" s="35"/>
      <c r="K21" s="35">
        <v>0</v>
      </c>
      <c r="L21" s="35">
        <v>0</v>
      </c>
      <c r="M21" s="35"/>
      <c r="N21" s="35">
        <v>300</v>
      </c>
      <c r="O21" s="35">
        <v>217</v>
      </c>
      <c r="P21" s="26"/>
      <c r="Q21" s="37">
        <f t="shared" si="0"/>
        <v>300</v>
      </c>
      <c r="R21" s="38">
        <f t="shared" si="1"/>
        <v>217</v>
      </c>
    </row>
    <row r="22" spans="1:18" ht="18" x14ac:dyDescent="0.35">
      <c r="A22" s="34">
        <v>16</v>
      </c>
      <c r="B22" s="35" t="s">
        <v>102</v>
      </c>
      <c r="C22" s="36" t="s">
        <v>35</v>
      </c>
      <c r="D22" s="35">
        <v>98808</v>
      </c>
      <c r="E22" s="35">
        <v>420.12</v>
      </c>
      <c r="F22" s="40">
        <v>90</v>
      </c>
      <c r="G22" s="35" t="s">
        <v>175</v>
      </c>
      <c r="H22" s="35">
        <v>0</v>
      </c>
      <c r="I22" s="35">
        <v>0</v>
      </c>
      <c r="J22" s="35"/>
      <c r="K22" s="35">
        <v>0</v>
      </c>
      <c r="L22" s="35">
        <v>0</v>
      </c>
      <c r="M22" s="35"/>
      <c r="N22" s="35">
        <v>85</v>
      </c>
      <c r="O22" s="35">
        <v>85</v>
      </c>
      <c r="P22" s="26"/>
      <c r="Q22" s="37">
        <f t="shared" si="0"/>
        <v>85</v>
      </c>
      <c r="R22" s="38">
        <f t="shared" si="1"/>
        <v>85</v>
      </c>
    </row>
    <row r="23" spans="1:18" ht="18" x14ac:dyDescent="0.35">
      <c r="A23" s="34">
        <v>17</v>
      </c>
      <c r="B23" s="35" t="s">
        <v>119</v>
      </c>
      <c r="C23" s="36" t="s">
        <v>35</v>
      </c>
      <c r="D23" s="35">
        <v>98808</v>
      </c>
      <c r="E23" s="35">
        <v>796.5</v>
      </c>
      <c r="F23" s="40" t="s">
        <v>190</v>
      </c>
      <c r="G23" s="35" t="s">
        <v>154</v>
      </c>
      <c r="H23" s="35">
        <v>700</v>
      </c>
      <c r="I23" s="35">
        <v>544</v>
      </c>
      <c r="J23" s="35"/>
      <c r="K23" s="35">
        <v>0</v>
      </c>
      <c r="L23" s="35">
        <v>0</v>
      </c>
      <c r="M23" s="35"/>
      <c r="N23" s="35">
        <v>0</v>
      </c>
      <c r="O23" s="35">
        <v>0</v>
      </c>
      <c r="P23" s="26"/>
      <c r="Q23" s="37">
        <f t="shared" si="0"/>
        <v>700</v>
      </c>
      <c r="R23" s="38">
        <f t="shared" si="1"/>
        <v>544</v>
      </c>
    </row>
    <row r="24" spans="1:18" ht="18" x14ac:dyDescent="0.35">
      <c r="A24" s="34">
        <v>24</v>
      </c>
      <c r="B24" s="37" t="s">
        <v>124</v>
      </c>
      <c r="C24" s="36" t="s">
        <v>35</v>
      </c>
      <c r="D24" s="37">
        <v>2191</v>
      </c>
      <c r="E24" s="37"/>
      <c r="F24" s="41" t="s">
        <v>174</v>
      </c>
      <c r="G24" s="26"/>
      <c r="H24" s="35">
        <v>120</v>
      </c>
      <c r="I24" s="35">
        <v>110</v>
      </c>
      <c r="J24" s="35"/>
      <c r="K24" s="35">
        <v>0</v>
      </c>
      <c r="L24" s="35">
        <v>0</v>
      </c>
      <c r="M24" s="35"/>
      <c r="N24" s="35">
        <v>65</v>
      </c>
      <c r="O24" s="35">
        <v>65</v>
      </c>
      <c r="P24" s="26"/>
      <c r="Q24" s="37">
        <f t="shared" si="0"/>
        <v>185</v>
      </c>
      <c r="R24" s="38">
        <f t="shared" si="1"/>
        <v>175</v>
      </c>
    </row>
    <row r="25" spans="1:18" ht="18" x14ac:dyDescent="0.35">
      <c r="A25" s="34">
        <v>29</v>
      </c>
      <c r="B25" s="37" t="s">
        <v>124</v>
      </c>
      <c r="C25" s="36" t="s">
        <v>35</v>
      </c>
      <c r="D25" s="37">
        <v>2123</v>
      </c>
      <c r="E25" s="37"/>
      <c r="F25" s="41" t="s">
        <v>128</v>
      </c>
      <c r="G25" s="26"/>
      <c r="H25" s="35">
        <v>40</v>
      </c>
      <c r="I25" s="35">
        <v>32</v>
      </c>
      <c r="J25" s="35"/>
      <c r="K25" s="35">
        <v>0</v>
      </c>
      <c r="L25" s="35">
        <v>0</v>
      </c>
      <c r="M25" s="35"/>
      <c r="N25" s="35">
        <v>50</v>
      </c>
      <c r="O25" s="35">
        <v>48</v>
      </c>
      <c r="P25" s="26"/>
      <c r="Q25" s="37">
        <f t="shared" si="0"/>
        <v>90</v>
      </c>
      <c r="R25" s="38">
        <f t="shared" si="1"/>
        <v>80</v>
      </c>
    </row>
    <row r="26" spans="1:18" ht="18" x14ac:dyDescent="0.35">
      <c r="A26" s="34">
        <v>32</v>
      </c>
      <c r="B26" s="37" t="s">
        <v>39</v>
      </c>
      <c r="C26" s="42" t="s">
        <v>35</v>
      </c>
      <c r="D26" s="37">
        <v>98814</v>
      </c>
      <c r="E26" s="37">
        <v>304.8</v>
      </c>
      <c r="F26" s="41" t="s">
        <v>39</v>
      </c>
      <c r="G26" s="37" t="s">
        <v>96</v>
      </c>
      <c r="H26" s="35">
        <v>53</v>
      </c>
      <c r="I26" s="35">
        <v>53</v>
      </c>
      <c r="J26" s="35"/>
      <c r="K26" s="35">
        <v>0</v>
      </c>
      <c r="L26" s="35">
        <v>0</v>
      </c>
      <c r="M26" s="35"/>
      <c r="N26" s="35">
        <v>0</v>
      </c>
      <c r="O26" s="35">
        <v>0</v>
      </c>
      <c r="P26" s="26"/>
      <c r="Q26" s="37">
        <f t="shared" si="0"/>
        <v>53</v>
      </c>
      <c r="R26" s="38">
        <f t="shared" si="1"/>
        <v>53</v>
      </c>
    </row>
    <row r="27" spans="1:18" ht="18" x14ac:dyDescent="0.35">
      <c r="A27" s="34">
        <v>32</v>
      </c>
      <c r="B27" s="37" t="s">
        <v>132</v>
      </c>
      <c r="C27" s="42" t="s">
        <v>35</v>
      </c>
      <c r="D27" s="37">
        <v>98815</v>
      </c>
      <c r="E27" s="37">
        <v>420.12</v>
      </c>
      <c r="F27" s="41" t="s">
        <v>12</v>
      </c>
      <c r="G27" s="37" t="s">
        <v>133</v>
      </c>
      <c r="H27" s="35">
        <v>200</v>
      </c>
      <c r="I27" s="35">
        <v>140</v>
      </c>
      <c r="J27" s="35"/>
      <c r="K27" s="35">
        <v>0</v>
      </c>
      <c r="L27" s="35">
        <v>0</v>
      </c>
      <c r="M27" s="35"/>
      <c r="N27" s="35">
        <v>400</v>
      </c>
      <c r="O27" s="35">
        <v>310</v>
      </c>
      <c r="P27" s="23"/>
      <c r="Q27" s="37">
        <f t="shared" si="0"/>
        <v>600</v>
      </c>
      <c r="R27" s="38">
        <f t="shared" si="1"/>
        <v>450</v>
      </c>
    </row>
    <row r="28" spans="1:18" ht="18" x14ac:dyDescent="0.35">
      <c r="A28" s="34">
        <v>33</v>
      </c>
      <c r="B28" s="37" t="s">
        <v>158</v>
      </c>
      <c r="C28" s="42" t="s">
        <v>35</v>
      </c>
      <c r="D28" s="37">
        <v>98815</v>
      </c>
      <c r="E28" s="37">
        <v>406.4</v>
      </c>
      <c r="F28" s="41" t="s">
        <v>135</v>
      </c>
      <c r="G28" s="37" t="s">
        <v>133</v>
      </c>
      <c r="H28" s="35">
        <v>350</v>
      </c>
      <c r="I28" s="35">
        <v>320</v>
      </c>
      <c r="J28" s="35"/>
      <c r="K28" s="35">
        <v>0</v>
      </c>
      <c r="L28" s="35">
        <v>0</v>
      </c>
      <c r="M28" s="35"/>
      <c r="N28" s="35">
        <v>300</v>
      </c>
      <c r="O28" s="35">
        <v>275</v>
      </c>
      <c r="P28" s="26"/>
      <c r="Q28" s="37">
        <f t="shared" si="0"/>
        <v>650</v>
      </c>
      <c r="R28" s="38">
        <f t="shared" si="1"/>
        <v>595</v>
      </c>
    </row>
    <row r="29" spans="1:18" ht="18" x14ac:dyDescent="0.35">
      <c r="A29" s="34">
        <v>34</v>
      </c>
      <c r="B29" s="37" t="s">
        <v>170</v>
      </c>
      <c r="C29" s="42" t="s">
        <v>35</v>
      </c>
      <c r="D29" s="37">
        <v>98815</v>
      </c>
      <c r="E29" s="37">
        <v>406.4</v>
      </c>
      <c r="F29" s="41" t="s">
        <v>159</v>
      </c>
      <c r="G29" s="37" t="s">
        <v>133</v>
      </c>
      <c r="H29" s="35">
        <v>350</v>
      </c>
      <c r="I29" s="35">
        <v>320</v>
      </c>
      <c r="J29" s="35"/>
      <c r="K29" s="35">
        <v>0</v>
      </c>
      <c r="L29" s="35">
        <v>0</v>
      </c>
      <c r="M29" s="35"/>
      <c r="N29" s="35">
        <v>0</v>
      </c>
      <c r="O29" s="35">
        <v>0</v>
      </c>
      <c r="P29" s="26"/>
      <c r="Q29" s="37">
        <f t="shared" si="0"/>
        <v>350</v>
      </c>
      <c r="R29" s="38">
        <f t="shared" si="1"/>
        <v>320</v>
      </c>
    </row>
    <row r="30" spans="1:18" ht="18" x14ac:dyDescent="0.35">
      <c r="A30" s="34">
        <v>35</v>
      </c>
      <c r="B30" s="37" t="s">
        <v>146</v>
      </c>
      <c r="C30" s="42" t="s">
        <v>35</v>
      </c>
      <c r="D30" s="37">
        <v>98815</v>
      </c>
      <c r="E30" s="37">
        <v>420.12</v>
      </c>
      <c r="F30" s="41" t="s">
        <v>135</v>
      </c>
      <c r="G30" s="37" t="s">
        <v>133</v>
      </c>
      <c r="H30" s="35">
        <v>200</v>
      </c>
      <c r="I30" s="35">
        <v>140</v>
      </c>
      <c r="J30" s="35"/>
      <c r="K30" s="35">
        <v>0</v>
      </c>
      <c r="L30" s="35">
        <v>0</v>
      </c>
      <c r="M30" s="35"/>
      <c r="N30" s="35">
        <v>0</v>
      </c>
      <c r="O30" s="35">
        <v>0</v>
      </c>
      <c r="P30" s="26"/>
      <c r="Q30" s="37">
        <f t="shared" si="0"/>
        <v>200</v>
      </c>
      <c r="R30" s="38">
        <f t="shared" si="1"/>
        <v>140</v>
      </c>
    </row>
    <row r="31" spans="1:18" ht="18" x14ac:dyDescent="0.35">
      <c r="A31" s="34">
        <v>37</v>
      </c>
      <c r="B31" s="37" t="s">
        <v>143</v>
      </c>
      <c r="C31" s="42" t="s">
        <v>144</v>
      </c>
      <c r="D31" s="37">
        <v>83872</v>
      </c>
      <c r="E31" s="37">
        <v>967.65</v>
      </c>
      <c r="F31" s="41" t="s">
        <v>145</v>
      </c>
      <c r="G31" s="37" t="s">
        <v>136</v>
      </c>
      <c r="H31" s="35">
        <v>50</v>
      </c>
      <c r="I31" s="35">
        <v>49</v>
      </c>
      <c r="J31" s="35"/>
      <c r="K31" s="35">
        <v>0</v>
      </c>
      <c r="L31" s="35">
        <v>0</v>
      </c>
      <c r="M31" s="35"/>
      <c r="N31" s="35">
        <v>100</v>
      </c>
      <c r="O31" s="35">
        <v>73</v>
      </c>
      <c r="P31" s="26"/>
      <c r="Q31" s="37">
        <f t="shared" si="0"/>
        <v>150</v>
      </c>
      <c r="R31" s="38">
        <f t="shared" si="1"/>
        <v>122</v>
      </c>
    </row>
    <row r="32" spans="1:18" ht="36" x14ac:dyDescent="0.35">
      <c r="A32" s="34">
        <v>40</v>
      </c>
      <c r="B32" s="43" t="s">
        <v>148</v>
      </c>
      <c r="C32" s="36" t="s">
        <v>167</v>
      </c>
      <c r="D32" s="35">
        <v>93290</v>
      </c>
      <c r="E32" s="35">
        <v>2382</v>
      </c>
      <c r="F32" s="40" t="s">
        <v>150</v>
      </c>
      <c r="G32" s="35" t="s">
        <v>113</v>
      </c>
      <c r="H32" s="35">
        <v>575</v>
      </c>
      <c r="I32" s="35">
        <v>575</v>
      </c>
      <c r="J32" s="35"/>
      <c r="K32" s="35">
        <v>0</v>
      </c>
      <c r="L32" s="35">
        <v>0</v>
      </c>
      <c r="M32" s="35"/>
      <c r="N32" s="35">
        <v>0</v>
      </c>
      <c r="O32" s="35">
        <v>0</v>
      </c>
      <c r="P32" s="26"/>
      <c r="Q32" s="35">
        <f t="shared" si="0"/>
        <v>575</v>
      </c>
      <c r="R32" s="44">
        <f t="shared" si="1"/>
        <v>575</v>
      </c>
    </row>
    <row r="33" spans="1:18" ht="36" x14ac:dyDescent="0.35">
      <c r="A33" s="34">
        <v>41</v>
      </c>
      <c r="B33" s="43" t="s">
        <v>151</v>
      </c>
      <c r="C33" s="36" t="s">
        <v>167</v>
      </c>
      <c r="D33" s="35">
        <v>93292</v>
      </c>
      <c r="E33" s="35">
        <v>1134</v>
      </c>
      <c r="F33" s="40" t="s">
        <v>150</v>
      </c>
      <c r="G33" s="35" t="s">
        <v>113</v>
      </c>
      <c r="H33" s="35">
        <v>2265</v>
      </c>
      <c r="I33" s="35">
        <v>2265</v>
      </c>
      <c r="J33" s="35"/>
      <c r="K33" s="35">
        <v>0</v>
      </c>
      <c r="L33" s="35">
        <v>0</v>
      </c>
      <c r="M33" s="35"/>
      <c r="N33" s="35">
        <v>0</v>
      </c>
      <c r="O33" s="35">
        <v>0</v>
      </c>
      <c r="P33" s="26"/>
      <c r="Q33" s="35">
        <f t="shared" si="0"/>
        <v>2265</v>
      </c>
      <c r="R33" s="44">
        <f t="shared" si="1"/>
        <v>2265</v>
      </c>
    </row>
  </sheetData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0994-CA2C-47C4-AF52-2D1A7A1FD9C2}">
  <dimension ref="A1:R29"/>
  <sheetViews>
    <sheetView workbookViewId="0">
      <selection activeCell="A4" sqref="A4"/>
    </sheetView>
  </sheetViews>
  <sheetFormatPr defaultRowHeight="14.4" x14ac:dyDescent="0.3"/>
  <cols>
    <col min="2" max="2" width="19.5546875" customWidth="1"/>
    <col min="3" max="3" width="25.6640625" customWidth="1"/>
    <col min="5" max="5" width="15.6640625" customWidth="1"/>
    <col min="6" max="6" width="29.33203125" customWidth="1"/>
    <col min="10" max="10" width="11.88671875" customWidth="1"/>
    <col min="13" max="13" width="11.33203125" customWidth="1"/>
    <col min="16" max="16" width="12.6640625" customWidth="1"/>
    <col min="17" max="17" width="14.33203125" customWidth="1"/>
    <col min="18" max="18" width="17" customWidth="1"/>
  </cols>
  <sheetData>
    <row r="1" spans="1:18" x14ac:dyDescent="0.3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8" t="s">
        <v>76</v>
      </c>
      <c r="P5" s="29" t="s">
        <v>211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93" t="s">
        <v>83</v>
      </c>
      <c r="L6" s="94"/>
      <c r="M6" s="95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94</v>
      </c>
      <c r="C8" s="36" t="s">
        <v>97</v>
      </c>
      <c r="D8" s="35">
        <v>93799</v>
      </c>
      <c r="E8" s="35">
        <v>45.72</v>
      </c>
      <c r="F8" s="35" t="s">
        <v>92</v>
      </c>
      <c r="G8" s="35" t="s">
        <v>93</v>
      </c>
      <c r="H8" s="35">
        <v>480</v>
      </c>
      <c r="I8" s="35">
        <v>0</v>
      </c>
      <c r="J8" s="35"/>
      <c r="K8" s="35">
        <v>480</v>
      </c>
      <c r="L8" s="35">
        <v>0</v>
      </c>
      <c r="M8" s="35"/>
      <c r="N8" s="35">
        <v>480</v>
      </c>
      <c r="O8" s="35">
        <v>0</v>
      </c>
      <c r="P8" s="35"/>
      <c r="Q8" s="37">
        <f t="shared" ref="Q8:Q29" si="0">N8+K8+H8</f>
        <v>1440</v>
      </c>
      <c r="R8" s="38">
        <f t="shared" ref="R8:R29" si="1">I8+L8+O8</f>
        <v>0</v>
      </c>
    </row>
    <row r="9" spans="1:18" ht="18" x14ac:dyDescent="0.35">
      <c r="A9" s="34">
        <v>2</v>
      </c>
      <c r="B9" s="35" t="s">
        <v>181</v>
      </c>
      <c r="C9" s="36" t="s">
        <v>97</v>
      </c>
      <c r="D9" s="35">
        <v>93799</v>
      </c>
      <c r="E9" s="35">
        <v>45.7</v>
      </c>
      <c r="F9" s="35" t="s">
        <v>166</v>
      </c>
      <c r="G9" s="35" t="s">
        <v>96</v>
      </c>
      <c r="H9" s="35">
        <v>240</v>
      </c>
      <c r="I9" s="35">
        <v>0</v>
      </c>
      <c r="J9" s="35">
        <v>0</v>
      </c>
      <c r="K9" s="35">
        <v>240</v>
      </c>
      <c r="L9" s="35">
        <v>0</v>
      </c>
      <c r="M9" s="35">
        <v>0</v>
      </c>
      <c r="N9" s="35">
        <v>240</v>
      </c>
      <c r="O9" s="35">
        <v>0</v>
      </c>
      <c r="P9" s="35"/>
      <c r="Q9" s="37">
        <f t="shared" si="0"/>
        <v>720</v>
      </c>
      <c r="R9" s="38">
        <f t="shared" si="1"/>
        <v>0</v>
      </c>
    </row>
    <row r="10" spans="1:18" ht="18" x14ac:dyDescent="0.35">
      <c r="A10" s="34">
        <v>3</v>
      </c>
      <c r="B10" s="35" t="s">
        <v>182</v>
      </c>
      <c r="C10" s="36" t="s">
        <v>97</v>
      </c>
      <c r="D10" s="35">
        <v>93799</v>
      </c>
      <c r="E10" s="35">
        <v>45.7</v>
      </c>
      <c r="F10" s="35" t="s">
        <v>166</v>
      </c>
      <c r="G10" s="35" t="s">
        <v>96</v>
      </c>
      <c r="H10" s="35">
        <v>240</v>
      </c>
      <c r="I10" s="35">
        <v>0</v>
      </c>
      <c r="J10" s="35">
        <v>0</v>
      </c>
      <c r="K10" s="35">
        <v>240</v>
      </c>
      <c r="L10" s="35">
        <v>0</v>
      </c>
      <c r="M10" s="35">
        <v>0</v>
      </c>
      <c r="N10" s="35">
        <v>240</v>
      </c>
      <c r="O10" s="35">
        <v>0</v>
      </c>
      <c r="P10" s="35"/>
      <c r="Q10" s="37">
        <f t="shared" si="0"/>
        <v>720</v>
      </c>
      <c r="R10" s="38">
        <f t="shared" si="1"/>
        <v>0</v>
      </c>
    </row>
    <row r="11" spans="1:18" ht="18" x14ac:dyDescent="0.35">
      <c r="A11" s="34">
        <v>4</v>
      </c>
      <c r="B11" s="35" t="s">
        <v>108</v>
      </c>
      <c r="C11" s="36" t="s">
        <v>95</v>
      </c>
      <c r="D11" s="35">
        <v>93799</v>
      </c>
      <c r="E11" s="35">
        <v>45.72</v>
      </c>
      <c r="F11" s="35" t="s">
        <v>92</v>
      </c>
      <c r="G11" s="35" t="s">
        <v>96</v>
      </c>
      <c r="H11" s="35">
        <v>240</v>
      </c>
      <c r="I11" s="35">
        <v>0</v>
      </c>
      <c r="J11" s="35">
        <v>0</v>
      </c>
      <c r="K11" s="35">
        <v>240</v>
      </c>
      <c r="L11" s="35">
        <v>0</v>
      </c>
      <c r="M11" s="35">
        <v>0</v>
      </c>
      <c r="N11" s="35">
        <v>240</v>
      </c>
      <c r="O11" s="35">
        <v>0</v>
      </c>
      <c r="P11" s="35"/>
      <c r="Q11" s="37">
        <f t="shared" si="0"/>
        <v>720</v>
      </c>
      <c r="R11" s="38">
        <f t="shared" si="1"/>
        <v>0</v>
      </c>
    </row>
    <row r="12" spans="1:18" ht="18" x14ac:dyDescent="0.35">
      <c r="A12" s="34">
        <v>5</v>
      </c>
      <c r="B12" s="35" t="s">
        <v>105</v>
      </c>
      <c r="C12" s="36" t="s">
        <v>95</v>
      </c>
      <c r="D12" s="35">
        <v>93799</v>
      </c>
      <c r="E12" s="35">
        <v>45.72</v>
      </c>
      <c r="F12" s="35" t="s">
        <v>92</v>
      </c>
      <c r="G12" s="35" t="s">
        <v>163</v>
      </c>
      <c r="H12" s="35">
        <v>240</v>
      </c>
      <c r="I12" s="35">
        <v>0</v>
      </c>
      <c r="J12" s="35">
        <v>0</v>
      </c>
      <c r="K12" s="35">
        <v>240</v>
      </c>
      <c r="L12" s="35">
        <v>0</v>
      </c>
      <c r="M12" s="35">
        <v>0</v>
      </c>
      <c r="N12" s="35">
        <v>240</v>
      </c>
      <c r="O12" s="35">
        <v>0</v>
      </c>
      <c r="P12" s="35"/>
      <c r="Q12" s="37">
        <f t="shared" si="0"/>
        <v>720</v>
      </c>
      <c r="R12" s="38">
        <f t="shared" si="1"/>
        <v>0</v>
      </c>
    </row>
    <row r="13" spans="1:18" ht="18" x14ac:dyDescent="0.35">
      <c r="A13" s="34">
        <v>6</v>
      </c>
      <c r="B13" s="35" t="s">
        <v>106</v>
      </c>
      <c r="C13" s="36" t="s">
        <v>95</v>
      </c>
      <c r="D13" s="35">
        <v>93799</v>
      </c>
      <c r="E13" s="35">
        <v>45.72</v>
      </c>
      <c r="F13" s="35" t="s">
        <v>92</v>
      </c>
      <c r="G13" s="35" t="s">
        <v>96</v>
      </c>
      <c r="H13" s="35">
        <v>240</v>
      </c>
      <c r="I13" s="35">
        <v>0</v>
      </c>
      <c r="J13" s="35">
        <v>0</v>
      </c>
      <c r="K13" s="35">
        <v>240</v>
      </c>
      <c r="L13" s="35">
        <v>0</v>
      </c>
      <c r="M13" s="35">
        <v>0</v>
      </c>
      <c r="N13" s="35">
        <v>0</v>
      </c>
      <c r="O13" s="35">
        <v>0</v>
      </c>
      <c r="P13" s="35"/>
      <c r="Q13" s="37">
        <f t="shared" si="0"/>
        <v>480</v>
      </c>
      <c r="R13" s="38">
        <f t="shared" si="1"/>
        <v>0</v>
      </c>
    </row>
    <row r="14" spans="1:18" ht="18" x14ac:dyDescent="0.35">
      <c r="A14" s="34">
        <v>7</v>
      </c>
      <c r="B14" s="35" t="s">
        <v>185</v>
      </c>
      <c r="C14" s="36" t="s">
        <v>97</v>
      </c>
      <c r="D14" s="35">
        <v>93799</v>
      </c>
      <c r="E14" s="35">
        <v>45.72</v>
      </c>
      <c r="F14" s="35" t="s">
        <v>186</v>
      </c>
      <c r="G14" s="35" t="s">
        <v>187</v>
      </c>
      <c r="H14" s="35">
        <v>960</v>
      </c>
      <c r="I14" s="35">
        <v>0</v>
      </c>
      <c r="J14" s="35">
        <v>0</v>
      </c>
      <c r="K14" s="35">
        <v>960</v>
      </c>
      <c r="L14" s="35">
        <v>0</v>
      </c>
      <c r="M14" s="35">
        <v>0</v>
      </c>
      <c r="N14" s="35">
        <v>960</v>
      </c>
      <c r="O14" s="35">
        <v>0</v>
      </c>
      <c r="P14" s="35"/>
      <c r="Q14" s="37">
        <f t="shared" si="0"/>
        <v>2880</v>
      </c>
      <c r="R14" s="38">
        <f t="shared" si="1"/>
        <v>0</v>
      </c>
    </row>
    <row r="15" spans="1:18" ht="18" x14ac:dyDescent="0.35">
      <c r="A15" s="34">
        <v>8</v>
      </c>
      <c r="B15" s="35" t="s">
        <v>102</v>
      </c>
      <c r="C15" s="36" t="s">
        <v>35</v>
      </c>
      <c r="D15" s="35">
        <v>98808</v>
      </c>
      <c r="E15" s="35">
        <v>796.5</v>
      </c>
      <c r="F15" s="35">
        <v>90</v>
      </c>
      <c r="G15" s="35" t="s">
        <v>93</v>
      </c>
      <c r="H15" s="35">
        <v>480</v>
      </c>
      <c r="I15" s="35">
        <v>0</v>
      </c>
      <c r="J15" s="35">
        <v>0</v>
      </c>
      <c r="K15" s="35"/>
      <c r="L15" s="35">
        <v>0</v>
      </c>
      <c r="M15" s="35">
        <v>0</v>
      </c>
      <c r="N15" s="35">
        <v>0</v>
      </c>
      <c r="O15" s="35">
        <v>0</v>
      </c>
      <c r="P15" s="35"/>
      <c r="Q15" s="37">
        <f t="shared" si="0"/>
        <v>480</v>
      </c>
      <c r="R15" s="38">
        <f t="shared" si="1"/>
        <v>0</v>
      </c>
    </row>
    <row r="16" spans="1:18" ht="18" x14ac:dyDescent="0.35">
      <c r="A16" s="34">
        <v>9</v>
      </c>
      <c r="B16" s="35" t="s">
        <v>121</v>
      </c>
      <c r="C16" s="36" t="s">
        <v>35</v>
      </c>
      <c r="D16" s="35">
        <v>98808</v>
      </c>
      <c r="E16" s="35">
        <v>796.5</v>
      </c>
      <c r="F16" s="40" t="s">
        <v>117</v>
      </c>
      <c r="G16" s="35" t="s">
        <v>154</v>
      </c>
      <c r="H16" s="35">
        <v>960</v>
      </c>
      <c r="I16" s="35">
        <v>0</v>
      </c>
      <c r="J16" s="35">
        <v>0</v>
      </c>
      <c r="K16" s="35">
        <v>960</v>
      </c>
      <c r="L16" s="35">
        <v>0</v>
      </c>
      <c r="M16" s="35">
        <v>0</v>
      </c>
      <c r="N16" s="35">
        <v>0</v>
      </c>
      <c r="O16" s="35">
        <v>0</v>
      </c>
      <c r="P16" s="35"/>
      <c r="Q16" s="37">
        <f t="shared" si="0"/>
        <v>1920</v>
      </c>
      <c r="R16" s="38">
        <f t="shared" si="1"/>
        <v>0</v>
      </c>
    </row>
    <row r="17" spans="1:18" ht="18" x14ac:dyDescent="0.35">
      <c r="A17" s="34">
        <v>10</v>
      </c>
      <c r="B17" s="35" t="s">
        <v>119</v>
      </c>
      <c r="C17" s="36" t="s">
        <v>35</v>
      </c>
      <c r="D17" s="35">
        <v>98808</v>
      </c>
      <c r="E17" s="35">
        <v>796.5</v>
      </c>
      <c r="F17" s="40" t="s">
        <v>219</v>
      </c>
      <c r="G17" s="35" t="s">
        <v>154</v>
      </c>
      <c r="H17" s="35">
        <v>960</v>
      </c>
      <c r="I17" s="35">
        <v>0</v>
      </c>
      <c r="J17" s="35">
        <v>0</v>
      </c>
      <c r="K17" s="35">
        <v>960</v>
      </c>
      <c r="L17" s="35">
        <v>0</v>
      </c>
      <c r="M17" s="35">
        <v>0</v>
      </c>
      <c r="N17" s="35">
        <v>0</v>
      </c>
      <c r="O17" s="35">
        <v>0</v>
      </c>
      <c r="P17" s="26"/>
      <c r="Q17" s="37">
        <f t="shared" si="0"/>
        <v>1920</v>
      </c>
      <c r="R17" s="38">
        <f t="shared" si="1"/>
        <v>0</v>
      </c>
    </row>
    <row r="18" spans="1:18" ht="18" x14ac:dyDescent="0.35">
      <c r="A18" s="34">
        <v>11</v>
      </c>
      <c r="B18" s="35" t="s">
        <v>212</v>
      </c>
      <c r="C18" s="36" t="s">
        <v>35</v>
      </c>
      <c r="D18" s="35">
        <v>98808</v>
      </c>
      <c r="E18" s="35">
        <v>796.5</v>
      </c>
      <c r="F18" s="40" t="s">
        <v>123</v>
      </c>
      <c r="G18" s="35" t="s">
        <v>154</v>
      </c>
      <c r="H18" s="35">
        <v>960</v>
      </c>
      <c r="I18" s="35">
        <v>0</v>
      </c>
      <c r="J18" s="35">
        <v>0</v>
      </c>
      <c r="K18" s="35">
        <v>960</v>
      </c>
      <c r="L18" s="35">
        <v>0</v>
      </c>
      <c r="M18" s="35">
        <v>0</v>
      </c>
      <c r="N18" s="35">
        <v>0</v>
      </c>
      <c r="O18" s="35">
        <v>0</v>
      </c>
      <c r="P18" s="26"/>
      <c r="Q18" s="37">
        <f t="shared" si="0"/>
        <v>1920</v>
      </c>
      <c r="R18" s="38">
        <f t="shared" si="1"/>
        <v>0</v>
      </c>
    </row>
    <row r="19" spans="1:18" ht="18" x14ac:dyDescent="0.35">
      <c r="A19" s="34">
        <v>12</v>
      </c>
      <c r="B19" s="35" t="s">
        <v>213</v>
      </c>
      <c r="C19" s="36" t="s">
        <v>35</v>
      </c>
      <c r="D19" s="35">
        <v>98812</v>
      </c>
      <c r="E19" s="35">
        <v>292.10000000000002</v>
      </c>
      <c r="F19" s="40" t="s">
        <v>92</v>
      </c>
      <c r="G19" s="35" t="s">
        <v>154</v>
      </c>
      <c r="H19" s="35">
        <v>960</v>
      </c>
      <c r="I19" s="35">
        <v>0</v>
      </c>
      <c r="J19" s="35">
        <v>0</v>
      </c>
      <c r="K19" s="35">
        <v>960</v>
      </c>
      <c r="L19" s="35">
        <v>0</v>
      </c>
      <c r="M19" s="35">
        <v>0</v>
      </c>
      <c r="N19" s="35">
        <v>0</v>
      </c>
      <c r="O19" s="35">
        <v>0</v>
      </c>
      <c r="P19" s="26"/>
      <c r="Q19" s="37">
        <f t="shared" si="0"/>
        <v>1920</v>
      </c>
      <c r="R19" s="38">
        <f t="shared" si="1"/>
        <v>0</v>
      </c>
    </row>
    <row r="20" spans="1:18" ht="18" x14ac:dyDescent="0.35">
      <c r="A20" s="34">
        <v>13</v>
      </c>
      <c r="B20" s="37" t="s">
        <v>124</v>
      </c>
      <c r="C20" s="36" t="s">
        <v>35</v>
      </c>
      <c r="D20" s="37">
        <v>2191</v>
      </c>
      <c r="E20" s="37"/>
      <c r="F20" s="41" t="s">
        <v>216</v>
      </c>
      <c r="G20" s="26"/>
      <c r="H20" s="35">
        <v>110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26"/>
      <c r="Q20" s="37">
        <f t="shared" si="0"/>
        <v>110</v>
      </c>
      <c r="R20" s="38">
        <f t="shared" si="1"/>
        <v>0</v>
      </c>
    </row>
    <row r="21" spans="1:18" ht="18" x14ac:dyDescent="0.35">
      <c r="A21" s="34">
        <v>14</v>
      </c>
      <c r="B21" s="37" t="s">
        <v>124</v>
      </c>
      <c r="C21" s="36" t="s">
        <v>35</v>
      </c>
      <c r="D21" s="37">
        <v>2191</v>
      </c>
      <c r="E21" s="37"/>
      <c r="F21" s="41" t="s">
        <v>214</v>
      </c>
      <c r="G21" s="26"/>
      <c r="H21" s="35">
        <v>110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26"/>
      <c r="Q21" s="37">
        <f t="shared" si="0"/>
        <v>110</v>
      </c>
      <c r="R21" s="38">
        <f t="shared" si="1"/>
        <v>0</v>
      </c>
    </row>
    <row r="22" spans="1:18" ht="18" x14ac:dyDescent="0.35">
      <c r="A22" s="34">
        <v>15</v>
      </c>
      <c r="B22" s="37" t="s">
        <v>217</v>
      </c>
      <c r="C22" s="42" t="s">
        <v>35</v>
      </c>
      <c r="D22" s="37">
        <v>98808</v>
      </c>
      <c r="E22" s="37">
        <v>428.75</v>
      </c>
      <c r="F22" s="41" t="s">
        <v>92</v>
      </c>
      <c r="G22" s="37" t="s">
        <v>218</v>
      </c>
      <c r="H22" s="35">
        <v>0</v>
      </c>
      <c r="I22" s="35">
        <v>0</v>
      </c>
      <c r="J22" s="35">
        <v>0</v>
      </c>
      <c r="K22" s="35">
        <v>480</v>
      </c>
      <c r="L22" s="35">
        <v>0</v>
      </c>
      <c r="M22" s="35">
        <v>0</v>
      </c>
      <c r="N22" s="35">
        <v>480</v>
      </c>
      <c r="O22" s="35">
        <v>0</v>
      </c>
      <c r="P22" s="26"/>
      <c r="Q22" s="37">
        <f t="shared" si="0"/>
        <v>960</v>
      </c>
      <c r="R22" s="38">
        <f t="shared" si="1"/>
        <v>0</v>
      </c>
    </row>
    <row r="23" spans="1:18" ht="18" x14ac:dyDescent="0.35">
      <c r="A23" s="34">
        <v>16</v>
      </c>
      <c r="B23" s="37" t="s">
        <v>132</v>
      </c>
      <c r="C23" s="42" t="s">
        <v>144</v>
      </c>
      <c r="D23" s="37">
        <v>83872</v>
      </c>
      <c r="E23" s="37">
        <v>967.7</v>
      </c>
      <c r="F23" s="41" t="s">
        <v>12</v>
      </c>
      <c r="G23" s="37" t="s">
        <v>173</v>
      </c>
      <c r="H23" s="35">
        <v>60</v>
      </c>
      <c r="I23" s="35">
        <v>60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23"/>
      <c r="Q23" s="37">
        <f t="shared" si="0"/>
        <v>60</v>
      </c>
      <c r="R23" s="38">
        <f t="shared" si="1"/>
        <v>60</v>
      </c>
    </row>
    <row r="24" spans="1:18" ht="18" x14ac:dyDescent="0.35">
      <c r="A24" s="34">
        <v>17</v>
      </c>
      <c r="B24" s="37" t="s">
        <v>158</v>
      </c>
      <c r="C24" s="42" t="s">
        <v>35</v>
      </c>
      <c r="D24" s="37">
        <v>98815</v>
      </c>
      <c r="E24" s="37">
        <v>406.4</v>
      </c>
      <c r="F24" s="41" t="s">
        <v>135</v>
      </c>
      <c r="G24" s="37" t="s">
        <v>133</v>
      </c>
      <c r="H24" s="35">
        <v>480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26"/>
      <c r="Q24" s="37">
        <f t="shared" si="0"/>
        <v>480</v>
      </c>
      <c r="R24" s="38">
        <f t="shared" si="1"/>
        <v>0</v>
      </c>
    </row>
    <row r="25" spans="1:18" ht="18" x14ac:dyDescent="0.35">
      <c r="A25" s="34">
        <v>18</v>
      </c>
      <c r="B25" s="37" t="s">
        <v>170</v>
      </c>
      <c r="C25" s="42" t="s">
        <v>35</v>
      </c>
      <c r="D25" s="37">
        <v>98815</v>
      </c>
      <c r="E25" s="37">
        <v>406.4</v>
      </c>
      <c r="F25" s="41" t="s">
        <v>159</v>
      </c>
      <c r="G25" s="37" t="s">
        <v>133</v>
      </c>
      <c r="H25" s="35">
        <v>480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26"/>
      <c r="Q25" s="37">
        <f t="shared" si="0"/>
        <v>480</v>
      </c>
      <c r="R25" s="38">
        <f t="shared" si="1"/>
        <v>0</v>
      </c>
    </row>
    <row r="26" spans="1:18" ht="18" x14ac:dyDescent="0.35">
      <c r="A26" s="34">
        <v>19</v>
      </c>
      <c r="B26" s="37" t="s">
        <v>143</v>
      </c>
      <c r="C26" s="42" t="s">
        <v>144</v>
      </c>
      <c r="D26" s="37">
        <v>83872</v>
      </c>
      <c r="E26" s="37">
        <v>967.65</v>
      </c>
      <c r="F26" s="41" t="s">
        <v>215</v>
      </c>
      <c r="G26" s="37" t="s">
        <v>96</v>
      </c>
      <c r="H26" s="35">
        <v>240</v>
      </c>
      <c r="I26" s="35">
        <v>0</v>
      </c>
      <c r="J26" s="35">
        <v>0</v>
      </c>
      <c r="K26" s="35">
        <v>240</v>
      </c>
      <c r="L26" s="35">
        <v>0</v>
      </c>
      <c r="M26" s="35">
        <v>0</v>
      </c>
      <c r="N26" s="35">
        <v>0</v>
      </c>
      <c r="O26" s="35">
        <v>0</v>
      </c>
      <c r="P26" s="26"/>
      <c r="Q26" s="37">
        <f t="shared" si="0"/>
        <v>480</v>
      </c>
      <c r="R26" s="38">
        <f t="shared" si="1"/>
        <v>0</v>
      </c>
    </row>
    <row r="27" spans="1:18" ht="18" x14ac:dyDescent="0.35">
      <c r="A27" s="34">
        <v>20</v>
      </c>
      <c r="B27" s="37" t="s">
        <v>143</v>
      </c>
      <c r="C27" s="42" t="s">
        <v>144</v>
      </c>
      <c r="D27" s="37">
        <v>83872</v>
      </c>
      <c r="E27" s="37">
        <v>967.65</v>
      </c>
      <c r="F27" s="41" t="s">
        <v>145</v>
      </c>
      <c r="G27" s="37" t="s">
        <v>136</v>
      </c>
      <c r="H27" s="35">
        <v>120</v>
      </c>
      <c r="I27" s="35">
        <v>0</v>
      </c>
      <c r="J27" s="35">
        <v>0</v>
      </c>
      <c r="K27" s="35">
        <v>120</v>
      </c>
      <c r="L27" s="35">
        <v>0</v>
      </c>
      <c r="M27" s="35">
        <v>0</v>
      </c>
      <c r="N27" s="35">
        <v>0</v>
      </c>
      <c r="O27" s="35">
        <v>0</v>
      </c>
      <c r="P27" s="26"/>
      <c r="Q27" s="37">
        <f t="shared" si="0"/>
        <v>240</v>
      </c>
      <c r="R27" s="38">
        <f t="shared" si="1"/>
        <v>0</v>
      </c>
    </row>
    <row r="28" spans="1:18" ht="36" x14ac:dyDescent="0.35">
      <c r="A28" s="34">
        <v>21</v>
      </c>
      <c r="B28" s="47" t="s">
        <v>148</v>
      </c>
      <c r="C28" s="36" t="s">
        <v>167</v>
      </c>
      <c r="D28" s="35">
        <v>93290</v>
      </c>
      <c r="E28" s="35">
        <v>2382</v>
      </c>
      <c r="F28" s="40" t="s">
        <v>150</v>
      </c>
      <c r="G28" s="35" t="s">
        <v>113</v>
      </c>
      <c r="H28" s="35">
        <v>4800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26"/>
      <c r="Q28" s="35">
        <f t="shared" si="0"/>
        <v>4800</v>
      </c>
      <c r="R28" s="44">
        <f t="shared" si="1"/>
        <v>0</v>
      </c>
    </row>
    <row r="29" spans="1:18" ht="36" x14ac:dyDescent="0.35">
      <c r="A29" s="34">
        <v>22</v>
      </c>
      <c r="B29" s="47" t="s">
        <v>151</v>
      </c>
      <c r="C29" s="36" t="s">
        <v>167</v>
      </c>
      <c r="D29" s="35">
        <v>93292</v>
      </c>
      <c r="E29" s="35">
        <v>1134</v>
      </c>
      <c r="F29" s="40" t="s">
        <v>150</v>
      </c>
      <c r="G29" s="35" t="s">
        <v>113</v>
      </c>
      <c r="H29" s="35">
        <v>4800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26"/>
      <c r="Q29" s="35">
        <f t="shared" si="0"/>
        <v>4800</v>
      </c>
      <c r="R29" s="44">
        <f t="shared" si="1"/>
        <v>0</v>
      </c>
    </row>
  </sheetData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CA37-147A-4592-8C0B-CC743765EE59}">
  <dimension ref="A1:R25"/>
  <sheetViews>
    <sheetView workbookViewId="0">
      <selection sqref="A1:R25"/>
    </sheetView>
  </sheetViews>
  <sheetFormatPr defaultRowHeight="14.4" x14ac:dyDescent="0.3"/>
  <cols>
    <col min="2" max="2" width="23.6640625" customWidth="1"/>
    <col min="3" max="3" width="20.6640625" customWidth="1"/>
    <col min="5" max="5" width="15" customWidth="1"/>
    <col min="6" max="6" width="29.33203125" customWidth="1"/>
    <col min="10" max="10" width="11.33203125" customWidth="1"/>
    <col min="13" max="13" width="12.5546875" customWidth="1"/>
    <col min="16" max="16" width="12.44140625" customWidth="1"/>
    <col min="17" max="17" width="16.5546875" customWidth="1"/>
    <col min="18" max="18" width="16.88671875" customWidth="1"/>
  </cols>
  <sheetData>
    <row r="1" spans="1:18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8" t="s">
        <v>76</v>
      </c>
      <c r="P5" s="29" t="s">
        <v>222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56" t="s">
        <v>83</v>
      </c>
      <c r="L6" s="56"/>
      <c r="M6" s="56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94</v>
      </c>
      <c r="C8" s="36" t="s">
        <v>35</v>
      </c>
      <c r="D8" s="35">
        <v>98814</v>
      </c>
      <c r="E8" s="35">
        <v>304.8</v>
      </c>
      <c r="F8" s="35" t="s">
        <v>92</v>
      </c>
      <c r="G8" s="35" t="s">
        <v>93</v>
      </c>
      <c r="H8" s="35">
        <v>480</v>
      </c>
      <c r="I8" s="35">
        <v>460</v>
      </c>
      <c r="J8" s="35"/>
      <c r="K8" s="35">
        <v>200</v>
      </c>
      <c r="L8" s="35">
        <v>162</v>
      </c>
      <c r="M8" s="35"/>
      <c r="N8" s="35">
        <v>0</v>
      </c>
      <c r="O8" s="35">
        <v>0</v>
      </c>
      <c r="P8" s="35"/>
      <c r="Q8" s="37">
        <f>N8+K8+H8</f>
        <v>680</v>
      </c>
      <c r="R8" s="38">
        <f>I8+L8+O8</f>
        <v>622</v>
      </c>
    </row>
    <row r="9" spans="1:18" ht="18" x14ac:dyDescent="0.35">
      <c r="A9" s="34">
        <v>8</v>
      </c>
      <c r="B9" s="35" t="s">
        <v>108</v>
      </c>
      <c r="C9" s="36" t="s">
        <v>95</v>
      </c>
      <c r="D9" s="35">
        <v>93799</v>
      </c>
      <c r="E9" s="35">
        <v>45.7</v>
      </c>
      <c r="F9" s="35" t="s">
        <v>92</v>
      </c>
      <c r="G9" s="35" t="s">
        <v>96</v>
      </c>
      <c r="H9" s="35">
        <v>300</v>
      </c>
      <c r="I9" s="35">
        <v>250</v>
      </c>
      <c r="J9" s="35"/>
      <c r="K9" s="35">
        <v>240</v>
      </c>
      <c r="L9" s="35">
        <v>230</v>
      </c>
      <c r="M9" s="35"/>
      <c r="N9" s="35">
        <v>0</v>
      </c>
      <c r="O9" s="35">
        <v>0</v>
      </c>
      <c r="P9" s="35"/>
      <c r="Q9" s="37">
        <f t="shared" ref="Q9:Q25" si="0">N9+K9+H9</f>
        <v>540</v>
      </c>
      <c r="R9" s="38">
        <f t="shared" ref="R9:R25" si="1">I9+L9+O9</f>
        <v>480</v>
      </c>
    </row>
    <row r="10" spans="1:18" ht="18" x14ac:dyDescent="0.35">
      <c r="A10" s="34">
        <v>11</v>
      </c>
      <c r="B10" s="35" t="s">
        <v>102</v>
      </c>
      <c r="C10" s="36" t="s">
        <v>35</v>
      </c>
      <c r="D10" s="35">
        <v>98808</v>
      </c>
      <c r="E10" s="35">
        <v>428.75</v>
      </c>
      <c r="F10" s="35">
        <v>90</v>
      </c>
      <c r="G10" s="35" t="s">
        <v>175</v>
      </c>
      <c r="H10" s="35">
        <v>300</v>
      </c>
      <c r="I10" s="35">
        <v>230</v>
      </c>
      <c r="J10" s="35"/>
      <c r="K10" s="35">
        <v>0</v>
      </c>
      <c r="L10" s="35">
        <v>0</v>
      </c>
      <c r="M10" s="35"/>
      <c r="N10" s="35">
        <v>0</v>
      </c>
      <c r="O10" s="35">
        <v>0</v>
      </c>
      <c r="P10" s="35"/>
      <c r="Q10" s="37">
        <f t="shared" si="0"/>
        <v>300</v>
      </c>
      <c r="R10" s="38">
        <f t="shared" si="1"/>
        <v>230</v>
      </c>
    </row>
    <row r="11" spans="1:18" ht="18" x14ac:dyDescent="0.35">
      <c r="A11" s="34">
        <v>12</v>
      </c>
      <c r="B11" s="35" t="s">
        <v>102</v>
      </c>
      <c r="C11" s="36" t="s">
        <v>35</v>
      </c>
      <c r="D11" s="35">
        <v>98808</v>
      </c>
      <c r="E11" s="35">
        <v>418.2</v>
      </c>
      <c r="F11" s="35">
        <v>90</v>
      </c>
      <c r="G11" s="35" t="s">
        <v>93</v>
      </c>
      <c r="H11" s="35">
        <v>0</v>
      </c>
      <c r="I11" s="35">
        <v>0</v>
      </c>
      <c r="J11" s="35"/>
      <c r="K11" s="35">
        <v>100</v>
      </c>
      <c r="L11" s="35">
        <v>89</v>
      </c>
      <c r="M11" s="35"/>
      <c r="N11" s="35">
        <v>0</v>
      </c>
      <c r="O11" s="35">
        <v>0</v>
      </c>
      <c r="P11" s="35"/>
      <c r="Q11" s="37">
        <f t="shared" si="0"/>
        <v>100</v>
      </c>
      <c r="R11" s="38">
        <f t="shared" si="1"/>
        <v>89</v>
      </c>
    </row>
    <row r="12" spans="1:18" ht="18" x14ac:dyDescent="0.35">
      <c r="A12" s="34">
        <v>13</v>
      </c>
      <c r="B12" s="35" t="s">
        <v>111</v>
      </c>
      <c r="C12" s="36" t="s">
        <v>35</v>
      </c>
      <c r="D12" s="35">
        <v>98811</v>
      </c>
      <c r="E12" s="35">
        <v>63.5</v>
      </c>
      <c r="F12" s="35">
        <v>90</v>
      </c>
      <c r="G12" s="35" t="s">
        <v>155</v>
      </c>
      <c r="H12" s="35">
        <v>150</v>
      </c>
      <c r="I12" s="35">
        <v>120</v>
      </c>
      <c r="J12" s="35"/>
      <c r="K12" s="35">
        <v>0</v>
      </c>
      <c r="L12" s="35">
        <v>0</v>
      </c>
      <c r="M12" s="35"/>
      <c r="N12" s="35">
        <v>0</v>
      </c>
      <c r="O12" s="35">
        <v>0</v>
      </c>
      <c r="P12" s="35"/>
      <c r="Q12" s="37">
        <f t="shared" si="0"/>
        <v>150</v>
      </c>
      <c r="R12" s="38">
        <f t="shared" si="1"/>
        <v>120</v>
      </c>
    </row>
    <row r="13" spans="1:18" ht="18" x14ac:dyDescent="0.35">
      <c r="A13" s="34">
        <v>14</v>
      </c>
      <c r="B13" s="35" t="s">
        <v>111</v>
      </c>
      <c r="C13" s="36" t="s">
        <v>35</v>
      </c>
      <c r="D13" s="35">
        <v>98811</v>
      </c>
      <c r="E13" s="35">
        <v>20.059999999999999</v>
      </c>
      <c r="F13" s="35">
        <v>90</v>
      </c>
      <c r="G13" s="35" t="s">
        <v>155</v>
      </c>
      <c r="H13" s="35">
        <v>1200</v>
      </c>
      <c r="I13" s="35">
        <v>1200</v>
      </c>
      <c r="J13" s="35"/>
      <c r="K13" s="35">
        <v>0</v>
      </c>
      <c r="L13" s="35">
        <v>0</v>
      </c>
      <c r="M13" s="35"/>
      <c r="N13" s="35">
        <v>0</v>
      </c>
      <c r="O13" s="35">
        <v>0</v>
      </c>
      <c r="P13" s="35"/>
      <c r="Q13" s="37">
        <f t="shared" si="0"/>
        <v>1200</v>
      </c>
      <c r="R13" s="38">
        <f t="shared" si="1"/>
        <v>1200</v>
      </c>
    </row>
    <row r="14" spans="1:18" ht="18" x14ac:dyDescent="0.35">
      <c r="A14" s="34">
        <v>15</v>
      </c>
      <c r="B14" s="35" t="s">
        <v>121</v>
      </c>
      <c r="C14" s="36" t="s">
        <v>35</v>
      </c>
      <c r="D14" s="35">
        <v>98808</v>
      </c>
      <c r="E14" s="35">
        <v>796.5</v>
      </c>
      <c r="F14" s="40" t="s">
        <v>190</v>
      </c>
      <c r="G14" s="35" t="s">
        <v>154</v>
      </c>
      <c r="H14" s="35">
        <v>457</v>
      </c>
      <c r="I14" s="35">
        <v>457</v>
      </c>
      <c r="J14" s="35"/>
      <c r="K14" s="35">
        <v>0</v>
      </c>
      <c r="L14" s="35">
        <v>0</v>
      </c>
      <c r="M14" s="26"/>
      <c r="N14" s="35">
        <v>0</v>
      </c>
      <c r="O14" s="35">
        <v>0</v>
      </c>
      <c r="P14" s="26"/>
      <c r="Q14" s="37">
        <f t="shared" si="0"/>
        <v>457</v>
      </c>
      <c r="R14" s="38">
        <f t="shared" si="1"/>
        <v>457</v>
      </c>
    </row>
    <row r="15" spans="1:18" ht="18" x14ac:dyDescent="0.35">
      <c r="A15" s="34">
        <v>16</v>
      </c>
      <c r="B15" s="35" t="s">
        <v>116</v>
      </c>
      <c r="C15" s="36" t="s">
        <v>35</v>
      </c>
      <c r="D15" s="35">
        <v>98814</v>
      </c>
      <c r="E15" s="35">
        <v>304.8</v>
      </c>
      <c r="F15" s="40" t="s">
        <v>190</v>
      </c>
      <c r="G15" s="35" t="s">
        <v>154</v>
      </c>
      <c r="H15" s="35">
        <v>200</v>
      </c>
      <c r="I15" s="35">
        <v>180</v>
      </c>
      <c r="J15" s="35"/>
      <c r="K15" s="35">
        <v>0</v>
      </c>
      <c r="L15" s="35">
        <v>0</v>
      </c>
      <c r="M15" s="26"/>
      <c r="N15" s="35">
        <v>0</v>
      </c>
      <c r="O15" s="35">
        <v>0</v>
      </c>
      <c r="P15" s="26"/>
      <c r="Q15" s="37">
        <f t="shared" si="0"/>
        <v>200</v>
      </c>
      <c r="R15" s="38">
        <f t="shared" si="1"/>
        <v>180</v>
      </c>
    </row>
    <row r="16" spans="1:18" ht="18" x14ac:dyDescent="0.35">
      <c r="A16" s="34">
        <v>20</v>
      </c>
      <c r="B16" s="35" t="s">
        <v>220</v>
      </c>
      <c r="C16" s="36" t="s">
        <v>97</v>
      </c>
      <c r="D16" s="35">
        <v>93799</v>
      </c>
      <c r="E16" s="35">
        <v>45.72</v>
      </c>
      <c r="F16" s="40" t="s">
        <v>221</v>
      </c>
      <c r="G16" s="35" t="s">
        <v>118</v>
      </c>
      <c r="H16" s="35">
        <v>0</v>
      </c>
      <c r="I16" s="35">
        <v>0</v>
      </c>
      <c r="J16" s="35"/>
      <c r="K16" s="35">
        <v>800</v>
      </c>
      <c r="L16" s="35">
        <v>752</v>
      </c>
      <c r="M16" s="26"/>
      <c r="N16" s="35">
        <v>0</v>
      </c>
      <c r="O16" s="35">
        <v>0</v>
      </c>
      <c r="P16" s="26"/>
      <c r="Q16" s="37">
        <f t="shared" si="0"/>
        <v>800</v>
      </c>
      <c r="R16" s="38">
        <f t="shared" si="1"/>
        <v>752</v>
      </c>
    </row>
    <row r="17" spans="1:18" ht="18" x14ac:dyDescent="0.35">
      <c r="A17" s="34">
        <v>21</v>
      </c>
      <c r="B17" s="35" t="s">
        <v>121</v>
      </c>
      <c r="C17" s="36" t="s">
        <v>35</v>
      </c>
      <c r="D17" s="35">
        <v>98812</v>
      </c>
      <c r="E17" s="35">
        <v>292.10000000000002</v>
      </c>
      <c r="F17" s="40" t="s">
        <v>122</v>
      </c>
      <c r="G17" s="35" t="s">
        <v>118</v>
      </c>
      <c r="H17" s="35">
        <v>560</v>
      </c>
      <c r="I17" s="35">
        <v>560</v>
      </c>
      <c r="J17" s="35"/>
      <c r="K17" s="35">
        <v>0</v>
      </c>
      <c r="L17" s="35">
        <v>0</v>
      </c>
      <c r="M17" s="35"/>
      <c r="N17" s="35">
        <v>0</v>
      </c>
      <c r="O17" s="35">
        <v>0</v>
      </c>
      <c r="P17" s="26"/>
      <c r="Q17" s="37">
        <f t="shared" si="0"/>
        <v>560</v>
      </c>
      <c r="R17" s="38">
        <f t="shared" si="1"/>
        <v>560</v>
      </c>
    </row>
    <row r="18" spans="1:18" ht="18" x14ac:dyDescent="0.35">
      <c r="A18" s="34">
        <v>22</v>
      </c>
      <c r="B18" s="35" t="s">
        <v>119</v>
      </c>
      <c r="C18" s="36" t="s">
        <v>35</v>
      </c>
      <c r="D18" s="35">
        <v>98812</v>
      </c>
      <c r="E18" s="35">
        <v>292.10000000000002</v>
      </c>
      <c r="F18" s="40" t="s">
        <v>117</v>
      </c>
      <c r="G18" s="35" t="s">
        <v>118</v>
      </c>
      <c r="H18" s="35">
        <v>700</v>
      </c>
      <c r="I18" s="35">
        <v>560</v>
      </c>
      <c r="J18" s="35"/>
      <c r="K18" s="35">
        <v>0</v>
      </c>
      <c r="L18" s="35">
        <v>0</v>
      </c>
      <c r="M18" s="35"/>
      <c r="N18" s="35">
        <v>0</v>
      </c>
      <c r="O18" s="35">
        <v>0</v>
      </c>
      <c r="P18" s="26"/>
      <c r="Q18" s="37">
        <f t="shared" si="0"/>
        <v>700</v>
      </c>
      <c r="R18" s="38">
        <f t="shared" si="1"/>
        <v>560</v>
      </c>
    </row>
    <row r="19" spans="1:18" ht="18" x14ac:dyDescent="0.35">
      <c r="A19" s="34">
        <v>23</v>
      </c>
      <c r="B19" s="37" t="s">
        <v>124</v>
      </c>
      <c r="C19" s="36" t="s">
        <v>35</v>
      </c>
      <c r="D19" s="37">
        <v>2191</v>
      </c>
      <c r="E19" s="37"/>
      <c r="F19" s="41" t="s">
        <v>126</v>
      </c>
      <c r="G19" s="26"/>
      <c r="H19" s="35">
        <v>0</v>
      </c>
      <c r="I19" s="35">
        <v>0</v>
      </c>
      <c r="J19" s="26"/>
      <c r="K19" s="35">
        <v>0</v>
      </c>
      <c r="L19" s="35">
        <v>0</v>
      </c>
      <c r="M19" s="35"/>
      <c r="N19" s="35">
        <v>50</v>
      </c>
      <c r="O19" s="35">
        <v>50</v>
      </c>
      <c r="P19" s="26"/>
      <c r="Q19" s="37">
        <f t="shared" si="0"/>
        <v>50</v>
      </c>
      <c r="R19" s="38">
        <f t="shared" si="1"/>
        <v>50</v>
      </c>
    </row>
    <row r="20" spans="1:18" ht="18" x14ac:dyDescent="0.35">
      <c r="A20" s="34">
        <v>24</v>
      </c>
      <c r="B20" s="37" t="s">
        <v>124</v>
      </c>
      <c r="C20" s="36" t="s">
        <v>35</v>
      </c>
      <c r="D20" s="37">
        <v>2191</v>
      </c>
      <c r="E20" s="37"/>
      <c r="F20" s="41" t="s">
        <v>174</v>
      </c>
      <c r="G20" s="26"/>
      <c r="H20" s="35">
        <v>0</v>
      </c>
      <c r="I20" s="35">
        <v>0</v>
      </c>
      <c r="J20" s="26"/>
      <c r="K20" s="35">
        <v>0</v>
      </c>
      <c r="L20" s="35">
        <v>0</v>
      </c>
      <c r="M20" s="35"/>
      <c r="N20" s="35">
        <v>50</v>
      </c>
      <c r="O20" s="35">
        <v>50</v>
      </c>
      <c r="P20" s="26"/>
      <c r="Q20" s="37">
        <f t="shared" si="0"/>
        <v>50</v>
      </c>
      <c r="R20" s="38">
        <f t="shared" si="1"/>
        <v>50</v>
      </c>
    </row>
    <row r="21" spans="1:18" ht="18" x14ac:dyDescent="0.35">
      <c r="A21" s="34">
        <v>26</v>
      </c>
      <c r="B21" s="37" t="s">
        <v>124</v>
      </c>
      <c r="C21" s="36" t="s">
        <v>35</v>
      </c>
      <c r="D21" s="37">
        <v>2122</v>
      </c>
      <c r="E21" s="37"/>
      <c r="F21" s="41" t="s">
        <v>128</v>
      </c>
      <c r="G21" s="26"/>
      <c r="H21" s="35">
        <v>0</v>
      </c>
      <c r="I21" s="35">
        <v>0</v>
      </c>
      <c r="J21" s="26"/>
      <c r="K21" s="35">
        <v>0</v>
      </c>
      <c r="L21" s="35">
        <v>0</v>
      </c>
      <c r="M21" s="26"/>
      <c r="N21" s="35">
        <v>50</v>
      </c>
      <c r="O21" s="35">
        <v>45</v>
      </c>
      <c r="P21" s="26"/>
      <c r="Q21" s="37">
        <f t="shared" si="0"/>
        <v>50</v>
      </c>
      <c r="R21" s="38">
        <f t="shared" si="1"/>
        <v>45</v>
      </c>
    </row>
    <row r="22" spans="1:18" ht="18" x14ac:dyDescent="0.35">
      <c r="A22" s="34">
        <v>29</v>
      </c>
      <c r="B22" s="37" t="s">
        <v>124</v>
      </c>
      <c r="C22" s="36" t="s">
        <v>35</v>
      </c>
      <c r="D22" s="37">
        <v>2123</v>
      </c>
      <c r="E22" s="37"/>
      <c r="F22" s="41" t="s">
        <v>128</v>
      </c>
      <c r="G22" s="26"/>
      <c r="H22" s="35">
        <v>80</v>
      </c>
      <c r="I22" s="35">
        <v>71</v>
      </c>
      <c r="J22" s="26"/>
      <c r="K22" s="35">
        <v>0</v>
      </c>
      <c r="L22" s="35">
        <v>0</v>
      </c>
      <c r="M22" s="26"/>
      <c r="N22" s="35">
        <v>0</v>
      </c>
      <c r="O22" s="35">
        <v>0</v>
      </c>
      <c r="P22" s="26"/>
      <c r="Q22" s="37">
        <f t="shared" si="0"/>
        <v>80</v>
      </c>
      <c r="R22" s="38">
        <f t="shared" si="1"/>
        <v>71</v>
      </c>
    </row>
    <row r="23" spans="1:18" ht="18" x14ac:dyDescent="0.35">
      <c r="A23" s="34">
        <v>32</v>
      </c>
      <c r="B23" s="37" t="s">
        <v>39</v>
      </c>
      <c r="C23" s="42" t="s">
        <v>35</v>
      </c>
      <c r="D23" s="37">
        <v>98814</v>
      </c>
      <c r="E23" s="37">
        <v>304.8</v>
      </c>
      <c r="F23" s="41" t="s">
        <v>39</v>
      </c>
      <c r="G23" s="37" t="s">
        <v>96</v>
      </c>
      <c r="H23" s="35">
        <v>200</v>
      </c>
      <c r="I23" s="35">
        <v>180</v>
      </c>
      <c r="J23" s="37"/>
      <c r="K23" s="35">
        <v>0</v>
      </c>
      <c r="L23" s="35">
        <v>0</v>
      </c>
      <c r="M23" s="23"/>
      <c r="N23" s="35">
        <v>0</v>
      </c>
      <c r="O23" s="35">
        <v>0</v>
      </c>
      <c r="P23" s="23"/>
      <c r="Q23" s="37">
        <f t="shared" si="0"/>
        <v>200</v>
      </c>
      <c r="R23" s="38">
        <f>I23+L23+O23</f>
        <v>180</v>
      </c>
    </row>
    <row r="24" spans="1:18" ht="18" x14ac:dyDescent="0.35">
      <c r="A24" s="34">
        <v>33</v>
      </c>
      <c r="B24" s="37" t="s">
        <v>132</v>
      </c>
      <c r="C24" s="42" t="s">
        <v>144</v>
      </c>
      <c r="D24" s="37">
        <v>83872</v>
      </c>
      <c r="E24" s="37">
        <v>967.65</v>
      </c>
      <c r="F24" s="41" t="s">
        <v>12</v>
      </c>
      <c r="G24" s="37" t="s">
        <v>173</v>
      </c>
      <c r="H24" s="35">
        <v>50</v>
      </c>
      <c r="I24" s="35">
        <v>36</v>
      </c>
      <c r="J24" s="37"/>
      <c r="K24" s="35">
        <v>30</v>
      </c>
      <c r="L24" s="35">
        <v>30</v>
      </c>
      <c r="M24" s="26"/>
      <c r="N24" s="35">
        <v>0</v>
      </c>
      <c r="O24" s="35">
        <v>0</v>
      </c>
      <c r="P24" s="26"/>
      <c r="Q24" s="37">
        <f t="shared" si="0"/>
        <v>80</v>
      </c>
      <c r="R24" s="38">
        <f t="shared" si="1"/>
        <v>66</v>
      </c>
    </row>
    <row r="25" spans="1:18" ht="18" x14ac:dyDescent="0.35">
      <c r="A25" s="34">
        <v>40</v>
      </c>
      <c r="B25" s="47" t="s">
        <v>148</v>
      </c>
      <c r="C25" s="36" t="s">
        <v>167</v>
      </c>
      <c r="D25" s="35">
        <v>93290</v>
      </c>
      <c r="E25" s="35">
        <v>2382</v>
      </c>
      <c r="F25" s="40" t="s">
        <v>150</v>
      </c>
      <c r="G25" s="35" t="s">
        <v>113</v>
      </c>
      <c r="H25" s="35">
        <v>2000</v>
      </c>
      <c r="I25" s="35">
        <v>1435</v>
      </c>
      <c r="J25" s="35"/>
      <c r="K25" s="35">
        <v>3200</v>
      </c>
      <c r="L25" s="35">
        <v>3010</v>
      </c>
      <c r="M25" s="35"/>
      <c r="N25" s="35">
        <v>0</v>
      </c>
      <c r="O25" s="35">
        <v>0</v>
      </c>
      <c r="P25" s="26"/>
      <c r="Q25" s="35">
        <f t="shared" si="0"/>
        <v>5200</v>
      </c>
      <c r="R25" s="44">
        <f t="shared" si="1"/>
        <v>4445</v>
      </c>
    </row>
  </sheetData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ED5B-4540-4D63-8B2A-D4C62E5969B3}">
  <dimension ref="A1:R29"/>
  <sheetViews>
    <sheetView zoomScaleNormal="100" workbookViewId="0">
      <selection sqref="A1:R29"/>
    </sheetView>
  </sheetViews>
  <sheetFormatPr defaultRowHeight="14.4" x14ac:dyDescent="0.3"/>
  <cols>
    <col min="2" max="2" width="24" customWidth="1"/>
    <col min="3" max="3" width="26.5546875" customWidth="1"/>
    <col min="5" max="5" width="14.5546875" customWidth="1"/>
    <col min="6" max="6" width="28.33203125" customWidth="1"/>
    <col min="10" max="10" width="12.44140625" customWidth="1"/>
    <col min="13" max="13" width="13.44140625" customWidth="1"/>
    <col min="15" max="15" width="11.44140625" customWidth="1"/>
    <col min="16" max="16" width="12.6640625" customWidth="1"/>
    <col min="17" max="17" width="15.33203125" customWidth="1"/>
    <col min="18" max="18" width="15.5546875" customWidth="1"/>
  </cols>
  <sheetData>
    <row r="1" spans="1:18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8" t="s">
        <v>76</v>
      </c>
      <c r="P5" s="29" t="s">
        <v>226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93" t="s">
        <v>83</v>
      </c>
      <c r="L6" s="94"/>
      <c r="M6" s="95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94</v>
      </c>
      <c r="C8" s="36" t="s">
        <v>35</v>
      </c>
      <c r="D8" s="35">
        <v>98814</v>
      </c>
      <c r="E8" s="35">
        <v>304.8</v>
      </c>
      <c r="F8" s="35" t="s">
        <v>92</v>
      </c>
      <c r="G8" s="35" t="s">
        <v>93</v>
      </c>
      <c r="H8" s="35">
        <v>480</v>
      </c>
      <c r="I8" s="35">
        <v>450</v>
      </c>
      <c r="J8" s="35"/>
      <c r="K8" s="35">
        <v>400</v>
      </c>
      <c r="L8" s="35">
        <v>300</v>
      </c>
      <c r="M8" s="35"/>
      <c r="N8" s="35">
        <v>280</v>
      </c>
      <c r="O8" s="35">
        <v>280</v>
      </c>
      <c r="P8" s="35"/>
      <c r="Q8" s="37">
        <f t="shared" ref="Q8:Q29" si="0">N8+K8+H8</f>
        <v>1160</v>
      </c>
      <c r="R8" s="38">
        <f t="shared" ref="R8:R29" si="1">I8+L8+O8</f>
        <v>1030</v>
      </c>
    </row>
    <row r="9" spans="1:18" ht="18" x14ac:dyDescent="0.35">
      <c r="A9" s="34">
        <v>2</v>
      </c>
      <c r="B9" s="35" t="s">
        <v>94</v>
      </c>
      <c r="C9" s="36" t="s">
        <v>97</v>
      </c>
      <c r="D9" s="35">
        <v>93799</v>
      </c>
      <c r="E9" s="35">
        <v>45.7</v>
      </c>
      <c r="F9" s="35" t="s">
        <v>92</v>
      </c>
      <c r="G9" s="35" t="s">
        <v>133</v>
      </c>
      <c r="H9" s="35">
        <v>0</v>
      </c>
      <c r="I9" s="35">
        <v>0</v>
      </c>
      <c r="J9" s="35"/>
      <c r="K9" s="35">
        <v>0</v>
      </c>
      <c r="L9" s="35">
        <v>0</v>
      </c>
      <c r="M9" s="35"/>
      <c r="N9" s="35">
        <v>100</v>
      </c>
      <c r="O9" s="35">
        <v>60</v>
      </c>
      <c r="P9" s="35"/>
      <c r="Q9" s="37">
        <f t="shared" si="0"/>
        <v>100</v>
      </c>
      <c r="R9" s="38">
        <f t="shared" si="1"/>
        <v>60</v>
      </c>
    </row>
    <row r="10" spans="1:18" ht="18" x14ac:dyDescent="0.35">
      <c r="A10" s="34">
        <v>3</v>
      </c>
      <c r="B10" s="35" t="s">
        <v>181</v>
      </c>
      <c r="C10" s="36" t="s">
        <v>97</v>
      </c>
      <c r="D10" s="35">
        <v>93799</v>
      </c>
      <c r="E10" s="35">
        <v>45.7</v>
      </c>
      <c r="F10" s="35" t="s">
        <v>166</v>
      </c>
      <c r="G10" s="35" t="s">
        <v>96</v>
      </c>
      <c r="H10" s="35">
        <v>0</v>
      </c>
      <c r="I10" s="35">
        <v>0</v>
      </c>
      <c r="J10" s="35"/>
      <c r="K10" s="35">
        <v>0</v>
      </c>
      <c r="L10" s="35">
        <v>0</v>
      </c>
      <c r="M10" s="35"/>
      <c r="N10" s="35">
        <v>200</v>
      </c>
      <c r="O10" s="35">
        <v>170</v>
      </c>
      <c r="P10" s="35"/>
      <c r="Q10" s="37">
        <f t="shared" si="0"/>
        <v>200</v>
      </c>
      <c r="R10" s="38">
        <f t="shared" si="1"/>
        <v>170</v>
      </c>
    </row>
    <row r="11" spans="1:18" ht="18" x14ac:dyDescent="0.35">
      <c r="A11" s="34">
        <v>4</v>
      </c>
      <c r="B11" s="35" t="s">
        <v>182</v>
      </c>
      <c r="C11" s="36" t="s">
        <v>97</v>
      </c>
      <c r="D11" s="35">
        <v>93799</v>
      </c>
      <c r="E11" s="35">
        <v>45.7</v>
      </c>
      <c r="F11" s="35" t="s">
        <v>166</v>
      </c>
      <c r="G11" s="35" t="s">
        <v>96</v>
      </c>
      <c r="H11" s="35">
        <v>0</v>
      </c>
      <c r="I11" s="35">
        <v>0</v>
      </c>
      <c r="J11" s="35"/>
      <c r="K11" s="35">
        <v>0</v>
      </c>
      <c r="L11" s="35">
        <v>0</v>
      </c>
      <c r="M11" s="35"/>
      <c r="N11" s="35">
        <v>120</v>
      </c>
      <c r="O11" s="35">
        <v>100</v>
      </c>
      <c r="P11" s="35"/>
      <c r="Q11" s="37">
        <f t="shared" si="0"/>
        <v>120</v>
      </c>
      <c r="R11" s="38">
        <f t="shared" si="1"/>
        <v>100</v>
      </c>
    </row>
    <row r="12" spans="1:18" ht="18" x14ac:dyDescent="0.35">
      <c r="A12" s="34">
        <v>5</v>
      </c>
      <c r="B12" s="35" t="s">
        <v>108</v>
      </c>
      <c r="C12" s="36" t="s">
        <v>95</v>
      </c>
      <c r="D12" s="35">
        <v>86308</v>
      </c>
      <c r="E12" s="35">
        <v>55.88</v>
      </c>
      <c r="F12" s="35" t="s">
        <v>92</v>
      </c>
      <c r="G12" s="35" t="s">
        <v>96</v>
      </c>
      <c r="H12" s="35">
        <v>450</v>
      </c>
      <c r="I12" s="35">
        <v>390</v>
      </c>
      <c r="J12" s="35"/>
      <c r="K12" s="35">
        <v>300</v>
      </c>
      <c r="L12" s="35">
        <v>220</v>
      </c>
      <c r="M12" s="35"/>
      <c r="N12" s="35">
        <v>0</v>
      </c>
      <c r="O12" s="35">
        <v>0</v>
      </c>
      <c r="P12" s="35"/>
      <c r="Q12" s="37">
        <f t="shared" si="0"/>
        <v>750</v>
      </c>
      <c r="R12" s="38">
        <f t="shared" si="1"/>
        <v>610</v>
      </c>
    </row>
    <row r="13" spans="1:18" ht="18" x14ac:dyDescent="0.35">
      <c r="A13" s="34">
        <v>6</v>
      </c>
      <c r="B13" s="35" t="s">
        <v>185</v>
      </c>
      <c r="C13" s="36" t="s">
        <v>97</v>
      </c>
      <c r="D13" s="35">
        <v>93799</v>
      </c>
      <c r="E13" s="35">
        <v>45.7</v>
      </c>
      <c r="F13" s="35" t="s">
        <v>186</v>
      </c>
      <c r="G13" s="35" t="s">
        <v>187</v>
      </c>
      <c r="H13" s="35">
        <v>0</v>
      </c>
      <c r="I13" s="35">
        <v>0</v>
      </c>
      <c r="J13" s="35"/>
      <c r="K13" s="35">
        <v>0</v>
      </c>
      <c r="L13" s="35">
        <v>0</v>
      </c>
      <c r="M13" s="35"/>
      <c r="N13" s="35">
        <v>200</v>
      </c>
      <c r="O13" s="35">
        <v>185</v>
      </c>
      <c r="P13" s="35"/>
      <c r="Q13" s="37">
        <f t="shared" si="0"/>
        <v>200</v>
      </c>
      <c r="R13" s="38">
        <f t="shared" si="1"/>
        <v>185</v>
      </c>
    </row>
    <row r="14" spans="1:18" ht="18" x14ac:dyDescent="0.35">
      <c r="A14" s="34">
        <v>7</v>
      </c>
      <c r="B14" s="35" t="s">
        <v>102</v>
      </c>
      <c r="C14" s="36" t="s">
        <v>35</v>
      </c>
      <c r="D14" s="35">
        <v>98808</v>
      </c>
      <c r="E14" s="35">
        <v>428.75</v>
      </c>
      <c r="F14" s="35">
        <v>90</v>
      </c>
      <c r="G14" s="35" t="s">
        <v>175</v>
      </c>
      <c r="H14" s="35">
        <v>0</v>
      </c>
      <c r="I14" s="35">
        <v>0</v>
      </c>
      <c r="J14" s="35"/>
      <c r="K14" s="35">
        <v>0</v>
      </c>
      <c r="L14" s="35">
        <v>0</v>
      </c>
      <c r="M14" s="35"/>
      <c r="N14" s="35">
        <v>450</v>
      </c>
      <c r="O14" s="35">
        <v>425</v>
      </c>
      <c r="P14" s="35"/>
      <c r="Q14" s="37">
        <f t="shared" si="0"/>
        <v>450</v>
      </c>
      <c r="R14" s="38">
        <f t="shared" si="1"/>
        <v>425</v>
      </c>
    </row>
    <row r="15" spans="1:18" ht="18" x14ac:dyDescent="0.35">
      <c r="A15" s="34">
        <v>8</v>
      </c>
      <c r="B15" s="35" t="s">
        <v>102</v>
      </c>
      <c r="C15" s="36" t="s">
        <v>35</v>
      </c>
      <c r="D15" s="35">
        <v>98808</v>
      </c>
      <c r="E15" s="35">
        <v>418.2</v>
      </c>
      <c r="F15" s="35">
        <v>90</v>
      </c>
      <c r="G15" s="35" t="s">
        <v>175</v>
      </c>
      <c r="H15" s="35">
        <v>0</v>
      </c>
      <c r="I15" s="35">
        <v>0</v>
      </c>
      <c r="J15" s="35"/>
      <c r="K15" s="35">
        <v>400</v>
      </c>
      <c r="L15" s="35">
        <v>373</v>
      </c>
      <c r="M15" s="35"/>
      <c r="N15" s="35">
        <v>0</v>
      </c>
      <c r="O15" s="35">
        <v>0</v>
      </c>
      <c r="P15" s="35"/>
      <c r="Q15" s="37">
        <f t="shared" si="0"/>
        <v>400</v>
      </c>
      <c r="R15" s="38">
        <f t="shared" si="1"/>
        <v>373</v>
      </c>
    </row>
    <row r="16" spans="1:18" ht="18" x14ac:dyDescent="0.35">
      <c r="A16" s="34">
        <v>9</v>
      </c>
      <c r="B16" s="35" t="s">
        <v>109</v>
      </c>
      <c r="C16" s="36" t="s">
        <v>35</v>
      </c>
      <c r="D16" s="35">
        <v>98809</v>
      </c>
      <c r="E16" s="35">
        <v>152.4</v>
      </c>
      <c r="F16" s="35">
        <v>90</v>
      </c>
      <c r="G16" s="35" t="s">
        <v>93</v>
      </c>
      <c r="H16" s="35">
        <v>0</v>
      </c>
      <c r="I16" s="35">
        <v>0</v>
      </c>
      <c r="J16" s="35"/>
      <c r="K16" s="35">
        <v>520</v>
      </c>
      <c r="L16" s="35">
        <v>433</v>
      </c>
      <c r="M16" s="35"/>
      <c r="N16" s="35">
        <v>0</v>
      </c>
      <c r="O16" s="35">
        <v>0</v>
      </c>
      <c r="P16" s="35"/>
      <c r="Q16" s="37">
        <f t="shared" si="0"/>
        <v>520</v>
      </c>
      <c r="R16" s="38">
        <f t="shared" si="1"/>
        <v>433</v>
      </c>
    </row>
    <row r="17" spans="1:18" ht="18" x14ac:dyDescent="0.35">
      <c r="A17" s="34">
        <v>10</v>
      </c>
      <c r="B17" s="35" t="s">
        <v>111</v>
      </c>
      <c r="C17" s="36" t="s">
        <v>35</v>
      </c>
      <c r="D17" s="35">
        <v>2123</v>
      </c>
      <c r="E17" s="35"/>
      <c r="F17" s="35" t="s">
        <v>114</v>
      </c>
      <c r="G17" s="35" t="s">
        <v>175</v>
      </c>
      <c r="H17" s="35">
        <v>200</v>
      </c>
      <c r="I17" s="35">
        <v>150</v>
      </c>
      <c r="J17" s="35"/>
      <c r="K17" s="35">
        <v>0</v>
      </c>
      <c r="L17" s="35">
        <v>0</v>
      </c>
      <c r="M17" s="35"/>
      <c r="N17" s="35">
        <v>0</v>
      </c>
      <c r="O17" s="35">
        <v>0</v>
      </c>
      <c r="P17" s="35"/>
      <c r="Q17" s="37">
        <f t="shared" si="0"/>
        <v>200</v>
      </c>
      <c r="R17" s="38">
        <f t="shared" si="1"/>
        <v>150</v>
      </c>
    </row>
    <row r="18" spans="1:18" ht="18" x14ac:dyDescent="0.35">
      <c r="A18" s="34">
        <v>11</v>
      </c>
      <c r="B18" s="35" t="s">
        <v>121</v>
      </c>
      <c r="C18" s="36" t="s">
        <v>35</v>
      </c>
      <c r="D18" s="35">
        <v>98809</v>
      </c>
      <c r="E18" s="35">
        <v>152.4</v>
      </c>
      <c r="F18" s="40" t="s">
        <v>190</v>
      </c>
      <c r="G18" s="35" t="s">
        <v>154</v>
      </c>
      <c r="H18" s="35">
        <v>0</v>
      </c>
      <c r="I18" s="35">
        <v>0</v>
      </c>
      <c r="J18" s="35"/>
      <c r="K18" s="35">
        <v>0</v>
      </c>
      <c r="L18" s="35">
        <v>0</v>
      </c>
      <c r="M18" s="35"/>
      <c r="N18" s="35">
        <v>0</v>
      </c>
      <c r="O18" s="35">
        <v>0</v>
      </c>
      <c r="P18" s="26"/>
      <c r="Q18" s="37">
        <f t="shared" si="0"/>
        <v>0</v>
      </c>
      <c r="R18" s="38">
        <f t="shared" si="1"/>
        <v>0</v>
      </c>
    </row>
    <row r="19" spans="1:18" ht="18" x14ac:dyDescent="0.35">
      <c r="A19" s="34">
        <v>12</v>
      </c>
      <c r="B19" s="35" t="s">
        <v>116</v>
      </c>
      <c r="C19" s="36" t="s">
        <v>35</v>
      </c>
      <c r="D19" s="35">
        <v>98814</v>
      </c>
      <c r="E19" s="35">
        <v>304.8</v>
      </c>
      <c r="F19" s="40" t="s">
        <v>190</v>
      </c>
      <c r="G19" s="35" t="s">
        <v>154</v>
      </c>
      <c r="H19" s="35">
        <v>500</v>
      </c>
      <c r="I19" s="35">
        <v>367</v>
      </c>
      <c r="J19" s="35"/>
      <c r="K19" s="35">
        <v>600</v>
      </c>
      <c r="L19" s="35">
        <v>527</v>
      </c>
      <c r="M19" s="35"/>
      <c r="N19" s="35">
        <v>0</v>
      </c>
      <c r="O19" s="35">
        <v>0</v>
      </c>
      <c r="P19" s="26"/>
      <c r="Q19" s="37">
        <f t="shared" si="0"/>
        <v>1100</v>
      </c>
      <c r="R19" s="38">
        <f t="shared" si="1"/>
        <v>894</v>
      </c>
    </row>
    <row r="20" spans="1:18" ht="18" x14ac:dyDescent="0.35">
      <c r="A20" s="34">
        <v>13</v>
      </c>
      <c r="B20" s="35" t="s">
        <v>225</v>
      </c>
      <c r="C20" s="36" t="s">
        <v>97</v>
      </c>
      <c r="D20" s="35">
        <v>93799</v>
      </c>
      <c r="E20" s="35">
        <v>45.7</v>
      </c>
      <c r="F20" s="35" t="s">
        <v>221</v>
      </c>
      <c r="G20" s="35" t="s">
        <v>154</v>
      </c>
      <c r="H20" s="35">
        <v>0</v>
      </c>
      <c r="I20" s="35">
        <v>0</v>
      </c>
      <c r="J20" s="35"/>
      <c r="K20" s="35">
        <v>600</v>
      </c>
      <c r="L20" s="35">
        <v>512</v>
      </c>
      <c r="M20" s="35"/>
      <c r="N20" s="35">
        <v>0</v>
      </c>
      <c r="O20" s="35">
        <v>0</v>
      </c>
      <c r="P20" s="26"/>
      <c r="Q20" s="37">
        <f t="shared" si="0"/>
        <v>600</v>
      </c>
      <c r="R20" s="38">
        <f t="shared" si="1"/>
        <v>512</v>
      </c>
    </row>
    <row r="21" spans="1:18" ht="18" x14ac:dyDescent="0.35">
      <c r="A21" s="34">
        <v>14</v>
      </c>
      <c r="B21" s="35" t="s">
        <v>176</v>
      </c>
      <c r="C21" s="36" t="s">
        <v>35</v>
      </c>
      <c r="D21" s="35">
        <v>98812</v>
      </c>
      <c r="E21" s="35">
        <v>292.10000000000002</v>
      </c>
      <c r="F21" s="40" t="s">
        <v>117</v>
      </c>
      <c r="G21" s="35" t="s">
        <v>118</v>
      </c>
      <c r="H21" s="35">
        <v>222</v>
      </c>
      <c r="I21" s="35">
        <v>222</v>
      </c>
      <c r="J21" s="35"/>
      <c r="K21" s="35">
        <v>0</v>
      </c>
      <c r="L21" s="35">
        <v>0</v>
      </c>
      <c r="M21" s="35"/>
      <c r="N21" s="35">
        <v>0</v>
      </c>
      <c r="O21" s="35">
        <v>0</v>
      </c>
      <c r="P21" s="26"/>
      <c r="Q21" s="37">
        <f t="shared" si="0"/>
        <v>222</v>
      </c>
      <c r="R21" s="38">
        <f t="shared" si="1"/>
        <v>222</v>
      </c>
    </row>
    <row r="22" spans="1:18" ht="18" x14ac:dyDescent="0.35">
      <c r="A22" s="34">
        <v>15</v>
      </c>
      <c r="B22" s="35" t="s">
        <v>121</v>
      </c>
      <c r="C22" s="36" t="s">
        <v>35</v>
      </c>
      <c r="D22" s="35">
        <v>98808</v>
      </c>
      <c r="E22" s="35">
        <v>796.5</v>
      </c>
      <c r="F22" s="40" t="s">
        <v>122</v>
      </c>
      <c r="G22" s="35" t="s">
        <v>118</v>
      </c>
      <c r="H22" s="35">
        <v>456</v>
      </c>
      <c r="I22" s="35">
        <v>456</v>
      </c>
      <c r="J22" s="35"/>
      <c r="K22" s="35">
        <v>0</v>
      </c>
      <c r="L22" s="35">
        <v>0</v>
      </c>
      <c r="M22" s="35"/>
      <c r="N22" s="35">
        <v>0</v>
      </c>
      <c r="O22" s="35">
        <v>0</v>
      </c>
      <c r="P22" s="26"/>
      <c r="Q22" s="37">
        <f t="shared" si="0"/>
        <v>456</v>
      </c>
      <c r="R22" s="38">
        <f t="shared" si="1"/>
        <v>456</v>
      </c>
    </row>
    <row r="23" spans="1:18" ht="18" x14ac:dyDescent="0.35">
      <c r="A23" s="34">
        <v>16</v>
      </c>
      <c r="B23" s="35" t="s">
        <v>119</v>
      </c>
      <c r="C23" s="36" t="s">
        <v>35</v>
      </c>
      <c r="D23" s="35">
        <v>98808</v>
      </c>
      <c r="E23" s="35">
        <v>796.5</v>
      </c>
      <c r="F23" s="40" t="s">
        <v>117</v>
      </c>
      <c r="G23" s="35" t="s">
        <v>118</v>
      </c>
      <c r="H23" s="35">
        <v>456</v>
      </c>
      <c r="I23" s="35">
        <v>456</v>
      </c>
      <c r="J23" s="35"/>
      <c r="K23" s="35">
        <v>0</v>
      </c>
      <c r="L23" s="35">
        <v>0</v>
      </c>
      <c r="M23" s="35"/>
      <c r="N23" s="35">
        <v>0</v>
      </c>
      <c r="O23" s="35">
        <v>0</v>
      </c>
      <c r="P23" s="26"/>
      <c r="Q23" s="37">
        <f t="shared" si="0"/>
        <v>456</v>
      </c>
      <c r="R23" s="38">
        <f t="shared" si="1"/>
        <v>456</v>
      </c>
    </row>
    <row r="24" spans="1:18" ht="18" x14ac:dyDescent="0.35">
      <c r="A24" s="34">
        <v>17</v>
      </c>
      <c r="B24" s="37" t="s">
        <v>124</v>
      </c>
      <c r="C24" s="36" t="s">
        <v>35</v>
      </c>
      <c r="D24" s="37">
        <v>2191</v>
      </c>
      <c r="E24" s="37"/>
      <c r="F24" s="41" t="s">
        <v>126</v>
      </c>
      <c r="G24" s="26"/>
      <c r="H24" s="35">
        <v>0</v>
      </c>
      <c r="I24" s="35">
        <v>0</v>
      </c>
      <c r="J24" s="35"/>
      <c r="K24" s="35">
        <v>120</v>
      </c>
      <c r="L24" s="35">
        <v>117</v>
      </c>
      <c r="M24" s="35"/>
      <c r="N24" s="35">
        <v>0</v>
      </c>
      <c r="O24" s="35">
        <v>0</v>
      </c>
      <c r="P24" s="26"/>
      <c r="Q24" s="37">
        <f t="shared" si="0"/>
        <v>120</v>
      </c>
      <c r="R24" s="38">
        <f t="shared" si="1"/>
        <v>117</v>
      </c>
    </row>
    <row r="25" spans="1:18" ht="18" x14ac:dyDescent="0.35">
      <c r="A25" s="34">
        <v>18</v>
      </c>
      <c r="B25" s="37" t="s">
        <v>124</v>
      </c>
      <c r="C25" s="36" t="s">
        <v>35</v>
      </c>
      <c r="D25" s="37">
        <v>2122</v>
      </c>
      <c r="E25" s="37"/>
      <c r="F25" s="41" t="s">
        <v>127</v>
      </c>
      <c r="G25" s="26"/>
      <c r="H25" s="35">
        <v>0</v>
      </c>
      <c r="I25" s="35">
        <v>0</v>
      </c>
      <c r="J25" s="35"/>
      <c r="K25" s="35">
        <v>0</v>
      </c>
      <c r="L25" s="35">
        <v>0</v>
      </c>
      <c r="M25" s="35"/>
      <c r="N25" s="35">
        <v>125</v>
      </c>
      <c r="O25" s="35">
        <v>125</v>
      </c>
      <c r="P25" s="26"/>
      <c r="Q25" s="37">
        <f t="shared" si="0"/>
        <v>125</v>
      </c>
      <c r="R25" s="38">
        <f t="shared" si="1"/>
        <v>125</v>
      </c>
    </row>
    <row r="26" spans="1:18" ht="18" x14ac:dyDescent="0.35">
      <c r="A26" s="34">
        <v>19</v>
      </c>
      <c r="B26" s="37" t="s">
        <v>124</v>
      </c>
      <c r="C26" s="36" t="s">
        <v>35</v>
      </c>
      <c r="D26" s="37">
        <v>2122</v>
      </c>
      <c r="E26" s="37"/>
      <c r="F26" s="41" t="s">
        <v>128</v>
      </c>
      <c r="G26" s="26"/>
      <c r="H26" s="35">
        <v>100</v>
      </c>
      <c r="I26" s="35">
        <v>86</v>
      </c>
      <c r="J26" s="35"/>
      <c r="K26" s="35">
        <v>0</v>
      </c>
      <c r="L26" s="35">
        <v>0</v>
      </c>
      <c r="M26" s="35"/>
      <c r="N26" s="35">
        <v>0</v>
      </c>
      <c r="O26" s="35">
        <v>0</v>
      </c>
      <c r="P26" s="26"/>
      <c r="Q26" s="37">
        <f t="shared" si="0"/>
        <v>100</v>
      </c>
      <c r="R26" s="38">
        <f t="shared" si="1"/>
        <v>86</v>
      </c>
    </row>
    <row r="27" spans="1:18" ht="18" x14ac:dyDescent="0.35">
      <c r="A27" s="34">
        <v>20</v>
      </c>
      <c r="B27" s="37" t="s">
        <v>124</v>
      </c>
      <c r="C27" s="36" t="s">
        <v>35</v>
      </c>
      <c r="D27" s="37">
        <v>2123</v>
      </c>
      <c r="E27" s="37"/>
      <c r="F27" s="41" t="s">
        <v>128</v>
      </c>
      <c r="G27" s="26"/>
      <c r="H27" s="35">
        <v>35</v>
      </c>
      <c r="I27" s="35">
        <v>35</v>
      </c>
      <c r="J27" s="35"/>
      <c r="K27" s="35">
        <v>0</v>
      </c>
      <c r="L27" s="35">
        <v>0</v>
      </c>
      <c r="M27" s="35"/>
      <c r="N27" s="35">
        <v>0</v>
      </c>
      <c r="O27" s="35">
        <v>0</v>
      </c>
      <c r="P27" s="26"/>
      <c r="Q27" s="37">
        <f t="shared" si="0"/>
        <v>35</v>
      </c>
      <c r="R27" s="38">
        <f t="shared" si="1"/>
        <v>35</v>
      </c>
    </row>
    <row r="28" spans="1:18" ht="18" x14ac:dyDescent="0.35">
      <c r="A28" s="34">
        <v>21</v>
      </c>
      <c r="B28" s="47" t="s">
        <v>148</v>
      </c>
      <c r="C28" s="36" t="s">
        <v>167</v>
      </c>
      <c r="D28" s="35">
        <v>93290</v>
      </c>
      <c r="E28" s="35">
        <v>2382</v>
      </c>
      <c r="F28" s="40" t="s">
        <v>150</v>
      </c>
      <c r="G28" s="35" t="s">
        <v>113</v>
      </c>
      <c r="H28" s="35">
        <v>2000</v>
      </c>
      <c r="I28" s="35">
        <v>1518</v>
      </c>
      <c r="J28" s="35"/>
      <c r="K28" s="35">
        <v>3000</v>
      </c>
      <c r="L28" s="35">
        <v>2519</v>
      </c>
      <c r="M28" s="35"/>
      <c r="N28" s="35">
        <v>3000</v>
      </c>
      <c r="O28" s="35">
        <v>2850</v>
      </c>
      <c r="P28" s="26"/>
      <c r="Q28" s="35">
        <f t="shared" si="0"/>
        <v>8000</v>
      </c>
      <c r="R28" s="44">
        <f t="shared" si="1"/>
        <v>6887</v>
      </c>
    </row>
    <row r="29" spans="1:18" ht="18" x14ac:dyDescent="0.3">
      <c r="A29" s="34">
        <v>22</v>
      </c>
      <c r="B29" s="47" t="s">
        <v>151</v>
      </c>
      <c r="C29" s="36" t="s">
        <v>167</v>
      </c>
      <c r="D29" s="35">
        <v>93292</v>
      </c>
      <c r="E29" s="35">
        <v>1134</v>
      </c>
      <c r="F29" s="40" t="s">
        <v>150</v>
      </c>
      <c r="G29" s="35" t="s">
        <v>113</v>
      </c>
      <c r="H29" s="35">
        <v>400</v>
      </c>
      <c r="I29" s="35">
        <v>292</v>
      </c>
      <c r="J29" s="35"/>
      <c r="K29" s="35">
        <v>1100</v>
      </c>
      <c r="L29" s="35">
        <v>1008</v>
      </c>
      <c r="M29" s="35"/>
      <c r="N29" s="35">
        <v>0</v>
      </c>
      <c r="O29" s="35">
        <v>0</v>
      </c>
      <c r="P29" s="35" t="s">
        <v>165</v>
      </c>
      <c r="Q29" s="35">
        <f t="shared" si="0"/>
        <v>1500</v>
      </c>
      <c r="R29" s="44">
        <f t="shared" si="1"/>
        <v>1300</v>
      </c>
    </row>
  </sheetData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4AA7-CDD4-4FD0-A0F0-A6A733904FFA}">
  <dimension ref="A1:R23"/>
  <sheetViews>
    <sheetView workbookViewId="0">
      <selection activeCell="H28" sqref="H28"/>
    </sheetView>
  </sheetViews>
  <sheetFormatPr defaultRowHeight="14.4" x14ac:dyDescent="0.3"/>
  <cols>
    <col min="2" max="2" width="19.44140625" customWidth="1"/>
    <col min="3" max="3" width="22" customWidth="1"/>
    <col min="5" max="5" width="14.6640625" customWidth="1"/>
    <col min="6" max="6" width="30.5546875" customWidth="1"/>
    <col min="10" max="10" width="12.33203125" customWidth="1"/>
    <col min="13" max="13" width="12.33203125" customWidth="1"/>
    <col min="16" max="16" width="13.5546875" customWidth="1"/>
    <col min="17" max="17" width="15" customWidth="1"/>
    <col min="18" max="18" width="16.88671875" customWidth="1"/>
  </cols>
  <sheetData>
    <row r="1" spans="1:18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8" t="s">
        <v>76</v>
      </c>
      <c r="P5" s="29" t="s">
        <v>222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93" t="s">
        <v>83</v>
      </c>
      <c r="L6" s="94"/>
      <c r="M6" s="95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94</v>
      </c>
      <c r="C8" s="36" t="s">
        <v>35</v>
      </c>
      <c r="D8" s="35">
        <v>98814</v>
      </c>
      <c r="E8" s="35">
        <v>304.8</v>
      </c>
      <c r="F8" s="35" t="s">
        <v>92</v>
      </c>
      <c r="G8" s="35" t="s">
        <v>93</v>
      </c>
      <c r="H8" s="35">
        <v>480</v>
      </c>
      <c r="I8" s="35">
        <v>0</v>
      </c>
      <c r="J8" s="35"/>
      <c r="K8" s="35">
        <v>0</v>
      </c>
      <c r="L8" s="35">
        <v>0</v>
      </c>
      <c r="M8" s="35"/>
      <c r="N8" s="35">
        <v>0</v>
      </c>
      <c r="O8" s="35">
        <v>0</v>
      </c>
      <c r="P8" s="35"/>
      <c r="Q8" s="37">
        <f t="shared" ref="Q8:Q23" si="0">N8+K8+H8</f>
        <v>480</v>
      </c>
      <c r="R8" s="38">
        <f t="shared" ref="R8:R23" si="1">I8+L8+O8</f>
        <v>0</v>
      </c>
    </row>
    <row r="9" spans="1:18" ht="18" x14ac:dyDescent="0.35">
      <c r="A9" s="34">
        <v>2</v>
      </c>
      <c r="B9" s="35" t="s">
        <v>181</v>
      </c>
      <c r="C9" s="36" t="s">
        <v>97</v>
      </c>
      <c r="D9" s="35">
        <v>93799</v>
      </c>
      <c r="E9" s="35">
        <v>45.7</v>
      </c>
      <c r="F9" s="35" t="s">
        <v>166</v>
      </c>
      <c r="G9" s="35" t="s">
        <v>96</v>
      </c>
      <c r="H9" s="35">
        <v>240</v>
      </c>
      <c r="I9" s="35">
        <v>0</v>
      </c>
      <c r="J9" s="35"/>
      <c r="K9" s="35">
        <v>240</v>
      </c>
      <c r="L9" s="35">
        <v>0</v>
      </c>
      <c r="M9" s="35"/>
      <c r="N9" s="35">
        <v>0</v>
      </c>
      <c r="O9" s="35">
        <v>0</v>
      </c>
      <c r="P9" s="35"/>
      <c r="Q9" s="37">
        <f t="shared" si="0"/>
        <v>480</v>
      </c>
      <c r="R9" s="38">
        <f t="shared" si="1"/>
        <v>0</v>
      </c>
    </row>
    <row r="10" spans="1:18" ht="18" x14ac:dyDescent="0.35">
      <c r="A10" s="34">
        <v>3</v>
      </c>
      <c r="B10" s="35" t="s">
        <v>182</v>
      </c>
      <c r="C10" s="36" t="s">
        <v>97</v>
      </c>
      <c r="D10" s="35">
        <v>93799</v>
      </c>
      <c r="E10" s="35">
        <v>45.7</v>
      </c>
      <c r="F10" s="35" t="s">
        <v>166</v>
      </c>
      <c r="G10" s="35" t="s">
        <v>96</v>
      </c>
      <c r="H10" s="35">
        <v>240</v>
      </c>
      <c r="I10" s="35">
        <v>0</v>
      </c>
      <c r="J10" s="35"/>
      <c r="K10" s="35">
        <v>240</v>
      </c>
      <c r="L10" s="35">
        <v>0</v>
      </c>
      <c r="M10" s="35"/>
      <c r="N10" s="35">
        <v>0</v>
      </c>
      <c r="O10" s="35">
        <v>0</v>
      </c>
      <c r="P10" s="35"/>
      <c r="Q10" s="37">
        <f t="shared" si="0"/>
        <v>480</v>
      </c>
      <c r="R10" s="38">
        <f t="shared" si="1"/>
        <v>0</v>
      </c>
    </row>
    <row r="11" spans="1:18" ht="18" x14ac:dyDescent="0.35">
      <c r="A11" s="34">
        <v>4</v>
      </c>
      <c r="B11" s="35" t="s">
        <v>108</v>
      </c>
      <c r="C11" s="36" t="s">
        <v>95</v>
      </c>
      <c r="D11" s="35">
        <v>93799</v>
      </c>
      <c r="E11" s="35">
        <v>45.7</v>
      </c>
      <c r="F11" s="35" t="s">
        <v>92</v>
      </c>
      <c r="G11" s="35" t="s">
        <v>96</v>
      </c>
      <c r="H11" s="35">
        <v>240</v>
      </c>
      <c r="I11" s="35">
        <v>0</v>
      </c>
      <c r="J11" s="35"/>
      <c r="K11" s="35">
        <v>240</v>
      </c>
      <c r="L11" s="35">
        <v>0</v>
      </c>
      <c r="M11" s="35"/>
      <c r="N11" s="35">
        <v>240</v>
      </c>
      <c r="O11" s="35">
        <v>0</v>
      </c>
      <c r="P11" s="35"/>
      <c r="Q11" s="37">
        <f t="shared" si="0"/>
        <v>720</v>
      </c>
      <c r="R11" s="38">
        <f t="shared" si="1"/>
        <v>0</v>
      </c>
    </row>
    <row r="12" spans="1:18" ht="18" x14ac:dyDescent="0.35">
      <c r="A12" s="34">
        <v>5</v>
      </c>
      <c r="B12" s="35" t="s">
        <v>185</v>
      </c>
      <c r="C12" s="36" t="s">
        <v>97</v>
      </c>
      <c r="D12" s="35">
        <v>93799</v>
      </c>
      <c r="E12" s="35">
        <v>45.7</v>
      </c>
      <c r="F12" s="35" t="s">
        <v>186</v>
      </c>
      <c r="G12" s="35" t="s">
        <v>187</v>
      </c>
      <c r="H12" s="35">
        <v>960</v>
      </c>
      <c r="I12" s="35">
        <v>0</v>
      </c>
      <c r="J12" s="35"/>
      <c r="K12" s="35">
        <v>960</v>
      </c>
      <c r="L12" s="35">
        <v>0</v>
      </c>
      <c r="M12" s="35"/>
      <c r="N12" s="35">
        <v>960</v>
      </c>
      <c r="O12" s="35">
        <v>0</v>
      </c>
      <c r="P12" s="35"/>
      <c r="Q12" s="37">
        <f t="shared" si="0"/>
        <v>2880</v>
      </c>
      <c r="R12" s="38">
        <f t="shared" si="1"/>
        <v>0</v>
      </c>
    </row>
    <row r="13" spans="1:18" ht="18" x14ac:dyDescent="0.35">
      <c r="A13" s="34">
        <v>6</v>
      </c>
      <c r="B13" s="35" t="s">
        <v>102</v>
      </c>
      <c r="C13" s="36" t="s">
        <v>35</v>
      </c>
      <c r="D13" s="35">
        <v>98808</v>
      </c>
      <c r="E13" s="35">
        <v>418.2</v>
      </c>
      <c r="F13" s="35">
        <v>90</v>
      </c>
      <c r="G13" s="35" t="s">
        <v>175</v>
      </c>
      <c r="H13" s="35">
        <v>480</v>
      </c>
      <c r="I13" s="35">
        <v>0</v>
      </c>
      <c r="J13" s="35"/>
      <c r="K13" s="35">
        <v>0</v>
      </c>
      <c r="L13" s="35">
        <v>0</v>
      </c>
      <c r="M13" s="35"/>
      <c r="N13" s="35">
        <v>0</v>
      </c>
      <c r="O13" s="35">
        <v>0</v>
      </c>
      <c r="P13" s="35"/>
      <c r="Q13" s="37">
        <f t="shared" si="0"/>
        <v>480</v>
      </c>
      <c r="R13" s="38">
        <f t="shared" si="1"/>
        <v>0</v>
      </c>
    </row>
    <row r="14" spans="1:18" ht="18" x14ac:dyDescent="0.35">
      <c r="A14" s="34">
        <v>7</v>
      </c>
      <c r="B14" s="35" t="s">
        <v>102</v>
      </c>
      <c r="C14" s="36" t="s">
        <v>35</v>
      </c>
      <c r="D14" s="35">
        <v>98808</v>
      </c>
      <c r="E14" s="35">
        <v>428.7</v>
      </c>
      <c r="F14" s="35">
        <v>90</v>
      </c>
      <c r="G14" s="35" t="s">
        <v>175</v>
      </c>
      <c r="H14" s="35">
        <v>150</v>
      </c>
      <c r="I14" s="35">
        <v>0</v>
      </c>
      <c r="J14" s="35"/>
      <c r="K14" s="35">
        <v>0</v>
      </c>
      <c r="L14" s="35">
        <v>0</v>
      </c>
      <c r="M14" s="35"/>
      <c r="N14" s="35">
        <v>0</v>
      </c>
      <c r="O14" s="35">
        <v>0</v>
      </c>
      <c r="P14" s="35"/>
      <c r="Q14" s="37">
        <f t="shared" si="0"/>
        <v>150</v>
      </c>
      <c r="R14" s="38">
        <f t="shared" si="1"/>
        <v>0</v>
      </c>
    </row>
    <row r="15" spans="1:18" ht="18" x14ac:dyDescent="0.35">
      <c r="A15" s="34">
        <v>8</v>
      </c>
      <c r="B15" s="35" t="s">
        <v>109</v>
      </c>
      <c r="C15" s="36" t="s">
        <v>35</v>
      </c>
      <c r="D15" s="35">
        <v>98809</v>
      </c>
      <c r="E15" s="35">
        <v>152.4</v>
      </c>
      <c r="F15" s="35">
        <v>90</v>
      </c>
      <c r="G15" s="35" t="s">
        <v>224</v>
      </c>
      <c r="H15" s="35">
        <v>300</v>
      </c>
      <c r="I15" s="35">
        <v>0</v>
      </c>
      <c r="J15" s="35"/>
      <c r="K15" s="35">
        <v>300</v>
      </c>
      <c r="L15" s="35">
        <v>0</v>
      </c>
      <c r="M15" s="35"/>
      <c r="N15" s="35">
        <v>0</v>
      </c>
      <c r="O15" s="35">
        <v>0</v>
      </c>
      <c r="P15" s="35"/>
      <c r="Q15" s="37">
        <f t="shared" si="0"/>
        <v>600</v>
      </c>
      <c r="R15" s="38">
        <f t="shared" si="1"/>
        <v>0</v>
      </c>
    </row>
    <row r="16" spans="1:18" ht="18" x14ac:dyDescent="0.35">
      <c r="A16" s="34">
        <v>9</v>
      </c>
      <c r="B16" s="35" t="s">
        <v>121</v>
      </c>
      <c r="C16" s="36" t="s">
        <v>35</v>
      </c>
      <c r="D16" s="35">
        <v>98808</v>
      </c>
      <c r="E16" s="35">
        <v>428.75</v>
      </c>
      <c r="F16" s="40" t="s">
        <v>190</v>
      </c>
      <c r="G16" s="35" t="s">
        <v>154</v>
      </c>
      <c r="H16" s="35">
        <v>960</v>
      </c>
      <c r="I16" s="35">
        <v>0</v>
      </c>
      <c r="J16" s="35"/>
      <c r="K16" s="35">
        <v>960</v>
      </c>
      <c r="L16" s="35">
        <v>0</v>
      </c>
      <c r="M16" s="35"/>
      <c r="N16" s="35">
        <v>960</v>
      </c>
      <c r="O16" s="35">
        <v>0</v>
      </c>
      <c r="P16" s="26"/>
      <c r="Q16" s="37">
        <f t="shared" si="0"/>
        <v>2880</v>
      </c>
      <c r="R16" s="38">
        <f t="shared" si="1"/>
        <v>0</v>
      </c>
    </row>
    <row r="17" spans="1:18" ht="18" x14ac:dyDescent="0.35">
      <c r="A17" s="34">
        <v>10</v>
      </c>
      <c r="B17" s="35" t="s">
        <v>116</v>
      </c>
      <c r="C17" s="36" t="s">
        <v>35</v>
      </c>
      <c r="D17" s="35">
        <v>98814</v>
      </c>
      <c r="E17" s="35">
        <v>304.8</v>
      </c>
      <c r="F17" s="40" t="s">
        <v>190</v>
      </c>
      <c r="G17" s="35" t="s">
        <v>154</v>
      </c>
      <c r="H17" s="35">
        <v>960</v>
      </c>
      <c r="I17" s="35">
        <v>0</v>
      </c>
      <c r="J17" s="35"/>
      <c r="K17" s="35">
        <v>960</v>
      </c>
      <c r="L17" s="35">
        <v>0</v>
      </c>
      <c r="M17" s="35"/>
      <c r="N17" s="35">
        <v>960</v>
      </c>
      <c r="O17" s="35">
        <v>0</v>
      </c>
      <c r="P17" s="26"/>
      <c r="Q17" s="37">
        <f t="shared" si="0"/>
        <v>2880</v>
      </c>
      <c r="R17" s="38">
        <f t="shared" si="1"/>
        <v>0</v>
      </c>
    </row>
    <row r="18" spans="1:18" ht="18" x14ac:dyDescent="0.35">
      <c r="A18" s="34">
        <v>11</v>
      </c>
      <c r="B18" s="35" t="s">
        <v>119</v>
      </c>
      <c r="C18" s="36" t="s">
        <v>35</v>
      </c>
      <c r="D18" s="35">
        <v>98808</v>
      </c>
      <c r="E18" s="35">
        <v>796.5</v>
      </c>
      <c r="F18" s="40" t="s">
        <v>223</v>
      </c>
      <c r="G18" s="35" t="s">
        <v>118</v>
      </c>
      <c r="H18" s="35">
        <v>960</v>
      </c>
      <c r="I18" s="35">
        <v>0</v>
      </c>
      <c r="J18" s="35"/>
      <c r="K18" s="35">
        <v>960</v>
      </c>
      <c r="L18" s="35">
        <v>0</v>
      </c>
      <c r="M18" s="35"/>
      <c r="N18" s="35">
        <v>960</v>
      </c>
      <c r="O18" s="35">
        <v>0</v>
      </c>
      <c r="P18" s="26"/>
      <c r="Q18" s="37">
        <f t="shared" si="0"/>
        <v>2880</v>
      </c>
      <c r="R18" s="38">
        <f t="shared" si="1"/>
        <v>0</v>
      </c>
    </row>
    <row r="19" spans="1:18" ht="18" x14ac:dyDescent="0.35">
      <c r="A19" s="34">
        <v>12</v>
      </c>
      <c r="B19" s="37" t="s">
        <v>124</v>
      </c>
      <c r="C19" s="36" t="s">
        <v>35</v>
      </c>
      <c r="D19" s="37">
        <v>2122</v>
      </c>
      <c r="E19" s="37"/>
      <c r="F19" s="41" t="s">
        <v>128</v>
      </c>
      <c r="G19" s="26"/>
      <c r="H19" s="35">
        <v>65</v>
      </c>
      <c r="I19" s="35">
        <v>0</v>
      </c>
      <c r="J19" s="35"/>
      <c r="K19" s="35">
        <v>0</v>
      </c>
      <c r="L19" s="35">
        <v>0</v>
      </c>
      <c r="M19" s="35"/>
      <c r="N19" s="35">
        <v>0</v>
      </c>
      <c r="O19" s="35">
        <v>0</v>
      </c>
      <c r="P19" s="26"/>
      <c r="Q19" s="37">
        <f t="shared" si="0"/>
        <v>65</v>
      </c>
      <c r="R19" s="38">
        <f t="shared" si="1"/>
        <v>0</v>
      </c>
    </row>
    <row r="20" spans="1:18" ht="18" x14ac:dyDescent="0.35">
      <c r="A20" s="34">
        <v>13</v>
      </c>
      <c r="B20" s="37" t="s">
        <v>124</v>
      </c>
      <c r="C20" s="36" t="s">
        <v>35</v>
      </c>
      <c r="D20" s="37">
        <v>2123</v>
      </c>
      <c r="E20" s="37"/>
      <c r="F20" s="41" t="s">
        <v>127</v>
      </c>
      <c r="G20" s="26"/>
      <c r="H20" s="35">
        <v>120</v>
      </c>
      <c r="I20" s="35">
        <v>0</v>
      </c>
      <c r="J20" s="35"/>
      <c r="K20" s="35">
        <v>0</v>
      </c>
      <c r="L20" s="35">
        <v>0</v>
      </c>
      <c r="M20" s="35"/>
      <c r="N20" s="35">
        <v>0</v>
      </c>
      <c r="O20" s="35">
        <v>0</v>
      </c>
      <c r="P20" s="26"/>
      <c r="Q20" s="37">
        <f t="shared" si="0"/>
        <v>120</v>
      </c>
      <c r="R20" s="38">
        <f t="shared" si="1"/>
        <v>0</v>
      </c>
    </row>
    <row r="21" spans="1:18" ht="18" x14ac:dyDescent="0.35">
      <c r="A21" s="34">
        <v>14</v>
      </c>
      <c r="B21" s="37" t="s">
        <v>39</v>
      </c>
      <c r="C21" s="42" t="s">
        <v>35</v>
      </c>
      <c r="D21" s="37">
        <v>98814</v>
      </c>
      <c r="E21" s="37">
        <v>304.8</v>
      </c>
      <c r="F21" s="41" t="s">
        <v>39</v>
      </c>
      <c r="G21" s="37" t="s">
        <v>96</v>
      </c>
      <c r="H21" s="35">
        <v>240</v>
      </c>
      <c r="I21" s="35">
        <v>0</v>
      </c>
      <c r="J21" s="35"/>
      <c r="K21" s="35">
        <v>240</v>
      </c>
      <c r="L21" s="35">
        <v>0</v>
      </c>
      <c r="M21" s="35"/>
      <c r="N21" s="35">
        <v>240</v>
      </c>
      <c r="O21" s="35">
        <v>0</v>
      </c>
      <c r="P21" s="23"/>
      <c r="Q21" s="37">
        <f t="shared" si="0"/>
        <v>720</v>
      </c>
      <c r="R21" s="38">
        <f t="shared" si="1"/>
        <v>0</v>
      </c>
    </row>
    <row r="22" spans="1:18" ht="36" x14ac:dyDescent="0.35">
      <c r="A22" s="34">
        <v>15</v>
      </c>
      <c r="B22" s="43" t="s">
        <v>148</v>
      </c>
      <c r="C22" s="36" t="s">
        <v>167</v>
      </c>
      <c r="D22" s="35">
        <v>93290</v>
      </c>
      <c r="E22" s="35">
        <v>2382</v>
      </c>
      <c r="F22" s="40" t="s">
        <v>150</v>
      </c>
      <c r="G22" s="35" t="s">
        <v>113</v>
      </c>
      <c r="H22" s="35">
        <v>4800</v>
      </c>
      <c r="I22" s="35">
        <v>0</v>
      </c>
      <c r="J22" s="35"/>
      <c r="K22" s="35">
        <v>4800</v>
      </c>
      <c r="L22" s="35">
        <v>0</v>
      </c>
      <c r="M22" s="35"/>
      <c r="N22" s="35">
        <v>4800</v>
      </c>
      <c r="O22" s="35">
        <v>0</v>
      </c>
      <c r="P22" s="26"/>
      <c r="Q22" s="35">
        <f t="shared" si="0"/>
        <v>14400</v>
      </c>
      <c r="R22" s="44">
        <f t="shared" si="1"/>
        <v>0</v>
      </c>
    </row>
    <row r="23" spans="1:18" ht="36" x14ac:dyDescent="0.35">
      <c r="A23" s="34">
        <v>16</v>
      </c>
      <c r="B23" s="43" t="s">
        <v>151</v>
      </c>
      <c r="C23" s="36" t="s">
        <v>167</v>
      </c>
      <c r="D23" s="35">
        <v>93292</v>
      </c>
      <c r="E23" s="35">
        <v>1134</v>
      </c>
      <c r="F23" s="40" t="s">
        <v>150</v>
      </c>
      <c r="G23" s="35" t="s">
        <v>113</v>
      </c>
      <c r="H23" s="35">
        <v>4800</v>
      </c>
      <c r="I23" s="35">
        <v>0</v>
      </c>
      <c r="J23" s="35"/>
      <c r="K23" s="35">
        <v>4800</v>
      </c>
      <c r="L23" s="35">
        <v>0</v>
      </c>
      <c r="M23" s="35"/>
      <c r="N23" s="35">
        <v>4800</v>
      </c>
      <c r="O23" s="35">
        <v>0</v>
      </c>
      <c r="P23" s="26"/>
      <c r="Q23" s="35">
        <f t="shared" si="0"/>
        <v>14400</v>
      </c>
      <c r="R23" s="44">
        <f t="shared" si="1"/>
        <v>0</v>
      </c>
    </row>
  </sheetData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7A91-65FD-4AA1-8739-EB16FBB4DF82}">
  <dimension ref="A1:R21"/>
  <sheetViews>
    <sheetView tabSelected="1" workbookViewId="0">
      <selection activeCell="B10" sqref="B10"/>
    </sheetView>
  </sheetViews>
  <sheetFormatPr defaultRowHeight="14.4" x14ac:dyDescent="0.3"/>
  <cols>
    <col min="2" max="2" width="21.88671875" customWidth="1"/>
    <col min="3" max="3" width="21.5546875" customWidth="1"/>
    <col min="5" max="5" width="16.33203125" customWidth="1"/>
    <col min="6" max="6" width="31" customWidth="1"/>
    <col min="10" max="10" width="12.44140625" customWidth="1"/>
    <col min="13" max="13" width="12" customWidth="1"/>
    <col min="16" max="16" width="12.6640625" customWidth="1"/>
    <col min="17" max="17" width="14.33203125" customWidth="1"/>
    <col min="18" max="18" width="17.109375" customWidth="1"/>
  </cols>
  <sheetData>
    <row r="1" spans="1:18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8" t="s">
        <v>76</v>
      </c>
      <c r="P5" s="29" t="s">
        <v>226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93" t="s">
        <v>83</v>
      </c>
      <c r="L6" s="94"/>
      <c r="M6" s="95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91</v>
      </c>
      <c r="C8" s="36" t="s">
        <v>97</v>
      </c>
      <c r="D8" s="35">
        <v>93799</v>
      </c>
      <c r="E8" s="35">
        <v>45.72</v>
      </c>
      <c r="F8" s="35" t="s">
        <v>233</v>
      </c>
      <c r="G8" s="35" t="s">
        <v>93</v>
      </c>
      <c r="H8" s="35">
        <v>240</v>
      </c>
      <c r="I8" s="35">
        <v>0</v>
      </c>
      <c r="J8" s="35"/>
      <c r="K8" s="35">
        <v>240</v>
      </c>
      <c r="L8" s="35">
        <v>0</v>
      </c>
      <c r="M8" s="35"/>
      <c r="N8" s="35">
        <v>240</v>
      </c>
      <c r="O8" s="35">
        <v>0</v>
      </c>
      <c r="P8" s="35"/>
      <c r="Q8" s="37">
        <f t="shared" ref="Q8:Q21" si="0">N8+K8+H8</f>
        <v>720</v>
      </c>
      <c r="R8" s="38">
        <f t="shared" ref="R8:R21" si="1">I8+L8+O8</f>
        <v>0</v>
      </c>
    </row>
    <row r="9" spans="1:18" ht="18" x14ac:dyDescent="0.35">
      <c r="A9" s="34">
        <v>2</v>
      </c>
      <c r="B9" s="35" t="s">
        <v>181</v>
      </c>
      <c r="C9" s="36" t="s">
        <v>97</v>
      </c>
      <c r="D9" s="35">
        <v>93799</v>
      </c>
      <c r="E9" s="35">
        <v>45.7</v>
      </c>
      <c r="F9" s="35" t="s">
        <v>166</v>
      </c>
      <c r="G9" s="35" t="s">
        <v>96</v>
      </c>
      <c r="H9" s="35">
        <v>240</v>
      </c>
      <c r="I9" s="35">
        <v>0</v>
      </c>
      <c r="J9" s="35"/>
      <c r="K9" s="35">
        <v>240</v>
      </c>
      <c r="L9" s="35">
        <v>0</v>
      </c>
      <c r="M9" s="35"/>
      <c r="N9" s="35">
        <v>240</v>
      </c>
      <c r="O9" s="35">
        <v>0</v>
      </c>
      <c r="P9" s="35"/>
      <c r="Q9" s="37">
        <f t="shared" si="0"/>
        <v>720</v>
      </c>
      <c r="R9" s="38">
        <f t="shared" si="1"/>
        <v>0</v>
      </c>
    </row>
    <row r="10" spans="1:18" ht="18" x14ac:dyDescent="0.35">
      <c r="A10" s="34">
        <v>3</v>
      </c>
      <c r="B10" s="35" t="s">
        <v>108</v>
      </c>
      <c r="C10" s="36" t="s">
        <v>95</v>
      </c>
      <c r="D10" s="35">
        <v>98808</v>
      </c>
      <c r="E10" s="35">
        <v>76.2</v>
      </c>
      <c r="F10" s="35" t="s">
        <v>92</v>
      </c>
      <c r="G10" s="35" t="s">
        <v>96</v>
      </c>
      <c r="H10" s="35">
        <v>240</v>
      </c>
      <c r="I10" s="35">
        <v>0</v>
      </c>
      <c r="J10" s="35"/>
      <c r="K10" s="35">
        <v>240</v>
      </c>
      <c r="L10" s="35">
        <v>0</v>
      </c>
      <c r="M10" s="35"/>
      <c r="N10" s="35">
        <v>240</v>
      </c>
      <c r="O10" s="35">
        <v>0</v>
      </c>
      <c r="P10" s="35"/>
      <c r="Q10" s="37">
        <f t="shared" si="0"/>
        <v>720</v>
      </c>
      <c r="R10" s="38">
        <f t="shared" si="1"/>
        <v>0</v>
      </c>
    </row>
    <row r="11" spans="1:18" ht="18" x14ac:dyDescent="0.35">
      <c r="A11" s="34">
        <v>4</v>
      </c>
      <c r="B11" s="35" t="s">
        <v>185</v>
      </c>
      <c r="C11" s="36" t="s">
        <v>97</v>
      </c>
      <c r="D11" s="35">
        <v>93799</v>
      </c>
      <c r="E11" s="35">
        <v>76.2</v>
      </c>
      <c r="F11" s="35" t="s">
        <v>186</v>
      </c>
      <c r="G11" s="35" t="s">
        <v>187</v>
      </c>
      <c r="H11" s="35">
        <v>960</v>
      </c>
      <c r="I11" s="35">
        <v>0</v>
      </c>
      <c r="J11" s="35"/>
      <c r="K11" s="35">
        <v>960</v>
      </c>
      <c r="L11" s="35">
        <v>0</v>
      </c>
      <c r="M11" s="35"/>
      <c r="N11" s="35">
        <v>960</v>
      </c>
      <c r="O11" s="35">
        <v>0</v>
      </c>
      <c r="P11" s="35"/>
      <c r="Q11" s="37">
        <f t="shared" si="0"/>
        <v>2880</v>
      </c>
      <c r="R11" s="38">
        <f t="shared" si="1"/>
        <v>0</v>
      </c>
    </row>
    <row r="12" spans="1:18" ht="18" x14ac:dyDescent="0.35">
      <c r="A12" s="34">
        <v>5</v>
      </c>
      <c r="B12" s="35" t="s">
        <v>185</v>
      </c>
      <c r="C12" s="36" t="s">
        <v>97</v>
      </c>
      <c r="D12" s="35">
        <v>93799</v>
      </c>
      <c r="E12" s="35">
        <v>45.72</v>
      </c>
      <c r="F12" s="35" t="s">
        <v>186</v>
      </c>
      <c r="G12" s="35" t="s">
        <v>187</v>
      </c>
      <c r="H12" s="35">
        <v>0</v>
      </c>
      <c r="I12" s="35">
        <v>0</v>
      </c>
      <c r="J12" s="35"/>
      <c r="K12" s="35">
        <v>0</v>
      </c>
      <c r="L12" s="35">
        <v>0</v>
      </c>
      <c r="M12" s="35"/>
      <c r="N12" s="35">
        <v>0</v>
      </c>
      <c r="O12" s="35">
        <v>0</v>
      </c>
      <c r="P12" s="35"/>
      <c r="Q12" s="37">
        <f t="shared" si="0"/>
        <v>0</v>
      </c>
      <c r="R12" s="38">
        <f t="shared" si="1"/>
        <v>0</v>
      </c>
    </row>
    <row r="13" spans="1:18" ht="18" x14ac:dyDescent="0.35">
      <c r="A13" s="34">
        <v>6</v>
      </c>
      <c r="B13" s="35" t="s">
        <v>109</v>
      </c>
      <c r="C13" s="36" t="s">
        <v>35</v>
      </c>
      <c r="D13" s="35">
        <v>98809</v>
      </c>
      <c r="E13" s="35">
        <v>152.4</v>
      </c>
      <c r="F13" s="35">
        <v>90</v>
      </c>
      <c r="G13" s="35" t="s">
        <v>227</v>
      </c>
      <c r="H13" s="35">
        <v>520</v>
      </c>
      <c r="I13" s="35">
        <v>0</v>
      </c>
      <c r="J13" s="35"/>
      <c r="K13" s="35">
        <v>520</v>
      </c>
      <c r="L13" s="35">
        <v>0</v>
      </c>
      <c r="M13" s="35"/>
      <c r="N13" s="35">
        <v>520</v>
      </c>
      <c r="O13" s="35">
        <v>0</v>
      </c>
      <c r="P13" s="35"/>
      <c r="Q13" s="37">
        <f t="shared" si="0"/>
        <v>1560</v>
      </c>
      <c r="R13" s="38">
        <f t="shared" si="1"/>
        <v>0</v>
      </c>
    </row>
    <row r="14" spans="1:18" ht="18" x14ac:dyDescent="0.35">
      <c r="A14" s="34">
        <v>7</v>
      </c>
      <c r="B14" s="35" t="s">
        <v>116</v>
      </c>
      <c r="C14" s="36" t="s">
        <v>35</v>
      </c>
      <c r="D14" s="35">
        <v>98814</v>
      </c>
      <c r="E14" s="35">
        <v>304.8</v>
      </c>
      <c r="F14" s="40" t="s">
        <v>190</v>
      </c>
      <c r="G14" s="35" t="s">
        <v>154</v>
      </c>
      <c r="H14" s="35">
        <v>960</v>
      </c>
      <c r="I14" s="35">
        <v>0</v>
      </c>
      <c r="J14" s="35"/>
      <c r="K14" s="35">
        <v>960</v>
      </c>
      <c r="L14" s="35">
        <v>0</v>
      </c>
      <c r="M14" s="35"/>
      <c r="N14" s="35">
        <v>960</v>
      </c>
      <c r="O14" s="35">
        <v>0</v>
      </c>
      <c r="P14" s="26"/>
      <c r="Q14" s="37">
        <f t="shared" si="0"/>
        <v>2880</v>
      </c>
      <c r="R14" s="38">
        <f t="shared" si="1"/>
        <v>0</v>
      </c>
    </row>
    <row r="15" spans="1:18" ht="18" x14ac:dyDescent="0.35">
      <c r="A15" s="34">
        <v>8</v>
      </c>
      <c r="B15" s="35" t="s">
        <v>121</v>
      </c>
      <c r="C15" s="36" t="s">
        <v>35</v>
      </c>
      <c r="D15" s="35">
        <v>98812</v>
      </c>
      <c r="E15" s="35">
        <v>292.10000000000002</v>
      </c>
      <c r="F15" s="40" t="s">
        <v>190</v>
      </c>
      <c r="G15" s="35" t="s">
        <v>118</v>
      </c>
      <c r="H15" s="35">
        <v>960</v>
      </c>
      <c r="I15" s="35">
        <v>0</v>
      </c>
      <c r="J15" s="35"/>
      <c r="K15" s="35">
        <v>960</v>
      </c>
      <c r="L15" s="35">
        <v>0</v>
      </c>
      <c r="M15" s="35"/>
      <c r="N15" s="35">
        <v>960</v>
      </c>
      <c r="O15" s="35">
        <v>0</v>
      </c>
      <c r="P15" s="26"/>
      <c r="Q15" s="37">
        <f t="shared" si="0"/>
        <v>2880</v>
      </c>
      <c r="R15" s="38">
        <f t="shared" si="1"/>
        <v>0</v>
      </c>
    </row>
    <row r="16" spans="1:18" ht="18" x14ac:dyDescent="0.35">
      <c r="A16" s="34">
        <v>9</v>
      </c>
      <c r="B16" s="35" t="s">
        <v>119</v>
      </c>
      <c r="C16" s="36" t="s">
        <v>35</v>
      </c>
      <c r="D16" s="35">
        <v>98808</v>
      </c>
      <c r="E16" s="35">
        <v>428.75</v>
      </c>
      <c r="F16" s="40" t="s">
        <v>190</v>
      </c>
      <c r="G16" s="35" t="s">
        <v>154</v>
      </c>
      <c r="H16" s="35">
        <v>960</v>
      </c>
      <c r="I16" s="35">
        <v>0</v>
      </c>
      <c r="J16" s="35"/>
      <c r="K16" s="35">
        <v>960</v>
      </c>
      <c r="L16" s="35">
        <v>0</v>
      </c>
      <c r="M16" s="35"/>
      <c r="N16" s="35">
        <v>960</v>
      </c>
      <c r="O16" s="35">
        <v>0</v>
      </c>
      <c r="P16" s="26"/>
      <c r="Q16" s="37">
        <f t="shared" si="0"/>
        <v>2880</v>
      </c>
      <c r="R16" s="38">
        <f t="shared" si="1"/>
        <v>0</v>
      </c>
    </row>
    <row r="17" spans="1:18" ht="18" x14ac:dyDescent="0.35">
      <c r="A17" s="34">
        <v>10</v>
      </c>
      <c r="B17" s="37" t="s">
        <v>235</v>
      </c>
      <c r="C17" s="36" t="s">
        <v>35</v>
      </c>
      <c r="D17" s="37">
        <v>2191</v>
      </c>
      <c r="E17" s="37"/>
      <c r="F17" s="41" t="s">
        <v>234</v>
      </c>
      <c r="G17" s="26"/>
      <c r="H17" s="35">
        <v>110</v>
      </c>
      <c r="I17" s="35">
        <v>0</v>
      </c>
      <c r="J17" s="35"/>
      <c r="K17" s="35">
        <v>110</v>
      </c>
      <c r="L17" s="35">
        <v>0</v>
      </c>
      <c r="M17" s="35"/>
      <c r="N17" s="35">
        <v>110</v>
      </c>
      <c r="O17" s="35">
        <v>0</v>
      </c>
      <c r="P17" s="26"/>
      <c r="Q17" s="37">
        <f t="shared" si="0"/>
        <v>330</v>
      </c>
      <c r="R17" s="38">
        <f t="shared" si="1"/>
        <v>0</v>
      </c>
    </row>
    <row r="18" spans="1:18" ht="18" x14ac:dyDescent="0.35">
      <c r="A18" s="34">
        <v>11</v>
      </c>
      <c r="B18" s="37" t="s">
        <v>237</v>
      </c>
      <c r="C18" s="36" t="s">
        <v>35</v>
      </c>
      <c r="D18" s="37">
        <v>2122</v>
      </c>
      <c r="E18" s="37"/>
      <c r="F18" s="41" t="s">
        <v>128</v>
      </c>
      <c r="G18" s="26"/>
      <c r="H18" s="35">
        <v>65</v>
      </c>
      <c r="I18" s="35">
        <v>0</v>
      </c>
      <c r="J18" s="35"/>
      <c r="K18" s="35">
        <v>65</v>
      </c>
      <c r="L18" s="35">
        <v>0</v>
      </c>
      <c r="M18" s="35"/>
      <c r="N18" s="35">
        <v>65</v>
      </c>
      <c r="O18" s="35">
        <v>0</v>
      </c>
      <c r="P18" s="26"/>
      <c r="Q18" s="37">
        <f t="shared" si="0"/>
        <v>195</v>
      </c>
      <c r="R18" s="38">
        <f t="shared" si="1"/>
        <v>0</v>
      </c>
    </row>
    <row r="19" spans="1:18" ht="18" x14ac:dyDescent="0.35">
      <c r="A19" s="34">
        <v>12</v>
      </c>
      <c r="B19" s="37" t="s">
        <v>236</v>
      </c>
      <c r="C19" s="42" t="s">
        <v>35</v>
      </c>
      <c r="D19" s="37">
        <v>98814</v>
      </c>
      <c r="E19" s="37">
        <v>304.8</v>
      </c>
      <c r="F19" s="41" t="s">
        <v>39</v>
      </c>
      <c r="G19" s="37" t="s">
        <v>96</v>
      </c>
      <c r="H19" s="35">
        <v>240</v>
      </c>
      <c r="I19" s="35">
        <v>0</v>
      </c>
      <c r="J19" s="35"/>
      <c r="K19" s="35">
        <v>240</v>
      </c>
      <c r="L19" s="35">
        <v>0</v>
      </c>
      <c r="M19" s="35"/>
      <c r="N19" s="35">
        <v>240</v>
      </c>
      <c r="O19" s="35">
        <v>0</v>
      </c>
      <c r="P19" s="26"/>
      <c r="Q19" s="37">
        <f t="shared" si="0"/>
        <v>720</v>
      </c>
      <c r="R19" s="38">
        <f t="shared" si="1"/>
        <v>0</v>
      </c>
    </row>
    <row r="20" spans="1:18" ht="36" x14ac:dyDescent="0.35">
      <c r="A20" s="34">
        <v>13</v>
      </c>
      <c r="B20" s="47" t="s">
        <v>148</v>
      </c>
      <c r="C20" s="36" t="s">
        <v>167</v>
      </c>
      <c r="D20" s="35">
        <v>93290</v>
      </c>
      <c r="E20" s="35">
        <v>2382</v>
      </c>
      <c r="F20" s="40" t="s">
        <v>150</v>
      </c>
      <c r="G20" s="35" t="s">
        <v>113</v>
      </c>
      <c r="H20" s="35">
        <v>0</v>
      </c>
      <c r="I20" s="35">
        <v>0</v>
      </c>
      <c r="J20" s="35"/>
      <c r="K20" s="35">
        <v>0</v>
      </c>
      <c r="L20" s="35">
        <v>0</v>
      </c>
      <c r="M20" s="35"/>
      <c r="N20" s="35">
        <v>0</v>
      </c>
      <c r="O20" s="35">
        <v>0</v>
      </c>
      <c r="P20" s="26"/>
      <c r="Q20" s="35">
        <f t="shared" si="0"/>
        <v>0</v>
      </c>
      <c r="R20" s="44">
        <f t="shared" si="1"/>
        <v>0</v>
      </c>
    </row>
    <row r="21" spans="1:18" ht="36" x14ac:dyDescent="0.35">
      <c r="A21" s="34">
        <v>14</v>
      </c>
      <c r="B21" s="47" t="s">
        <v>151</v>
      </c>
      <c r="C21" s="36" t="s">
        <v>167</v>
      </c>
      <c r="D21" s="35">
        <v>93292</v>
      </c>
      <c r="E21" s="35">
        <v>1134</v>
      </c>
      <c r="F21" s="40" t="s">
        <v>150</v>
      </c>
      <c r="G21" s="35" t="s">
        <v>113</v>
      </c>
      <c r="H21" s="35">
        <v>0</v>
      </c>
      <c r="I21" s="35">
        <v>0</v>
      </c>
      <c r="J21" s="35"/>
      <c r="K21" s="35">
        <v>0</v>
      </c>
      <c r="L21" s="35">
        <v>0</v>
      </c>
      <c r="M21" s="35"/>
      <c r="N21" s="35">
        <v>0</v>
      </c>
      <c r="O21" s="35">
        <v>0</v>
      </c>
      <c r="P21" s="26"/>
      <c r="Q21" s="35">
        <f t="shared" si="0"/>
        <v>0</v>
      </c>
      <c r="R21" s="44">
        <f t="shared" si="1"/>
        <v>0</v>
      </c>
    </row>
  </sheetData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0E96-B5CF-4931-8CBA-B20D8EB129D8}">
  <dimension ref="A1:R31"/>
  <sheetViews>
    <sheetView workbookViewId="0">
      <selection sqref="A1:R31"/>
    </sheetView>
  </sheetViews>
  <sheetFormatPr defaultRowHeight="14.4" x14ac:dyDescent="0.3"/>
  <cols>
    <col min="2" max="2" width="22.88671875" customWidth="1"/>
    <col min="3" max="3" width="23.44140625" customWidth="1"/>
    <col min="5" max="5" width="14.109375" customWidth="1"/>
    <col min="6" max="6" width="28.5546875" customWidth="1"/>
    <col min="10" max="10" width="12.88671875" customWidth="1"/>
    <col min="13" max="13" width="14.88671875" customWidth="1"/>
    <col min="16" max="16" width="12.5546875" customWidth="1"/>
    <col min="17" max="17" width="14.44140625" customWidth="1"/>
    <col min="18" max="18" width="19.44140625" customWidth="1"/>
  </cols>
  <sheetData>
    <row r="1" spans="1:18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8" t="s">
        <v>76</v>
      </c>
      <c r="P5" s="29" t="s">
        <v>232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56" t="s">
        <v>83</v>
      </c>
      <c r="L6" s="56"/>
      <c r="M6" s="56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91</v>
      </c>
      <c r="C8" s="36" t="s">
        <v>35</v>
      </c>
      <c r="D8" s="35">
        <v>93799</v>
      </c>
      <c r="E8" s="35">
        <v>45.7</v>
      </c>
      <c r="F8" s="35" t="s">
        <v>92</v>
      </c>
      <c r="G8" s="35" t="s">
        <v>93</v>
      </c>
      <c r="H8" s="35">
        <v>240</v>
      </c>
      <c r="I8" s="35">
        <v>240</v>
      </c>
      <c r="J8" s="35"/>
      <c r="K8" s="35">
        <v>200</v>
      </c>
      <c r="L8" s="35">
        <v>155</v>
      </c>
      <c r="M8" s="35"/>
      <c r="N8" s="35">
        <v>0</v>
      </c>
      <c r="O8" s="35">
        <v>0</v>
      </c>
      <c r="P8" s="35"/>
      <c r="Q8" s="37">
        <f>N8+K8+H8</f>
        <v>440</v>
      </c>
      <c r="R8" s="38">
        <f>I8+L8+O8</f>
        <v>395</v>
      </c>
    </row>
    <row r="9" spans="1:18" ht="18" x14ac:dyDescent="0.35">
      <c r="A9" s="34">
        <v>4</v>
      </c>
      <c r="B9" s="35" t="s">
        <v>181</v>
      </c>
      <c r="C9" s="36" t="s">
        <v>97</v>
      </c>
      <c r="D9" s="35">
        <v>93799</v>
      </c>
      <c r="E9" s="35">
        <v>45.7</v>
      </c>
      <c r="F9" s="35" t="s">
        <v>166</v>
      </c>
      <c r="G9" s="35" t="s">
        <v>96</v>
      </c>
      <c r="H9" s="35">
        <v>300</v>
      </c>
      <c r="I9" s="35">
        <v>270</v>
      </c>
      <c r="J9" s="35"/>
      <c r="K9" s="35">
        <v>115</v>
      </c>
      <c r="L9" s="35">
        <v>115</v>
      </c>
      <c r="M9" s="35"/>
      <c r="N9" s="35">
        <v>0</v>
      </c>
      <c r="O9" s="35">
        <v>0</v>
      </c>
      <c r="P9" s="35"/>
      <c r="Q9" s="37">
        <f t="shared" ref="Q9:Q31" si="0">N9+K9+H9</f>
        <v>415</v>
      </c>
      <c r="R9" s="38">
        <f t="shared" ref="R9:R31" si="1">I9+L9+O9</f>
        <v>385</v>
      </c>
    </row>
    <row r="10" spans="1:18" ht="18" x14ac:dyDescent="0.35">
      <c r="A10" s="34">
        <v>5</v>
      </c>
      <c r="B10" s="35" t="s">
        <v>182</v>
      </c>
      <c r="C10" s="36" t="s">
        <v>97</v>
      </c>
      <c r="D10" s="35">
        <v>93799</v>
      </c>
      <c r="E10" s="35">
        <v>45.7</v>
      </c>
      <c r="F10" s="35" t="s">
        <v>166</v>
      </c>
      <c r="G10" s="35" t="s">
        <v>96</v>
      </c>
      <c r="H10" s="35">
        <v>240</v>
      </c>
      <c r="I10" s="35">
        <v>240</v>
      </c>
      <c r="J10" s="35"/>
      <c r="K10" s="35">
        <v>0</v>
      </c>
      <c r="L10" s="35">
        <v>0</v>
      </c>
      <c r="M10" s="35"/>
      <c r="N10" s="35">
        <v>0</v>
      </c>
      <c r="O10" s="35">
        <v>0</v>
      </c>
      <c r="P10" s="35"/>
      <c r="Q10" s="37">
        <f t="shared" si="0"/>
        <v>240</v>
      </c>
      <c r="R10" s="38">
        <f t="shared" si="1"/>
        <v>240</v>
      </c>
    </row>
    <row r="11" spans="1:18" ht="18" x14ac:dyDescent="0.35">
      <c r="A11" s="34">
        <v>8</v>
      </c>
      <c r="B11" s="35" t="s">
        <v>108</v>
      </c>
      <c r="C11" s="36" t="s">
        <v>95</v>
      </c>
      <c r="D11" s="35">
        <v>86308</v>
      </c>
      <c r="E11" s="35">
        <v>55.88</v>
      </c>
      <c r="F11" s="35" t="s">
        <v>92</v>
      </c>
      <c r="G11" s="35" t="s">
        <v>96</v>
      </c>
      <c r="H11" s="35">
        <v>450</v>
      </c>
      <c r="I11" s="35">
        <v>361</v>
      </c>
      <c r="J11" s="35"/>
      <c r="K11" s="35">
        <v>350</v>
      </c>
      <c r="L11" s="35">
        <v>271</v>
      </c>
      <c r="M11" s="35"/>
      <c r="N11" s="35">
        <v>450</v>
      </c>
      <c r="O11" s="35">
        <v>423</v>
      </c>
      <c r="P11" s="35"/>
      <c r="Q11" s="37">
        <f t="shared" si="0"/>
        <v>1250</v>
      </c>
      <c r="R11" s="38">
        <f t="shared" si="1"/>
        <v>1055</v>
      </c>
    </row>
    <row r="12" spans="1:18" ht="18" x14ac:dyDescent="0.35">
      <c r="A12" s="34">
        <v>9</v>
      </c>
      <c r="B12" s="35" t="s">
        <v>185</v>
      </c>
      <c r="C12" s="36" t="s">
        <v>97</v>
      </c>
      <c r="D12" s="35">
        <v>93799</v>
      </c>
      <c r="E12" s="35">
        <v>86.36</v>
      </c>
      <c r="F12" s="35" t="s">
        <v>186</v>
      </c>
      <c r="G12" s="35" t="s">
        <v>187</v>
      </c>
      <c r="H12" s="35">
        <v>960</v>
      </c>
      <c r="I12" s="35">
        <v>730</v>
      </c>
      <c r="J12" s="35"/>
      <c r="K12" s="35">
        <v>0</v>
      </c>
      <c r="L12" s="35">
        <v>0</v>
      </c>
      <c r="M12" s="35"/>
      <c r="N12" s="35">
        <v>0</v>
      </c>
      <c r="O12" s="35">
        <v>0</v>
      </c>
      <c r="P12" s="35"/>
      <c r="Q12" s="37">
        <f t="shared" si="0"/>
        <v>960</v>
      </c>
      <c r="R12" s="38">
        <f t="shared" si="1"/>
        <v>730</v>
      </c>
    </row>
    <row r="13" spans="1:18" ht="18" x14ac:dyDescent="0.35">
      <c r="A13" s="34">
        <v>10</v>
      </c>
      <c r="B13" s="35" t="s">
        <v>109</v>
      </c>
      <c r="C13" s="36" t="s">
        <v>35</v>
      </c>
      <c r="D13" s="35">
        <v>98809</v>
      </c>
      <c r="E13" s="35">
        <v>152.4</v>
      </c>
      <c r="F13" s="35">
        <v>90</v>
      </c>
      <c r="G13" s="35" t="s">
        <v>228</v>
      </c>
      <c r="H13" s="35">
        <v>520</v>
      </c>
      <c r="I13" s="35">
        <v>400</v>
      </c>
      <c r="J13" s="35"/>
      <c r="K13" s="35">
        <v>520</v>
      </c>
      <c r="L13" s="35">
        <v>432</v>
      </c>
      <c r="M13" s="35"/>
      <c r="N13" s="35">
        <v>450</v>
      </c>
      <c r="O13" s="35">
        <v>420</v>
      </c>
      <c r="P13" s="35"/>
      <c r="Q13" s="37">
        <f t="shared" si="0"/>
        <v>1490</v>
      </c>
      <c r="R13" s="38">
        <f t="shared" si="1"/>
        <v>1252</v>
      </c>
    </row>
    <row r="14" spans="1:18" ht="18" x14ac:dyDescent="0.35">
      <c r="A14" s="34">
        <v>11</v>
      </c>
      <c r="B14" s="35" t="s">
        <v>102</v>
      </c>
      <c r="C14" s="36" t="s">
        <v>35</v>
      </c>
      <c r="D14" s="35">
        <v>98808</v>
      </c>
      <c r="E14" s="35">
        <v>428.75</v>
      </c>
      <c r="F14" s="35">
        <v>90</v>
      </c>
      <c r="G14" s="35" t="s">
        <v>175</v>
      </c>
      <c r="H14" s="35">
        <v>150</v>
      </c>
      <c r="I14" s="35">
        <v>116</v>
      </c>
      <c r="J14" s="35"/>
      <c r="K14" s="35">
        <v>0</v>
      </c>
      <c r="L14" s="35">
        <v>0</v>
      </c>
      <c r="M14" s="35"/>
      <c r="N14" s="35">
        <v>0</v>
      </c>
      <c r="O14" s="35">
        <v>0</v>
      </c>
      <c r="P14" s="35"/>
      <c r="Q14" s="37">
        <f t="shared" si="0"/>
        <v>150</v>
      </c>
      <c r="R14" s="38">
        <f t="shared" si="1"/>
        <v>116</v>
      </c>
    </row>
    <row r="15" spans="1:18" ht="18" x14ac:dyDescent="0.35">
      <c r="A15" s="34">
        <v>12</v>
      </c>
      <c r="B15" s="35" t="s">
        <v>111</v>
      </c>
      <c r="C15" s="36" t="s">
        <v>35</v>
      </c>
      <c r="D15" s="35">
        <v>2122</v>
      </c>
      <c r="E15" s="35"/>
      <c r="F15" s="35" t="s">
        <v>114</v>
      </c>
      <c r="G15" s="35" t="s">
        <v>154</v>
      </c>
      <c r="H15" s="35">
        <v>0</v>
      </c>
      <c r="I15" s="35">
        <v>0</v>
      </c>
      <c r="J15" s="35"/>
      <c r="K15" s="35">
        <v>0</v>
      </c>
      <c r="L15" s="35">
        <v>0</v>
      </c>
      <c r="M15" s="35"/>
      <c r="N15" s="35">
        <v>255</v>
      </c>
      <c r="O15" s="35">
        <v>255</v>
      </c>
      <c r="P15" s="35"/>
      <c r="Q15" s="37">
        <f t="shared" si="0"/>
        <v>255</v>
      </c>
      <c r="R15" s="38">
        <f t="shared" si="1"/>
        <v>255</v>
      </c>
    </row>
    <row r="16" spans="1:18" ht="18" x14ac:dyDescent="0.35">
      <c r="A16" s="34">
        <v>13</v>
      </c>
      <c r="B16" s="35" t="s">
        <v>102</v>
      </c>
      <c r="C16" s="36" t="s">
        <v>35</v>
      </c>
      <c r="D16" s="35">
        <v>98808</v>
      </c>
      <c r="E16" s="35">
        <v>418.2</v>
      </c>
      <c r="F16" s="35">
        <v>90</v>
      </c>
      <c r="G16" s="35" t="s">
        <v>231</v>
      </c>
      <c r="H16" s="35">
        <v>0</v>
      </c>
      <c r="I16" s="35">
        <v>0</v>
      </c>
      <c r="J16" s="35"/>
      <c r="K16" s="35">
        <v>0</v>
      </c>
      <c r="L16" s="35">
        <v>0</v>
      </c>
      <c r="M16" s="35"/>
      <c r="N16" s="35">
        <v>480</v>
      </c>
      <c r="O16" s="35">
        <v>480</v>
      </c>
      <c r="P16" s="35"/>
      <c r="Q16" s="37">
        <f t="shared" si="0"/>
        <v>480</v>
      </c>
      <c r="R16" s="38">
        <f t="shared" si="1"/>
        <v>480</v>
      </c>
    </row>
    <row r="17" spans="1:18" ht="18" x14ac:dyDescent="0.35">
      <c r="A17" s="34">
        <v>15</v>
      </c>
      <c r="B17" s="35" t="s">
        <v>121</v>
      </c>
      <c r="C17" s="36" t="s">
        <v>35</v>
      </c>
      <c r="D17" s="35">
        <v>98808</v>
      </c>
      <c r="E17" s="35">
        <v>428.75</v>
      </c>
      <c r="F17" s="40" t="s">
        <v>190</v>
      </c>
      <c r="G17" s="35" t="s">
        <v>154</v>
      </c>
      <c r="H17" s="35">
        <v>400</v>
      </c>
      <c r="I17" s="35">
        <v>300</v>
      </c>
      <c r="J17" s="35"/>
      <c r="K17" s="35">
        <v>320</v>
      </c>
      <c r="L17" s="35">
        <v>320</v>
      </c>
      <c r="M17" s="26"/>
      <c r="N17" s="35">
        <v>0</v>
      </c>
      <c r="O17" s="35">
        <v>0</v>
      </c>
      <c r="P17" s="26"/>
      <c r="Q17" s="37">
        <f t="shared" si="0"/>
        <v>720</v>
      </c>
      <c r="R17" s="38">
        <f t="shared" si="1"/>
        <v>620</v>
      </c>
    </row>
    <row r="18" spans="1:18" ht="18" x14ac:dyDescent="0.35">
      <c r="A18" s="34">
        <v>16</v>
      </c>
      <c r="B18" s="35" t="s">
        <v>121</v>
      </c>
      <c r="C18" s="36" t="s">
        <v>35</v>
      </c>
      <c r="D18" s="35">
        <v>98808</v>
      </c>
      <c r="E18" s="35">
        <v>428.75</v>
      </c>
      <c r="F18" s="40" t="s">
        <v>122</v>
      </c>
      <c r="G18" s="35" t="s">
        <v>154</v>
      </c>
      <c r="H18" s="35">
        <v>400</v>
      </c>
      <c r="I18" s="35">
        <v>320</v>
      </c>
      <c r="J18" s="35"/>
      <c r="K18" s="35">
        <v>0</v>
      </c>
      <c r="L18" s="35">
        <v>0</v>
      </c>
      <c r="M18" s="26"/>
      <c r="N18" s="35">
        <v>0</v>
      </c>
      <c r="O18" s="35">
        <v>0</v>
      </c>
      <c r="P18" s="26"/>
      <c r="Q18" s="37">
        <f t="shared" si="0"/>
        <v>400</v>
      </c>
      <c r="R18" s="38">
        <f t="shared" si="1"/>
        <v>320</v>
      </c>
    </row>
    <row r="19" spans="1:18" ht="18" x14ac:dyDescent="0.35">
      <c r="A19" s="34">
        <v>17</v>
      </c>
      <c r="B19" s="35" t="s">
        <v>119</v>
      </c>
      <c r="C19" s="36" t="s">
        <v>35</v>
      </c>
      <c r="D19" s="35">
        <v>98808</v>
      </c>
      <c r="E19" s="35">
        <v>428.75</v>
      </c>
      <c r="F19" s="35" t="s">
        <v>122</v>
      </c>
      <c r="G19" s="35" t="s">
        <v>154</v>
      </c>
      <c r="H19" s="35">
        <v>400</v>
      </c>
      <c r="I19" s="35">
        <v>320</v>
      </c>
      <c r="J19" s="35"/>
      <c r="K19" s="35">
        <v>0</v>
      </c>
      <c r="L19" s="35">
        <v>0</v>
      </c>
      <c r="M19" s="26"/>
      <c r="N19" s="35">
        <v>0</v>
      </c>
      <c r="O19" s="35">
        <v>0</v>
      </c>
      <c r="P19" s="26"/>
      <c r="Q19" s="37">
        <f t="shared" si="0"/>
        <v>400</v>
      </c>
      <c r="R19" s="38">
        <f t="shared" si="1"/>
        <v>320</v>
      </c>
    </row>
    <row r="20" spans="1:18" ht="18" x14ac:dyDescent="0.35">
      <c r="A20" s="34">
        <v>18</v>
      </c>
      <c r="B20" s="35" t="s">
        <v>116</v>
      </c>
      <c r="C20" s="36" t="s">
        <v>35</v>
      </c>
      <c r="D20" s="35">
        <v>98808</v>
      </c>
      <c r="E20" s="35">
        <v>428.75</v>
      </c>
      <c r="F20" s="40" t="s">
        <v>40</v>
      </c>
      <c r="G20" s="35" t="s">
        <v>118</v>
      </c>
      <c r="H20" s="35">
        <v>400</v>
      </c>
      <c r="I20" s="35">
        <v>320</v>
      </c>
      <c r="J20" s="35"/>
      <c r="K20" s="35">
        <v>0</v>
      </c>
      <c r="L20" s="35">
        <v>0</v>
      </c>
      <c r="M20" s="26"/>
      <c r="N20" s="35">
        <v>0</v>
      </c>
      <c r="O20" s="35">
        <v>0</v>
      </c>
      <c r="P20" s="26"/>
      <c r="Q20" s="37">
        <f t="shared" si="0"/>
        <v>400</v>
      </c>
      <c r="R20" s="38">
        <f t="shared" si="1"/>
        <v>320</v>
      </c>
    </row>
    <row r="21" spans="1:18" ht="18" x14ac:dyDescent="0.35">
      <c r="A21" s="34">
        <v>19</v>
      </c>
      <c r="B21" s="35" t="s">
        <v>119</v>
      </c>
      <c r="C21" s="36" t="s">
        <v>35</v>
      </c>
      <c r="D21" s="35">
        <v>98812</v>
      </c>
      <c r="E21" s="35">
        <v>292.10000000000002</v>
      </c>
      <c r="F21" s="40" t="s">
        <v>40</v>
      </c>
      <c r="G21" s="35" t="s">
        <v>120</v>
      </c>
      <c r="H21" s="35">
        <v>450</v>
      </c>
      <c r="I21" s="35">
        <v>450</v>
      </c>
      <c r="J21" s="35"/>
      <c r="K21" s="35">
        <v>0</v>
      </c>
      <c r="L21" s="35">
        <v>0</v>
      </c>
      <c r="M21" s="26"/>
      <c r="N21" s="35">
        <v>0</v>
      </c>
      <c r="O21" s="35">
        <v>0</v>
      </c>
      <c r="P21" s="26"/>
      <c r="Q21" s="37">
        <f t="shared" si="0"/>
        <v>450</v>
      </c>
      <c r="R21" s="38">
        <f t="shared" si="1"/>
        <v>450</v>
      </c>
    </row>
    <row r="22" spans="1:18" ht="18" x14ac:dyDescent="0.35">
      <c r="A22" s="34">
        <v>20</v>
      </c>
      <c r="B22" s="35" t="s">
        <v>229</v>
      </c>
      <c r="C22" s="36" t="s">
        <v>35</v>
      </c>
      <c r="D22" s="35">
        <v>98814</v>
      </c>
      <c r="E22" s="35">
        <v>304.8</v>
      </c>
      <c r="F22" s="40" t="s">
        <v>190</v>
      </c>
      <c r="G22" s="35" t="s">
        <v>118</v>
      </c>
      <c r="H22" s="35">
        <v>300</v>
      </c>
      <c r="I22" s="35">
        <v>250</v>
      </c>
      <c r="J22" s="35"/>
      <c r="K22" s="35">
        <v>0</v>
      </c>
      <c r="L22" s="35">
        <v>0</v>
      </c>
      <c r="M22" s="26"/>
      <c r="N22" s="35">
        <v>0</v>
      </c>
      <c r="O22" s="35">
        <v>0</v>
      </c>
      <c r="P22" s="26"/>
      <c r="Q22" s="37">
        <f t="shared" si="0"/>
        <v>300</v>
      </c>
      <c r="R22" s="38">
        <f t="shared" si="1"/>
        <v>250</v>
      </c>
    </row>
    <row r="23" spans="1:18" ht="18" x14ac:dyDescent="0.35">
      <c r="A23" s="34">
        <v>21</v>
      </c>
      <c r="B23" s="35" t="s">
        <v>229</v>
      </c>
      <c r="C23" s="36" t="s">
        <v>35</v>
      </c>
      <c r="D23" s="35">
        <v>98809</v>
      </c>
      <c r="E23" s="35">
        <v>152.4</v>
      </c>
      <c r="F23" s="35" t="s">
        <v>122</v>
      </c>
      <c r="G23" s="35" t="s">
        <v>118</v>
      </c>
      <c r="H23" s="35">
        <v>0</v>
      </c>
      <c r="I23" s="35">
        <v>0</v>
      </c>
      <c r="J23" s="35"/>
      <c r="K23" s="35">
        <v>600</v>
      </c>
      <c r="L23" s="35">
        <v>480</v>
      </c>
      <c r="M23" s="35"/>
      <c r="N23" s="35">
        <v>450</v>
      </c>
      <c r="O23" s="35">
        <v>420</v>
      </c>
      <c r="P23" s="26"/>
      <c r="Q23" s="37">
        <f t="shared" si="0"/>
        <v>1050</v>
      </c>
      <c r="R23" s="38">
        <f t="shared" si="1"/>
        <v>900</v>
      </c>
    </row>
    <row r="24" spans="1:18" ht="18" x14ac:dyDescent="0.35">
      <c r="A24" s="34">
        <v>22</v>
      </c>
      <c r="B24" s="35" t="s">
        <v>119</v>
      </c>
      <c r="C24" s="36" t="s">
        <v>35</v>
      </c>
      <c r="D24" s="35">
        <v>98808</v>
      </c>
      <c r="E24" s="35">
        <v>418.2</v>
      </c>
      <c r="F24" s="40" t="s">
        <v>117</v>
      </c>
      <c r="G24" s="35" t="s">
        <v>118</v>
      </c>
      <c r="H24" s="35">
        <v>0</v>
      </c>
      <c r="I24" s="35">
        <v>0</v>
      </c>
      <c r="J24" s="35"/>
      <c r="K24" s="35">
        <v>600</v>
      </c>
      <c r="L24" s="35">
        <v>465</v>
      </c>
      <c r="M24" s="35"/>
      <c r="N24" s="35">
        <v>0</v>
      </c>
      <c r="O24" s="35">
        <v>0</v>
      </c>
      <c r="P24" s="26"/>
      <c r="Q24" s="37">
        <f t="shared" si="0"/>
        <v>600</v>
      </c>
      <c r="R24" s="38">
        <f t="shared" si="1"/>
        <v>465</v>
      </c>
    </row>
    <row r="25" spans="1:18" ht="18" x14ac:dyDescent="0.35">
      <c r="A25" s="34">
        <v>24</v>
      </c>
      <c r="B25" s="37" t="s">
        <v>124</v>
      </c>
      <c r="C25" s="36" t="s">
        <v>35</v>
      </c>
      <c r="D25" s="37">
        <v>2191</v>
      </c>
      <c r="E25" s="37"/>
      <c r="F25" s="41" t="s">
        <v>174</v>
      </c>
      <c r="G25" s="26"/>
      <c r="H25" s="35">
        <v>113</v>
      </c>
      <c r="I25" s="35">
        <v>113</v>
      </c>
      <c r="J25" s="26"/>
      <c r="K25" s="35">
        <v>0</v>
      </c>
      <c r="L25" s="35">
        <v>0</v>
      </c>
      <c r="M25" s="35"/>
      <c r="N25" s="35">
        <v>0</v>
      </c>
      <c r="O25" s="35">
        <v>0</v>
      </c>
      <c r="P25" s="26"/>
      <c r="Q25" s="37">
        <f t="shared" si="0"/>
        <v>113</v>
      </c>
      <c r="R25" s="38">
        <f t="shared" si="1"/>
        <v>113</v>
      </c>
    </row>
    <row r="26" spans="1:18" ht="18" x14ac:dyDescent="0.35">
      <c r="A26" s="34">
        <v>25</v>
      </c>
      <c r="B26" s="37" t="s">
        <v>124</v>
      </c>
      <c r="C26" s="36" t="s">
        <v>35</v>
      </c>
      <c r="D26" s="37">
        <v>2122</v>
      </c>
      <c r="E26" s="37"/>
      <c r="F26" s="41" t="s">
        <v>127</v>
      </c>
      <c r="G26" s="26"/>
      <c r="H26" s="35">
        <v>0</v>
      </c>
      <c r="I26" s="35">
        <v>0</v>
      </c>
      <c r="J26" s="26"/>
      <c r="K26" s="35">
        <v>130</v>
      </c>
      <c r="L26" s="35">
        <v>130</v>
      </c>
      <c r="M26" s="35"/>
      <c r="N26" s="35">
        <v>90</v>
      </c>
      <c r="O26" s="35">
        <v>90</v>
      </c>
      <c r="P26" s="26"/>
      <c r="Q26" s="37">
        <f t="shared" si="0"/>
        <v>220</v>
      </c>
      <c r="R26" s="38">
        <f t="shared" si="1"/>
        <v>220</v>
      </c>
    </row>
    <row r="27" spans="1:18" ht="18" x14ac:dyDescent="0.35">
      <c r="A27" s="34">
        <v>26</v>
      </c>
      <c r="B27" s="37" t="s">
        <v>124</v>
      </c>
      <c r="C27" s="36" t="s">
        <v>35</v>
      </c>
      <c r="D27" s="37">
        <v>2122</v>
      </c>
      <c r="E27" s="37"/>
      <c r="F27" s="41" t="s">
        <v>128</v>
      </c>
      <c r="G27" s="26"/>
      <c r="H27" s="35">
        <v>70</v>
      </c>
      <c r="I27" s="35">
        <v>70</v>
      </c>
      <c r="J27" s="26"/>
      <c r="K27" s="35">
        <v>65</v>
      </c>
      <c r="L27" s="35">
        <v>65</v>
      </c>
      <c r="M27" s="26"/>
      <c r="N27" s="35">
        <v>90</v>
      </c>
      <c r="O27" s="35">
        <v>90</v>
      </c>
      <c r="P27" s="26"/>
      <c r="Q27" s="37">
        <f t="shared" si="0"/>
        <v>225</v>
      </c>
      <c r="R27" s="38">
        <f t="shared" si="1"/>
        <v>225</v>
      </c>
    </row>
    <row r="28" spans="1:18" ht="18" x14ac:dyDescent="0.35">
      <c r="A28" s="34">
        <v>31</v>
      </c>
      <c r="B28" s="37" t="s">
        <v>230</v>
      </c>
      <c r="C28" s="42" t="s">
        <v>97</v>
      </c>
      <c r="D28" s="37">
        <v>93799</v>
      </c>
      <c r="E28" s="37">
        <v>45.7</v>
      </c>
      <c r="F28" s="41" t="s">
        <v>221</v>
      </c>
      <c r="G28" s="26"/>
      <c r="H28" s="35">
        <v>0</v>
      </c>
      <c r="I28" s="35">
        <v>0</v>
      </c>
      <c r="J28" s="26"/>
      <c r="K28" s="35">
        <v>960</v>
      </c>
      <c r="L28" s="35">
        <v>850</v>
      </c>
      <c r="M28" s="26"/>
      <c r="N28" s="35">
        <v>500</v>
      </c>
      <c r="O28" s="35">
        <v>480</v>
      </c>
      <c r="P28" s="26"/>
      <c r="Q28" s="37">
        <f t="shared" si="0"/>
        <v>1460</v>
      </c>
      <c r="R28" s="38">
        <f t="shared" si="1"/>
        <v>1330</v>
      </c>
    </row>
    <row r="29" spans="1:18" ht="18" x14ac:dyDescent="0.35">
      <c r="A29" s="34">
        <v>32</v>
      </c>
      <c r="B29" s="37" t="s">
        <v>39</v>
      </c>
      <c r="C29" s="42" t="s">
        <v>35</v>
      </c>
      <c r="D29" s="37">
        <v>98814</v>
      </c>
      <c r="E29" s="37">
        <v>304.8</v>
      </c>
      <c r="F29" s="41" t="s">
        <v>39</v>
      </c>
      <c r="G29" s="37" t="s">
        <v>96</v>
      </c>
      <c r="H29" s="35">
        <v>240</v>
      </c>
      <c r="I29" s="35">
        <v>200</v>
      </c>
      <c r="J29" s="37"/>
      <c r="K29" s="35">
        <v>0</v>
      </c>
      <c r="L29" s="35">
        <v>0</v>
      </c>
      <c r="M29" s="23"/>
      <c r="N29" s="35">
        <v>200</v>
      </c>
      <c r="O29" s="35">
        <v>180</v>
      </c>
      <c r="P29" s="23"/>
      <c r="Q29" s="37">
        <f t="shared" si="0"/>
        <v>440</v>
      </c>
      <c r="R29" s="38">
        <f>I29+L29+O29</f>
        <v>380</v>
      </c>
    </row>
    <row r="30" spans="1:18" ht="18" x14ac:dyDescent="0.35">
      <c r="A30" s="34">
        <v>33</v>
      </c>
      <c r="B30" s="37" t="s">
        <v>132</v>
      </c>
      <c r="C30" s="42" t="s">
        <v>144</v>
      </c>
      <c r="D30" s="37">
        <v>83872</v>
      </c>
      <c r="E30" s="37">
        <v>967.65</v>
      </c>
      <c r="F30" s="41" t="s">
        <v>12</v>
      </c>
      <c r="G30" s="37" t="s">
        <v>173</v>
      </c>
      <c r="H30" s="35">
        <v>0</v>
      </c>
      <c r="I30" s="35">
        <v>0</v>
      </c>
      <c r="J30" s="37"/>
      <c r="K30" s="35">
        <v>0</v>
      </c>
      <c r="L30" s="35">
        <v>0</v>
      </c>
      <c r="M30" s="26"/>
      <c r="N30" s="35">
        <v>16</v>
      </c>
      <c r="O30" s="35">
        <v>16</v>
      </c>
      <c r="P30" s="26"/>
      <c r="Q30" s="37">
        <f t="shared" si="0"/>
        <v>16</v>
      </c>
      <c r="R30" s="38">
        <f t="shared" si="1"/>
        <v>16</v>
      </c>
    </row>
    <row r="31" spans="1:18" ht="18" x14ac:dyDescent="0.35">
      <c r="A31" s="34">
        <v>40</v>
      </c>
      <c r="B31" s="47" t="s">
        <v>148</v>
      </c>
      <c r="C31" s="36" t="s">
        <v>167</v>
      </c>
      <c r="D31" s="35">
        <v>93290</v>
      </c>
      <c r="E31" s="35">
        <v>2382</v>
      </c>
      <c r="F31" s="40" t="s">
        <v>150</v>
      </c>
      <c r="G31" s="35" t="s">
        <v>113</v>
      </c>
      <c r="H31" s="35">
        <v>3000</v>
      </c>
      <c r="I31" s="35">
        <v>2300</v>
      </c>
      <c r="J31" s="35"/>
      <c r="K31" s="35">
        <v>1500</v>
      </c>
      <c r="L31" s="35">
        <v>1126</v>
      </c>
      <c r="M31" s="35"/>
      <c r="N31" s="35">
        <v>2100</v>
      </c>
      <c r="O31" s="35">
        <v>2005</v>
      </c>
      <c r="P31" s="26"/>
      <c r="Q31" s="35">
        <f t="shared" si="0"/>
        <v>6600</v>
      </c>
      <c r="R31" s="44">
        <f t="shared" si="1"/>
        <v>5431</v>
      </c>
    </row>
  </sheetData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1245-D165-40F3-9B1A-58C164CCD959}">
  <dimension ref="A1:R20"/>
  <sheetViews>
    <sheetView workbookViewId="0">
      <selection sqref="A1:R20"/>
    </sheetView>
  </sheetViews>
  <sheetFormatPr defaultRowHeight="14.4" x14ac:dyDescent="0.3"/>
  <cols>
    <col min="2" max="2" width="26.6640625" customWidth="1"/>
    <col min="3" max="3" width="22.6640625" customWidth="1"/>
    <col min="5" max="5" width="14.5546875" customWidth="1"/>
    <col min="6" max="6" width="29.33203125" customWidth="1"/>
    <col min="10" max="10" width="14.109375" customWidth="1"/>
    <col min="13" max="13" width="13.33203125" customWidth="1"/>
    <col min="16" max="16" width="12" customWidth="1"/>
    <col min="17" max="17" width="13.5546875" customWidth="1"/>
    <col min="18" max="18" width="17.33203125" customWidth="1"/>
  </cols>
  <sheetData>
    <row r="1" spans="1:18" x14ac:dyDescent="0.3">
      <c r="A1" s="52" t="s">
        <v>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8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">
        <v>75</v>
      </c>
      <c r="P4" s="27"/>
      <c r="Q4" s="23"/>
      <c r="R4" s="23"/>
    </row>
    <row r="5" spans="1:18" ht="18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8" t="s">
        <v>76</v>
      </c>
      <c r="P5" s="29" t="s">
        <v>232</v>
      </c>
      <c r="Q5" s="23"/>
      <c r="R5" s="23"/>
    </row>
    <row r="6" spans="1:18" ht="17.399999999999999" x14ac:dyDescent="0.3">
      <c r="A6" s="53" t="s">
        <v>77</v>
      </c>
      <c r="B6" s="53" t="s">
        <v>78</v>
      </c>
      <c r="C6" s="53" t="s">
        <v>79</v>
      </c>
      <c r="D6" s="54" t="s">
        <v>80</v>
      </c>
      <c r="E6" s="53" t="s">
        <v>81</v>
      </c>
      <c r="F6" s="53" t="s">
        <v>82</v>
      </c>
      <c r="G6" s="30"/>
      <c r="H6" s="55" t="s">
        <v>85</v>
      </c>
      <c r="I6" s="55"/>
      <c r="J6" s="55"/>
      <c r="K6" s="56" t="s">
        <v>83</v>
      </c>
      <c r="L6" s="56"/>
      <c r="M6" s="56"/>
      <c r="N6" s="57" t="s">
        <v>84</v>
      </c>
      <c r="O6" s="57"/>
      <c r="P6" s="57"/>
      <c r="Q6" s="50" t="s">
        <v>86</v>
      </c>
      <c r="R6" s="51" t="s">
        <v>87</v>
      </c>
    </row>
    <row r="7" spans="1:18" ht="17.399999999999999" x14ac:dyDescent="0.3">
      <c r="A7" s="53"/>
      <c r="B7" s="53"/>
      <c r="C7" s="53"/>
      <c r="D7" s="54"/>
      <c r="E7" s="53"/>
      <c r="F7" s="53"/>
      <c r="G7" s="30" t="s">
        <v>88</v>
      </c>
      <c r="H7" s="31" t="s">
        <v>89</v>
      </c>
      <c r="I7" s="32" t="s">
        <v>90</v>
      </c>
      <c r="J7" s="33" t="s">
        <v>16</v>
      </c>
      <c r="K7" s="31" t="s">
        <v>89</v>
      </c>
      <c r="L7" s="32" t="s">
        <v>90</v>
      </c>
      <c r="M7" s="30" t="s">
        <v>16</v>
      </c>
      <c r="N7" s="31" t="s">
        <v>89</v>
      </c>
      <c r="O7" s="32" t="s">
        <v>90</v>
      </c>
      <c r="P7" s="33" t="s">
        <v>16</v>
      </c>
      <c r="Q7" s="50"/>
      <c r="R7" s="51"/>
    </row>
    <row r="8" spans="1:18" ht="18" x14ac:dyDescent="0.35">
      <c r="A8" s="34">
        <v>1</v>
      </c>
      <c r="B8" s="35" t="s">
        <v>94</v>
      </c>
      <c r="C8" s="36" t="s">
        <v>35</v>
      </c>
      <c r="D8" s="35">
        <v>93799</v>
      </c>
      <c r="E8" s="35">
        <v>45.7</v>
      </c>
      <c r="F8" s="35" t="s">
        <v>92</v>
      </c>
      <c r="G8" s="35" t="s">
        <v>93</v>
      </c>
      <c r="H8" s="35">
        <v>240</v>
      </c>
      <c r="I8" s="35">
        <v>0</v>
      </c>
      <c r="J8" s="35"/>
      <c r="K8" s="35">
        <v>240</v>
      </c>
      <c r="L8" s="35">
        <v>0</v>
      </c>
      <c r="M8" s="35"/>
      <c r="N8" s="35">
        <v>240</v>
      </c>
      <c r="O8" s="35">
        <v>0</v>
      </c>
      <c r="P8" s="35"/>
      <c r="Q8" s="37">
        <f>N8+K8+H8</f>
        <v>720</v>
      </c>
      <c r="R8" s="38">
        <f>I8+L8+O8</f>
        <v>0</v>
      </c>
    </row>
    <row r="9" spans="1:18" ht="18" x14ac:dyDescent="0.35">
      <c r="A9" s="34">
        <v>2</v>
      </c>
      <c r="B9" s="35" t="s">
        <v>181</v>
      </c>
      <c r="C9" s="36" t="s">
        <v>97</v>
      </c>
      <c r="D9" s="35">
        <v>93799</v>
      </c>
      <c r="E9" s="35">
        <v>45.7</v>
      </c>
      <c r="F9" s="35" t="s">
        <v>166</v>
      </c>
      <c r="G9" s="35" t="s">
        <v>96</v>
      </c>
      <c r="H9" s="35">
        <v>240</v>
      </c>
      <c r="I9" s="35">
        <v>0</v>
      </c>
      <c r="J9" s="35"/>
      <c r="K9" s="35">
        <v>240</v>
      </c>
      <c r="L9" s="35">
        <v>0</v>
      </c>
      <c r="M9" s="35"/>
      <c r="N9" s="35">
        <v>240</v>
      </c>
      <c r="O9" s="35">
        <v>0</v>
      </c>
      <c r="P9" s="35"/>
      <c r="Q9" s="37">
        <f t="shared" ref="Q9:Q20" si="0">N9+K9+H9</f>
        <v>720</v>
      </c>
      <c r="R9" s="38">
        <f t="shared" ref="R9:R20" si="1">I9+L9+O9</f>
        <v>0</v>
      </c>
    </row>
    <row r="10" spans="1:18" ht="18" x14ac:dyDescent="0.35">
      <c r="A10" s="34">
        <v>3</v>
      </c>
      <c r="B10" s="35" t="s">
        <v>108</v>
      </c>
      <c r="C10" s="36" t="s">
        <v>95</v>
      </c>
      <c r="D10" s="35">
        <v>86308</v>
      </c>
      <c r="E10" s="35">
        <v>55.88</v>
      </c>
      <c r="F10" s="35" t="s">
        <v>92</v>
      </c>
      <c r="G10" s="35" t="s">
        <v>96</v>
      </c>
      <c r="H10" s="35">
        <v>240</v>
      </c>
      <c r="I10" s="35">
        <v>0</v>
      </c>
      <c r="J10" s="35"/>
      <c r="K10" s="35">
        <v>240</v>
      </c>
      <c r="L10" s="35">
        <v>0</v>
      </c>
      <c r="M10" s="35"/>
      <c r="N10" s="35">
        <v>240</v>
      </c>
      <c r="O10" s="35">
        <v>0</v>
      </c>
      <c r="P10" s="35"/>
      <c r="Q10" s="37">
        <f t="shared" si="0"/>
        <v>720</v>
      </c>
      <c r="R10" s="38">
        <f t="shared" si="1"/>
        <v>0</v>
      </c>
    </row>
    <row r="11" spans="1:18" ht="18" x14ac:dyDescent="0.35">
      <c r="A11" s="34">
        <v>4</v>
      </c>
      <c r="B11" s="35" t="s">
        <v>185</v>
      </c>
      <c r="C11" s="36" t="s">
        <v>97</v>
      </c>
      <c r="D11" s="35">
        <v>93799</v>
      </c>
      <c r="E11" s="35">
        <v>86.36</v>
      </c>
      <c r="F11" s="35" t="s">
        <v>186</v>
      </c>
      <c r="G11" s="35" t="s">
        <v>187</v>
      </c>
      <c r="H11" s="35">
        <v>960</v>
      </c>
      <c r="I11" s="35">
        <v>0</v>
      </c>
      <c r="J11" s="35"/>
      <c r="K11" s="35">
        <v>960</v>
      </c>
      <c r="L11" s="35">
        <v>0</v>
      </c>
      <c r="M11" s="35"/>
      <c r="N11" s="35">
        <v>960</v>
      </c>
      <c r="O11" s="35">
        <v>0</v>
      </c>
      <c r="P11" s="35"/>
      <c r="Q11" s="37">
        <f t="shared" si="0"/>
        <v>2880</v>
      </c>
      <c r="R11" s="38">
        <f t="shared" si="1"/>
        <v>0</v>
      </c>
    </row>
    <row r="12" spans="1:18" ht="18" x14ac:dyDescent="0.35">
      <c r="A12" s="34">
        <v>5</v>
      </c>
      <c r="B12" s="35" t="s">
        <v>109</v>
      </c>
      <c r="C12" s="36" t="s">
        <v>35</v>
      </c>
      <c r="D12" s="35">
        <v>98809</v>
      </c>
      <c r="E12" s="35">
        <v>152.4</v>
      </c>
      <c r="F12" s="35" t="s">
        <v>92</v>
      </c>
      <c r="G12" s="35" t="s">
        <v>228</v>
      </c>
      <c r="H12" s="35">
        <v>520</v>
      </c>
      <c r="I12" s="35">
        <v>0</v>
      </c>
      <c r="J12" s="35"/>
      <c r="K12" s="35">
        <v>520</v>
      </c>
      <c r="L12" s="35">
        <v>0</v>
      </c>
      <c r="M12" s="35"/>
      <c r="N12" s="35">
        <v>520</v>
      </c>
      <c r="O12" s="35">
        <v>0</v>
      </c>
      <c r="P12" s="35"/>
      <c r="Q12" s="37">
        <f t="shared" si="0"/>
        <v>1560</v>
      </c>
      <c r="R12" s="38">
        <f t="shared" si="1"/>
        <v>0</v>
      </c>
    </row>
    <row r="13" spans="1:18" ht="18" x14ac:dyDescent="0.35">
      <c r="A13" s="34">
        <v>6</v>
      </c>
      <c r="B13" s="35" t="s">
        <v>111</v>
      </c>
      <c r="C13" s="36" t="s">
        <v>35</v>
      </c>
      <c r="D13" s="35">
        <v>2122</v>
      </c>
      <c r="E13" s="35"/>
      <c r="F13" s="35" t="s">
        <v>114</v>
      </c>
      <c r="G13" s="35" t="s">
        <v>154</v>
      </c>
      <c r="H13" s="35">
        <v>960</v>
      </c>
      <c r="I13" s="35">
        <v>0</v>
      </c>
      <c r="J13" s="35"/>
      <c r="K13" s="35">
        <v>0</v>
      </c>
      <c r="L13" s="35">
        <v>0</v>
      </c>
      <c r="M13" s="35"/>
      <c r="N13" s="35">
        <v>0</v>
      </c>
      <c r="O13" s="35">
        <v>0</v>
      </c>
      <c r="P13" s="35"/>
      <c r="Q13" s="37">
        <f t="shared" si="0"/>
        <v>960</v>
      </c>
      <c r="R13" s="38">
        <f t="shared" si="1"/>
        <v>0</v>
      </c>
    </row>
    <row r="14" spans="1:18" ht="18" x14ac:dyDescent="0.35">
      <c r="A14" s="34">
        <v>7</v>
      </c>
      <c r="B14" s="35" t="s">
        <v>119</v>
      </c>
      <c r="C14" s="36" t="s">
        <v>35</v>
      </c>
      <c r="D14" s="35">
        <v>98808</v>
      </c>
      <c r="E14" s="35">
        <v>418.2</v>
      </c>
      <c r="F14" s="40" t="s">
        <v>190</v>
      </c>
      <c r="G14" s="35" t="s">
        <v>154</v>
      </c>
      <c r="H14" s="35">
        <v>960</v>
      </c>
      <c r="I14" s="35">
        <v>0</v>
      </c>
      <c r="J14" s="35"/>
      <c r="K14" s="35">
        <v>960</v>
      </c>
      <c r="L14" s="35">
        <v>0</v>
      </c>
      <c r="M14" s="26"/>
      <c r="N14" s="35">
        <v>0</v>
      </c>
      <c r="O14" s="35">
        <v>0</v>
      </c>
      <c r="P14" s="26"/>
      <c r="Q14" s="37">
        <f t="shared" si="0"/>
        <v>1920</v>
      </c>
      <c r="R14" s="38">
        <f t="shared" si="1"/>
        <v>0</v>
      </c>
    </row>
    <row r="15" spans="1:18" ht="18" x14ac:dyDescent="0.35">
      <c r="A15" s="34">
        <v>8</v>
      </c>
      <c r="B15" s="35" t="s">
        <v>116</v>
      </c>
      <c r="C15" s="36" t="s">
        <v>35</v>
      </c>
      <c r="D15" s="35">
        <v>98809</v>
      </c>
      <c r="E15" s="35">
        <v>152.4</v>
      </c>
      <c r="F15" s="40" t="s">
        <v>190</v>
      </c>
      <c r="G15" s="35" t="s">
        <v>154</v>
      </c>
      <c r="H15" s="35">
        <v>960</v>
      </c>
      <c r="I15" s="35">
        <v>0</v>
      </c>
      <c r="J15" s="35"/>
      <c r="K15" s="35">
        <v>960</v>
      </c>
      <c r="L15" s="35">
        <v>0</v>
      </c>
      <c r="M15" s="26"/>
      <c r="N15" s="35">
        <v>960</v>
      </c>
      <c r="O15" s="35">
        <v>0</v>
      </c>
      <c r="P15" s="26"/>
      <c r="Q15" s="37">
        <f t="shared" si="0"/>
        <v>2880</v>
      </c>
      <c r="R15" s="38">
        <f t="shared" si="1"/>
        <v>0</v>
      </c>
    </row>
    <row r="16" spans="1:18" ht="18" x14ac:dyDescent="0.35">
      <c r="A16" s="34">
        <v>9</v>
      </c>
      <c r="B16" s="35" t="s">
        <v>121</v>
      </c>
      <c r="C16" s="36" t="s">
        <v>35</v>
      </c>
      <c r="D16" s="35">
        <v>98808</v>
      </c>
      <c r="E16" s="35">
        <v>428.75</v>
      </c>
      <c r="F16" s="35" t="s">
        <v>122</v>
      </c>
      <c r="G16" s="35" t="s">
        <v>154</v>
      </c>
      <c r="H16" s="35">
        <v>960</v>
      </c>
      <c r="I16" s="35">
        <v>0</v>
      </c>
      <c r="J16" s="35"/>
      <c r="K16" s="35">
        <v>0</v>
      </c>
      <c r="L16" s="35">
        <v>0</v>
      </c>
      <c r="M16" s="26"/>
      <c r="N16" s="35">
        <v>0</v>
      </c>
      <c r="O16" s="35">
        <v>0</v>
      </c>
      <c r="P16" s="26"/>
      <c r="Q16" s="37">
        <f t="shared" si="0"/>
        <v>960</v>
      </c>
      <c r="R16" s="38">
        <f t="shared" si="1"/>
        <v>0</v>
      </c>
    </row>
    <row r="17" spans="1:18" ht="18" x14ac:dyDescent="0.35">
      <c r="A17" s="34">
        <v>10</v>
      </c>
      <c r="B17" s="37" t="s">
        <v>124</v>
      </c>
      <c r="C17" s="36" t="s">
        <v>35</v>
      </c>
      <c r="D17" s="37">
        <v>2123</v>
      </c>
      <c r="E17" s="37"/>
      <c r="F17" s="41" t="s">
        <v>127</v>
      </c>
      <c r="G17" s="26"/>
      <c r="H17" s="35">
        <v>120</v>
      </c>
      <c r="I17" s="35">
        <v>0</v>
      </c>
      <c r="J17" s="26"/>
      <c r="K17" s="35">
        <v>0</v>
      </c>
      <c r="L17" s="35">
        <v>0</v>
      </c>
      <c r="M17" s="35"/>
      <c r="N17" s="35">
        <v>0</v>
      </c>
      <c r="O17" s="35">
        <v>0</v>
      </c>
      <c r="P17" s="26"/>
      <c r="Q17" s="37">
        <f t="shared" si="0"/>
        <v>120</v>
      </c>
      <c r="R17" s="38">
        <f t="shared" si="1"/>
        <v>0</v>
      </c>
    </row>
    <row r="18" spans="1:18" ht="18" x14ac:dyDescent="0.35">
      <c r="A18" s="34">
        <v>11</v>
      </c>
      <c r="B18" s="37" t="s">
        <v>124</v>
      </c>
      <c r="C18" s="36" t="s">
        <v>35</v>
      </c>
      <c r="D18" s="37">
        <v>2122</v>
      </c>
      <c r="E18" s="37"/>
      <c r="F18" s="41" t="s">
        <v>128</v>
      </c>
      <c r="G18" s="26"/>
      <c r="H18" s="35">
        <v>130</v>
      </c>
      <c r="I18" s="35">
        <v>0</v>
      </c>
      <c r="J18" s="26"/>
      <c r="K18" s="35">
        <v>0</v>
      </c>
      <c r="L18" s="35">
        <v>0</v>
      </c>
      <c r="M18" s="26"/>
      <c r="N18" s="35">
        <v>0</v>
      </c>
      <c r="O18" s="35">
        <v>0</v>
      </c>
      <c r="P18" s="26"/>
      <c r="Q18" s="37">
        <f t="shared" si="0"/>
        <v>130</v>
      </c>
      <c r="R18" s="38">
        <f t="shared" si="1"/>
        <v>0</v>
      </c>
    </row>
    <row r="19" spans="1:18" ht="18" x14ac:dyDescent="0.35">
      <c r="A19" s="34">
        <v>12</v>
      </c>
      <c r="B19" s="37" t="s">
        <v>230</v>
      </c>
      <c r="C19" s="42" t="s">
        <v>97</v>
      </c>
      <c r="D19" s="37">
        <v>93799</v>
      </c>
      <c r="E19" s="37">
        <v>45.7</v>
      </c>
      <c r="F19" s="41" t="s">
        <v>221</v>
      </c>
      <c r="G19" s="26"/>
      <c r="H19" s="35">
        <v>960</v>
      </c>
      <c r="I19" s="35">
        <v>0</v>
      </c>
      <c r="J19" s="26"/>
      <c r="K19" s="35">
        <v>960</v>
      </c>
      <c r="L19" s="35">
        <v>0</v>
      </c>
      <c r="M19" s="26"/>
      <c r="N19" s="35">
        <v>960</v>
      </c>
      <c r="O19" s="35">
        <v>0</v>
      </c>
      <c r="P19" s="26"/>
      <c r="Q19" s="37">
        <f t="shared" si="0"/>
        <v>2880</v>
      </c>
      <c r="R19" s="38">
        <f t="shared" si="1"/>
        <v>0</v>
      </c>
    </row>
    <row r="20" spans="1:18" ht="18" x14ac:dyDescent="0.35">
      <c r="A20" s="34">
        <v>13</v>
      </c>
      <c r="B20" s="47" t="s">
        <v>148</v>
      </c>
      <c r="C20" s="36" t="s">
        <v>167</v>
      </c>
      <c r="D20" s="35">
        <v>93290</v>
      </c>
      <c r="E20" s="35">
        <v>2382</v>
      </c>
      <c r="F20" s="40" t="s">
        <v>150</v>
      </c>
      <c r="G20" s="35" t="s">
        <v>113</v>
      </c>
      <c r="H20" s="35">
        <v>0</v>
      </c>
      <c r="I20" s="35">
        <v>0</v>
      </c>
      <c r="J20" s="35"/>
      <c r="K20" s="35">
        <v>0</v>
      </c>
      <c r="L20" s="35">
        <v>0</v>
      </c>
      <c r="M20" s="35"/>
      <c r="N20" s="35">
        <v>0</v>
      </c>
      <c r="O20" s="35">
        <v>0</v>
      </c>
      <c r="P20" s="26"/>
      <c r="Q20" s="35">
        <f t="shared" si="0"/>
        <v>0</v>
      </c>
      <c r="R20" s="44">
        <f t="shared" si="1"/>
        <v>0</v>
      </c>
    </row>
  </sheetData>
  <mergeCells count="12">
    <mergeCell ref="Q6:Q7"/>
    <mergeCell ref="R6:R7"/>
    <mergeCell ref="A1:R3"/>
    <mergeCell ref="A6:A7"/>
    <mergeCell ref="B6:B7"/>
    <mergeCell ref="C6:C7"/>
    <mergeCell ref="D6:D7"/>
    <mergeCell ref="E6:E7"/>
    <mergeCell ref="F6:F7"/>
    <mergeCell ref="H6:J6"/>
    <mergeCell ref="K6:M6"/>
    <mergeCell ref="N6:P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4:Q18"/>
  <sheetViews>
    <sheetView workbookViewId="0">
      <selection activeCell="N30" sqref="N30"/>
    </sheetView>
  </sheetViews>
  <sheetFormatPr defaultRowHeight="14.4" x14ac:dyDescent="0.3"/>
  <cols>
    <col min="3" max="3" width="14.33203125" customWidth="1"/>
    <col min="11" max="11" width="10.88671875" customWidth="1"/>
  </cols>
  <sheetData>
    <row r="4" spans="1:17" ht="25.8" x14ac:dyDescent="0.3">
      <c r="A4" s="61" t="s">
        <v>156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</row>
    <row r="5" spans="1:17" ht="57.6" x14ac:dyDescent="0.3">
      <c r="A5" s="1" t="s">
        <v>0</v>
      </c>
      <c r="B5" s="1" t="s">
        <v>1</v>
      </c>
      <c r="C5" s="1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</row>
    <row r="6" spans="1:17" x14ac:dyDescent="0.3">
      <c r="A6" s="64">
        <v>1</v>
      </c>
      <c r="B6" s="64">
        <v>2191</v>
      </c>
      <c r="C6" s="3" t="s">
        <v>17</v>
      </c>
      <c r="D6" s="3">
        <v>29</v>
      </c>
      <c r="E6" s="3" t="s">
        <v>18</v>
      </c>
      <c r="F6" s="3">
        <v>41</v>
      </c>
      <c r="G6" s="3">
        <v>90</v>
      </c>
      <c r="H6" s="3">
        <v>76.2</v>
      </c>
      <c r="I6" s="67">
        <v>1200</v>
      </c>
      <c r="J6" s="3">
        <v>500</v>
      </c>
      <c r="K6" s="3" t="s">
        <v>19</v>
      </c>
      <c r="L6" s="3" t="s">
        <v>19</v>
      </c>
      <c r="M6" s="3" t="s">
        <v>19</v>
      </c>
      <c r="N6" s="3">
        <v>500</v>
      </c>
      <c r="O6" s="3" t="s">
        <v>19</v>
      </c>
      <c r="P6" s="3">
        <v>500</v>
      </c>
      <c r="Q6" s="67"/>
    </row>
    <row r="7" spans="1:17" x14ac:dyDescent="0.3">
      <c r="A7" s="65"/>
      <c r="B7" s="65"/>
      <c r="C7" s="3" t="s">
        <v>20</v>
      </c>
      <c r="D7" s="3">
        <v>22</v>
      </c>
      <c r="E7" s="3">
        <v>3660</v>
      </c>
      <c r="F7" s="3">
        <v>53</v>
      </c>
      <c r="G7" s="3">
        <v>74</v>
      </c>
      <c r="H7" s="3">
        <v>63.5</v>
      </c>
      <c r="I7" s="67"/>
      <c r="J7" s="3">
        <v>1120</v>
      </c>
      <c r="K7" s="3" t="s">
        <v>19</v>
      </c>
      <c r="L7" s="3" t="s">
        <v>19</v>
      </c>
      <c r="M7" s="3" t="s">
        <v>19</v>
      </c>
      <c r="N7" s="3">
        <v>1120</v>
      </c>
      <c r="O7" s="3" t="s">
        <v>19</v>
      </c>
      <c r="P7" s="3">
        <v>1120</v>
      </c>
      <c r="Q7" s="67"/>
    </row>
    <row r="8" spans="1:17" x14ac:dyDescent="0.3">
      <c r="A8" s="66"/>
      <c r="B8" s="66"/>
      <c r="C8" s="3" t="s">
        <v>21</v>
      </c>
      <c r="D8" s="3">
        <v>120</v>
      </c>
      <c r="E8" s="3">
        <v>4360</v>
      </c>
      <c r="F8" s="3">
        <v>10</v>
      </c>
      <c r="G8" s="3">
        <v>126</v>
      </c>
      <c r="H8" s="3">
        <v>406.4</v>
      </c>
      <c r="I8" s="67"/>
      <c r="J8" s="3">
        <v>1240</v>
      </c>
      <c r="K8" s="3" t="s">
        <v>19</v>
      </c>
      <c r="L8" s="3">
        <v>500</v>
      </c>
      <c r="M8" s="3">
        <v>500</v>
      </c>
      <c r="N8" s="3">
        <v>500</v>
      </c>
      <c r="O8" s="3" t="s">
        <v>19</v>
      </c>
      <c r="P8" s="3">
        <v>1240</v>
      </c>
      <c r="Q8" s="67"/>
    </row>
    <row r="9" spans="1:17" x14ac:dyDescent="0.3">
      <c r="A9" s="4">
        <v>2</v>
      </c>
      <c r="B9" s="4">
        <v>2192</v>
      </c>
      <c r="C9" s="4">
        <v>98815</v>
      </c>
      <c r="D9" s="4">
        <v>120</v>
      </c>
      <c r="E9" s="4">
        <v>4360</v>
      </c>
      <c r="F9" s="5">
        <v>10</v>
      </c>
      <c r="G9" s="5">
        <v>0</v>
      </c>
      <c r="H9" s="5">
        <v>420.12</v>
      </c>
      <c r="I9" s="5">
        <v>1200</v>
      </c>
      <c r="J9" s="3">
        <v>1260</v>
      </c>
      <c r="K9" s="4">
        <v>1260</v>
      </c>
      <c r="L9" s="4">
        <v>1260</v>
      </c>
      <c r="M9" s="4">
        <v>1260</v>
      </c>
      <c r="N9" s="5" t="s">
        <v>19</v>
      </c>
      <c r="O9" s="5" t="s">
        <v>19</v>
      </c>
      <c r="P9" s="4">
        <v>1260</v>
      </c>
      <c r="Q9" s="6"/>
    </row>
    <row r="10" spans="1:17" x14ac:dyDescent="0.3">
      <c r="A10" s="4">
        <v>3</v>
      </c>
      <c r="B10" s="4">
        <v>2195</v>
      </c>
      <c r="C10" s="4">
        <v>98814</v>
      </c>
      <c r="D10" s="4">
        <v>120</v>
      </c>
      <c r="E10" s="4">
        <v>3200</v>
      </c>
      <c r="F10" s="5">
        <v>10</v>
      </c>
      <c r="G10" s="5">
        <v>163</v>
      </c>
      <c r="H10" s="5">
        <v>304.8</v>
      </c>
      <c r="I10" s="5">
        <v>1200</v>
      </c>
      <c r="J10" s="3">
        <v>1300</v>
      </c>
      <c r="K10" s="4">
        <v>323</v>
      </c>
      <c r="L10" s="4" t="s">
        <v>19</v>
      </c>
      <c r="M10" s="4" t="s">
        <v>19</v>
      </c>
      <c r="N10" s="5" t="s">
        <v>19</v>
      </c>
      <c r="O10" s="4">
        <v>240</v>
      </c>
      <c r="P10" s="4">
        <v>323</v>
      </c>
      <c r="Q10" s="4"/>
    </row>
    <row r="11" spans="1:17" x14ac:dyDescent="0.3">
      <c r="A11" s="68">
        <v>4</v>
      </c>
      <c r="B11" s="68">
        <v>2122</v>
      </c>
      <c r="C11" s="7" t="s">
        <v>22</v>
      </c>
      <c r="D11" s="7">
        <v>240</v>
      </c>
      <c r="E11" s="7" t="s">
        <v>23</v>
      </c>
      <c r="F11" s="7">
        <v>5</v>
      </c>
      <c r="G11" s="7" t="s">
        <v>24</v>
      </c>
      <c r="H11" s="7">
        <v>796.5</v>
      </c>
      <c r="I11" s="7">
        <v>1200</v>
      </c>
      <c r="J11" s="3">
        <v>1309</v>
      </c>
      <c r="K11" s="7">
        <v>1300</v>
      </c>
      <c r="L11" s="7" t="s">
        <v>19</v>
      </c>
      <c r="M11" s="7" t="s">
        <v>19</v>
      </c>
      <c r="N11" s="7">
        <v>600</v>
      </c>
      <c r="O11" s="7" t="s">
        <v>19</v>
      </c>
      <c r="P11" s="7">
        <v>1309</v>
      </c>
      <c r="Q11" s="69"/>
    </row>
    <row r="12" spans="1:17" x14ac:dyDescent="0.3">
      <c r="A12" s="68"/>
      <c r="B12" s="68"/>
      <c r="C12" s="7" t="s">
        <v>20</v>
      </c>
      <c r="D12" s="7">
        <v>17</v>
      </c>
      <c r="E12" s="7">
        <v>3660</v>
      </c>
      <c r="F12" s="7">
        <v>146</v>
      </c>
      <c r="G12" s="7">
        <v>74</v>
      </c>
      <c r="H12" s="7">
        <v>20.059999999999999</v>
      </c>
      <c r="I12" s="7">
        <v>2400</v>
      </c>
      <c r="J12" s="3">
        <v>2200</v>
      </c>
      <c r="K12" s="7" t="s">
        <v>19</v>
      </c>
      <c r="L12" s="7" t="s">
        <v>19</v>
      </c>
      <c r="M12" s="7" t="s">
        <v>19</v>
      </c>
      <c r="N12" s="7">
        <v>2200</v>
      </c>
      <c r="O12" s="7" t="s">
        <v>19</v>
      </c>
      <c r="P12" s="7">
        <v>2200</v>
      </c>
      <c r="Q12" s="70"/>
    </row>
    <row r="13" spans="1:17" x14ac:dyDescent="0.3">
      <c r="A13" s="68"/>
      <c r="B13" s="68"/>
      <c r="C13" s="7" t="s">
        <v>25</v>
      </c>
      <c r="D13" s="7">
        <v>100</v>
      </c>
      <c r="E13" s="7">
        <v>3664</v>
      </c>
      <c r="F13" s="7">
        <v>12</v>
      </c>
      <c r="G13" s="7">
        <v>193</v>
      </c>
      <c r="H13" s="7">
        <v>292.10000000000002</v>
      </c>
      <c r="I13" s="7">
        <v>1200</v>
      </c>
      <c r="J13" s="3">
        <v>574</v>
      </c>
      <c r="K13" s="7">
        <v>300</v>
      </c>
      <c r="L13" s="7" t="s">
        <v>19</v>
      </c>
      <c r="M13" s="7" t="s">
        <v>19</v>
      </c>
      <c r="N13" s="7">
        <v>300</v>
      </c>
      <c r="O13" s="7" t="s">
        <v>19</v>
      </c>
      <c r="P13" s="7">
        <v>574</v>
      </c>
      <c r="Q13" s="71"/>
    </row>
    <row r="14" spans="1:17" x14ac:dyDescent="0.3">
      <c r="A14" s="58">
        <v>5</v>
      </c>
      <c r="B14" s="58">
        <v>2123</v>
      </c>
      <c r="C14" s="8" t="s">
        <v>26</v>
      </c>
      <c r="D14" s="8">
        <v>120</v>
      </c>
      <c r="E14" s="8">
        <v>4260</v>
      </c>
      <c r="F14" s="8">
        <v>10</v>
      </c>
      <c r="G14" s="8">
        <v>134</v>
      </c>
      <c r="H14" s="8">
        <v>418.2</v>
      </c>
      <c r="I14" s="58">
        <v>1200</v>
      </c>
      <c r="J14" s="3">
        <v>600</v>
      </c>
      <c r="K14" s="8">
        <v>600</v>
      </c>
      <c r="L14" s="8" t="s">
        <v>19</v>
      </c>
      <c r="M14" s="8" t="s">
        <v>19</v>
      </c>
      <c r="N14" s="8">
        <v>309</v>
      </c>
      <c r="O14" s="8">
        <v>170</v>
      </c>
      <c r="P14" s="8">
        <v>600</v>
      </c>
      <c r="Q14" s="58"/>
    </row>
    <row r="15" spans="1:17" x14ac:dyDescent="0.3">
      <c r="A15" s="59"/>
      <c r="B15" s="59"/>
      <c r="C15" s="8" t="s">
        <v>27</v>
      </c>
      <c r="D15" s="8">
        <v>120</v>
      </c>
      <c r="E15" s="8">
        <v>4400</v>
      </c>
      <c r="F15" s="8">
        <v>10</v>
      </c>
      <c r="G15" s="8">
        <v>137</v>
      </c>
      <c r="H15" s="8">
        <v>428.75</v>
      </c>
      <c r="I15" s="59"/>
      <c r="J15" s="3">
        <v>600</v>
      </c>
      <c r="K15" s="8">
        <v>220</v>
      </c>
      <c r="L15" s="8" t="s">
        <v>19</v>
      </c>
      <c r="M15" s="8" t="s">
        <v>19</v>
      </c>
      <c r="N15" s="8">
        <v>220</v>
      </c>
      <c r="O15" s="8">
        <v>220</v>
      </c>
      <c r="P15" s="8">
        <v>600</v>
      </c>
      <c r="Q15" s="59"/>
    </row>
    <row r="16" spans="1:17" x14ac:dyDescent="0.3">
      <c r="A16" s="59"/>
      <c r="B16" s="59"/>
      <c r="C16" s="8" t="s">
        <v>28</v>
      </c>
      <c r="D16" s="8">
        <v>55</v>
      </c>
      <c r="E16" s="8">
        <v>3576</v>
      </c>
      <c r="F16" s="8">
        <v>22</v>
      </c>
      <c r="G16" s="8">
        <v>88</v>
      </c>
      <c r="H16" s="8">
        <v>152.4</v>
      </c>
      <c r="I16" s="59"/>
      <c r="J16" s="3">
        <v>1200</v>
      </c>
      <c r="K16" s="8">
        <v>200</v>
      </c>
      <c r="L16" s="8" t="s">
        <v>19</v>
      </c>
      <c r="M16" s="8" t="s">
        <v>19</v>
      </c>
      <c r="N16" s="8">
        <v>200</v>
      </c>
      <c r="O16" s="8" t="s">
        <v>19</v>
      </c>
      <c r="P16" s="8">
        <v>1200</v>
      </c>
      <c r="Q16" s="59"/>
    </row>
    <row r="17" spans="1:17" x14ac:dyDescent="0.3">
      <c r="A17" s="59"/>
      <c r="B17" s="59"/>
      <c r="C17" s="8" t="s">
        <v>29</v>
      </c>
      <c r="D17" s="8">
        <v>36</v>
      </c>
      <c r="E17" s="8">
        <v>3660</v>
      </c>
      <c r="F17" s="8">
        <v>32</v>
      </c>
      <c r="G17" s="8">
        <v>94</v>
      </c>
      <c r="H17" s="8">
        <v>105.03</v>
      </c>
      <c r="I17" s="60"/>
      <c r="J17" s="3">
        <v>1000</v>
      </c>
      <c r="K17" s="8">
        <v>1000</v>
      </c>
      <c r="L17" s="8" t="s">
        <v>19</v>
      </c>
      <c r="M17" s="8" t="s">
        <v>19</v>
      </c>
      <c r="N17" s="8">
        <v>1000</v>
      </c>
      <c r="O17" s="8" t="s">
        <v>19</v>
      </c>
      <c r="P17" s="8">
        <v>1000</v>
      </c>
      <c r="Q17" s="59"/>
    </row>
    <row r="18" spans="1:17" x14ac:dyDescent="0.3">
      <c r="A18" s="60"/>
      <c r="B18" s="60"/>
      <c r="C18" s="8" t="s">
        <v>20</v>
      </c>
      <c r="D18" s="8">
        <v>10</v>
      </c>
      <c r="E18" s="8">
        <v>3660</v>
      </c>
      <c r="F18" s="8">
        <v>228</v>
      </c>
      <c r="G18" s="8">
        <v>74</v>
      </c>
      <c r="H18" s="8">
        <v>11.05</v>
      </c>
      <c r="I18" s="8">
        <v>2400</v>
      </c>
      <c r="J18" s="3">
        <v>2400</v>
      </c>
      <c r="K18" s="8" t="s">
        <v>19</v>
      </c>
      <c r="L18" s="8" t="s">
        <v>19</v>
      </c>
      <c r="M18" s="8" t="s">
        <v>19</v>
      </c>
      <c r="N18" s="8">
        <v>2400</v>
      </c>
      <c r="O18" s="8" t="s">
        <v>19</v>
      </c>
      <c r="P18" s="8">
        <v>2400</v>
      </c>
      <c r="Q18" s="60"/>
    </row>
  </sheetData>
  <mergeCells count="12">
    <mergeCell ref="A14:A18"/>
    <mergeCell ref="B14:B18"/>
    <mergeCell ref="I14:I17"/>
    <mergeCell ref="Q14:Q18"/>
    <mergeCell ref="A4:Q4"/>
    <mergeCell ref="A6:A8"/>
    <mergeCell ref="B6:B8"/>
    <mergeCell ref="I6:I8"/>
    <mergeCell ref="Q6:Q8"/>
    <mergeCell ref="A11:A13"/>
    <mergeCell ref="B11:B13"/>
    <mergeCell ref="Q11:Q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4:Q18"/>
  <sheetViews>
    <sheetView workbookViewId="0">
      <selection activeCell="I22" sqref="I22"/>
    </sheetView>
  </sheetViews>
  <sheetFormatPr defaultRowHeight="14.4" x14ac:dyDescent="0.3"/>
  <cols>
    <col min="3" max="3" width="13" customWidth="1"/>
  </cols>
  <sheetData>
    <row r="4" spans="1:17" ht="25.8" x14ac:dyDescent="0.3">
      <c r="A4" s="61" t="s">
        <v>156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</row>
    <row r="5" spans="1:17" ht="57.6" x14ac:dyDescent="0.3">
      <c r="A5" s="1" t="s">
        <v>0</v>
      </c>
      <c r="B5" s="1" t="s">
        <v>1</v>
      </c>
      <c r="C5" s="1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</row>
    <row r="6" spans="1:17" x14ac:dyDescent="0.3">
      <c r="A6" s="64">
        <v>1</v>
      </c>
      <c r="B6" s="64">
        <v>2191</v>
      </c>
      <c r="C6" s="3" t="s">
        <v>17</v>
      </c>
      <c r="D6" s="3">
        <v>29</v>
      </c>
      <c r="E6" s="3" t="s">
        <v>18</v>
      </c>
      <c r="F6" s="3">
        <v>41</v>
      </c>
      <c r="G6" s="3">
        <v>90</v>
      </c>
      <c r="H6" s="3">
        <v>76.2</v>
      </c>
      <c r="I6" s="67">
        <v>1200</v>
      </c>
      <c r="J6" s="3">
        <v>500</v>
      </c>
      <c r="K6" s="3" t="s">
        <v>19</v>
      </c>
      <c r="L6" s="3" t="s">
        <v>19</v>
      </c>
      <c r="M6" s="3" t="s">
        <v>19</v>
      </c>
      <c r="N6" s="3">
        <v>500</v>
      </c>
      <c r="O6" s="3" t="s">
        <v>19</v>
      </c>
      <c r="P6" s="3">
        <v>500</v>
      </c>
      <c r="Q6" s="67"/>
    </row>
    <row r="7" spans="1:17" x14ac:dyDescent="0.3">
      <c r="A7" s="65"/>
      <c r="B7" s="65"/>
      <c r="C7" s="3" t="s">
        <v>20</v>
      </c>
      <c r="D7" s="3">
        <v>22</v>
      </c>
      <c r="E7" s="3">
        <v>3660</v>
      </c>
      <c r="F7" s="3">
        <v>53</v>
      </c>
      <c r="G7" s="3">
        <v>74</v>
      </c>
      <c r="H7" s="3">
        <v>63.5</v>
      </c>
      <c r="I7" s="67"/>
      <c r="J7" s="3">
        <v>1120</v>
      </c>
      <c r="K7" s="3" t="s">
        <v>19</v>
      </c>
      <c r="L7" s="3" t="s">
        <v>19</v>
      </c>
      <c r="M7" s="3" t="s">
        <v>19</v>
      </c>
      <c r="N7" s="3">
        <v>1120</v>
      </c>
      <c r="O7" s="3" t="s">
        <v>19</v>
      </c>
      <c r="P7" s="3">
        <v>1120</v>
      </c>
      <c r="Q7" s="67"/>
    </row>
    <row r="8" spans="1:17" x14ac:dyDescent="0.3">
      <c r="A8" s="66"/>
      <c r="B8" s="66"/>
      <c r="C8" s="3" t="s">
        <v>21</v>
      </c>
      <c r="D8" s="3">
        <v>120</v>
      </c>
      <c r="E8" s="3">
        <v>4360</v>
      </c>
      <c r="F8" s="3">
        <v>10</v>
      </c>
      <c r="G8" s="3">
        <v>126</v>
      </c>
      <c r="H8" s="3">
        <v>406.4</v>
      </c>
      <c r="I8" s="67"/>
      <c r="J8" s="3">
        <v>1240</v>
      </c>
      <c r="K8" s="3" t="s">
        <v>19</v>
      </c>
      <c r="L8" s="3">
        <v>500</v>
      </c>
      <c r="M8" s="3">
        <v>500</v>
      </c>
      <c r="N8" s="3">
        <v>500</v>
      </c>
      <c r="O8" s="3" t="s">
        <v>19</v>
      </c>
      <c r="P8" s="3">
        <v>1240</v>
      </c>
      <c r="Q8" s="67"/>
    </row>
    <row r="9" spans="1:17" x14ac:dyDescent="0.3">
      <c r="A9" s="4">
        <v>2</v>
      </c>
      <c r="B9" s="4">
        <v>2192</v>
      </c>
      <c r="C9" s="4">
        <v>98815</v>
      </c>
      <c r="D9" s="4">
        <v>120</v>
      </c>
      <c r="E9" s="4">
        <v>4360</v>
      </c>
      <c r="F9" s="5">
        <v>10</v>
      </c>
      <c r="G9" s="5">
        <v>0</v>
      </c>
      <c r="H9" s="5">
        <v>420.12</v>
      </c>
      <c r="I9" s="5">
        <v>1200</v>
      </c>
      <c r="J9" s="3">
        <v>1260</v>
      </c>
      <c r="K9" s="4">
        <v>1260</v>
      </c>
      <c r="L9" s="4">
        <v>1260</v>
      </c>
      <c r="M9" s="4">
        <v>1260</v>
      </c>
      <c r="N9" s="5" t="s">
        <v>19</v>
      </c>
      <c r="O9" s="5" t="s">
        <v>19</v>
      </c>
      <c r="P9" s="4">
        <v>1260</v>
      </c>
      <c r="Q9" s="6"/>
    </row>
    <row r="10" spans="1:17" x14ac:dyDescent="0.3">
      <c r="A10" s="4">
        <v>3</v>
      </c>
      <c r="B10" s="4">
        <v>2195</v>
      </c>
      <c r="C10" s="4">
        <v>98814</v>
      </c>
      <c r="D10" s="4">
        <v>120</v>
      </c>
      <c r="E10" s="4">
        <v>3200</v>
      </c>
      <c r="F10" s="5">
        <v>10</v>
      </c>
      <c r="G10" s="5">
        <v>163</v>
      </c>
      <c r="H10" s="5">
        <v>304.8</v>
      </c>
      <c r="I10" s="5">
        <v>1200</v>
      </c>
      <c r="J10" s="3">
        <v>1300</v>
      </c>
      <c r="K10" s="4">
        <v>323</v>
      </c>
      <c r="L10" s="4" t="s">
        <v>19</v>
      </c>
      <c r="M10" s="4" t="s">
        <v>19</v>
      </c>
      <c r="N10" s="5" t="s">
        <v>19</v>
      </c>
      <c r="O10" s="4">
        <v>240</v>
      </c>
      <c r="P10" s="4">
        <v>323</v>
      </c>
      <c r="Q10" s="4"/>
    </row>
    <row r="11" spans="1:17" x14ac:dyDescent="0.3">
      <c r="A11" s="68">
        <v>4</v>
      </c>
      <c r="B11" s="68">
        <v>2122</v>
      </c>
      <c r="C11" s="7" t="s">
        <v>22</v>
      </c>
      <c r="D11" s="7">
        <v>240</v>
      </c>
      <c r="E11" s="7" t="s">
        <v>23</v>
      </c>
      <c r="F11" s="7">
        <v>5</v>
      </c>
      <c r="G11" s="7" t="s">
        <v>24</v>
      </c>
      <c r="H11" s="7">
        <v>796.5</v>
      </c>
      <c r="I11" s="7">
        <v>1200</v>
      </c>
      <c r="J11" s="3">
        <v>1309</v>
      </c>
      <c r="K11" s="7">
        <v>1300</v>
      </c>
      <c r="L11" s="7" t="s">
        <v>19</v>
      </c>
      <c r="M11" s="7" t="s">
        <v>19</v>
      </c>
      <c r="N11" s="7">
        <v>600</v>
      </c>
      <c r="O11" s="7" t="s">
        <v>19</v>
      </c>
      <c r="P11" s="7">
        <v>1309</v>
      </c>
      <c r="Q11" s="69"/>
    </row>
    <row r="12" spans="1:17" x14ac:dyDescent="0.3">
      <c r="A12" s="68"/>
      <c r="B12" s="68"/>
      <c r="C12" s="7" t="s">
        <v>20</v>
      </c>
      <c r="D12" s="7">
        <v>17</v>
      </c>
      <c r="E12" s="7">
        <v>3660</v>
      </c>
      <c r="F12" s="7">
        <v>146</v>
      </c>
      <c r="G12" s="7">
        <v>74</v>
      </c>
      <c r="H12" s="7">
        <v>20.059999999999999</v>
      </c>
      <c r="I12" s="7">
        <v>2400</v>
      </c>
      <c r="J12" s="3">
        <v>2200</v>
      </c>
      <c r="K12" s="7" t="s">
        <v>19</v>
      </c>
      <c r="L12" s="7" t="s">
        <v>19</v>
      </c>
      <c r="M12" s="7" t="s">
        <v>19</v>
      </c>
      <c r="N12" s="7">
        <v>2200</v>
      </c>
      <c r="O12" s="7" t="s">
        <v>19</v>
      </c>
      <c r="P12" s="7">
        <v>2200</v>
      </c>
      <c r="Q12" s="70"/>
    </row>
    <row r="13" spans="1:17" x14ac:dyDescent="0.3">
      <c r="A13" s="68"/>
      <c r="B13" s="68"/>
      <c r="C13" s="7" t="s">
        <v>25</v>
      </c>
      <c r="D13" s="7">
        <v>100</v>
      </c>
      <c r="E13" s="7">
        <v>3664</v>
      </c>
      <c r="F13" s="7">
        <v>12</v>
      </c>
      <c r="G13" s="7">
        <v>193</v>
      </c>
      <c r="H13" s="7">
        <v>292.10000000000002</v>
      </c>
      <c r="I13" s="7">
        <v>1200</v>
      </c>
      <c r="J13" s="3">
        <v>574</v>
      </c>
      <c r="K13" s="7">
        <v>300</v>
      </c>
      <c r="L13" s="7" t="s">
        <v>19</v>
      </c>
      <c r="M13" s="7" t="s">
        <v>19</v>
      </c>
      <c r="N13" s="7">
        <v>300</v>
      </c>
      <c r="O13" s="7" t="s">
        <v>19</v>
      </c>
      <c r="P13" s="7">
        <v>574</v>
      </c>
      <c r="Q13" s="71"/>
    </row>
    <row r="14" spans="1:17" x14ac:dyDescent="0.3">
      <c r="A14" s="58">
        <v>5</v>
      </c>
      <c r="B14" s="58">
        <v>2123</v>
      </c>
      <c r="C14" s="8" t="s">
        <v>26</v>
      </c>
      <c r="D14" s="8">
        <v>120</v>
      </c>
      <c r="E14" s="8">
        <v>4260</v>
      </c>
      <c r="F14" s="8">
        <v>10</v>
      </c>
      <c r="G14" s="8">
        <v>134</v>
      </c>
      <c r="H14" s="8">
        <v>418.2</v>
      </c>
      <c r="I14" s="58">
        <v>1200</v>
      </c>
      <c r="J14" s="3">
        <v>600</v>
      </c>
      <c r="K14" s="8">
        <v>600</v>
      </c>
      <c r="L14" s="8" t="s">
        <v>19</v>
      </c>
      <c r="M14" s="8" t="s">
        <v>19</v>
      </c>
      <c r="N14" s="8">
        <v>309</v>
      </c>
      <c r="O14" s="8">
        <v>170</v>
      </c>
      <c r="P14" s="8">
        <v>600</v>
      </c>
      <c r="Q14" s="58"/>
    </row>
    <row r="15" spans="1:17" x14ac:dyDescent="0.3">
      <c r="A15" s="59"/>
      <c r="B15" s="59"/>
      <c r="C15" s="8" t="s">
        <v>27</v>
      </c>
      <c r="D15" s="8">
        <v>120</v>
      </c>
      <c r="E15" s="8">
        <v>4400</v>
      </c>
      <c r="F15" s="8">
        <v>10</v>
      </c>
      <c r="G15" s="8">
        <v>137</v>
      </c>
      <c r="H15" s="8">
        <v>428.75</v>
      </c>
      <c r="I15" s="59"/>
      <c r="J15" s="3">
        <v>600</v>
      </c>
      <c r="K15" s="8">
        <v>220</v>
      </c>
      <c r="L15" s="8" t="s">
        <v>19</v>
      </c>
      <c r="M15" s="8" t="s">
        <v>19</v>
      </c>
      <c r="N15" s="8">
        <v>220</v>
      </c>
      <c r="O15" s="8">
        <v>220</v>
      </c>
      <c r="P15" s="8">
        <v>600</v>
      </c>
      <c r="Q15" s="59"/>
    </row>
    <row r="16" spans="1:17" x14ac:dyDescent="0.3">
      <c r="A16" s="59"/>
      <c r="B16" s="59"/>
      <c r="C16" s="8" t="s">
        <v>28</v>
      </c>
      <c r="D16" s="8">
        <v>55</v>
      </c>
      <c r="E16" s="8">
        <v>3576</v>
      </c>
      <c r="F16" s="8">
        <v>22</v>
      </c>
      <c r="G16" s="8">
        <v>88</v>
      </c>
      <c r="H16" s="8">
        <v>152.4</v>
      </c>
      <c r="I16" s="59"/>
      <c r="J16" s="3">
        <v>1200</v>
      </c>
      <c r="K16" s="8">
        <v>200</v>
      </c>
      <c r="L16" s="8" t="s">
        <v>19</v>
      </c>
      <c r="M16" s="8" t="s">
        <v>19</v>
      </c>
      <c r="N16" s="8">
        <v>200</v>
      </c>
      <c r="O16" s="8" t="s">
        <v>19</v>
      </c>
      <c r="P16" s="8">
        <v>1200</v>
      </c>
      <c r="Q16" s="59"/>
    </row>
    <row r="17" spans="1:17" x14ac:dyDescent="0.3">
      <c r="A17" s="59"/>
      <c r="B17" s="59"/>
      <c r="C17" s="8" t="s">
        <v>29</v>
      </c>
      <c r="D17" s="8">
        <v>36</v>
      </c>
      <c r="E17" s="8">
        <v>3660</v>
      </c>
      <c r="F17" s="8">
        <v>32</v>
      </c>
      <c r="G17" s="8">
        <v>94</v>
      </c>
      <c r="H17" s="8">
        <v>105.03</v>
      </c>
      <c r="I17" s="60"/>
      <c r="J17" s="3">
        <v>1000</v>
      </c>
      <c r="K17" s="8">
        <v>1000</v>
      </c>
      <c r="L17" s="8" t="s">
        <v>19</v>
      </c>
      <c r="M17" s="8" t="s">
        <v>19</v>
      </c>
      <c r="N17" s="8">
        <v>1000</v>
      </c>
      <c r="O17" s="8" t="s">
        <v>19</v>
      </c>
      <c r="P17" s="8">
        <v>1000</v>
      </c>
      <c r="Q17" s="59"/>
    </row>
    <row r="18" spans="1:17" x14ac:dyDescent="0.3">
      <c r="A18" s="60"/>
      <c r="B18" s="60"/>
      <c r="C18" s="8" t="s">
        <v>20</v>
      </c>
      <c r="D18" s="8">
        <v>10</v>
      </c>
      <c r="E18" s="8">
        <v>3660</v>
      </c>
      <c r="F18" s="8">
        <v>228</v>
      </c>
      <c r="G18" s="8">
        <v>74</v>
      </c>
      <c r="H18" s="8">
        <v>11.05</v>
      </c>
      <c r="I18" s="8">
        <v>2400</v>
      </c>
      <c r="J18" s="3">
        <v>2400</v>
      </c>
      <c r="K18" s="8" t="s">
        <v>19</v>
      </c>
      <c r="L18" s="8" t="s">
        <v>19</v>
      </c>
      <c r="M18" s="8" t="s">
        <v>19</v>
      </c>
      <c r="N18" s="8">
        <v>2400</v>
      </c>
      <c r="O18" s="8" t="s">
        <v>19</v>
      </c>
      <c r="P18" s="8">
        <v>2400</v>
      </c>
      <c r="Q18" s="60"/>
    </row>
  </sheetData>
  <mergeCells count="12">
    <mergeCell ref="A14:A18"/>
    <mergeCell ref="B14:B18"/>
    <mergeCell ref="I14:I17"/>
    <mergeCell ref="Q14:Q18"/>
    <mergeCell ref="A4:Q4"/>
    <mergeCell ref="A6:A8"/>
    <mergeCell ref="B6:B8"/>
    <mergeCell ref="I6:I8"/>
    <mergeCell ref="Q6:Q8"/>
    <mergeCell ref="A11:A13"/>
    <mergeCell ref="B11:B13"/>
    <mergeCell ref="Q11:Q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25.12.25</vt:lpstr>
      <vt:lpstr>Sheet1</vt:lpstr>
      <vt:lpstr>C2 Gabrian Study Analysis</vt:lpstr>
      <vt:lpstr>14.02.26</vt:lpstr>
      <vt:lpstr>15.02.26..</vt:lpstr>
      <vt:lpstr>16.02.26</vt:lpstr>
      <vt:lpstr>17.02.26</vt:lpstr>
      <vt:lpstr>18.02.26</vt:lpstr>
      <vt:lpstr>19-2-26</vt:lpstr>
      <vt:lpstr>20.2.26</vt:lpstr>
      <vt:lpstr>21.02.26</vt:lpstr>
      <vt:lpstr>23.02.26</vt:lpstr>
      <vt:lpstr>24.02.26</vt:lpstr>
      <vt:lpstr>25.02.26</vt:lpstr>
      <vt:lpstr>26.2.26</vt:lpstr>
      <vt:lpstr>27.2.26</vt:lpstr>
      <vt:lpstr>28.2.26</vt:lpstr>
      <vt:lpstr>plan 28th</vt:lpstr>
      <vt:lpstr>01.3.26</vt:lpstr>
      <vt:lpstr>03.3.26</vt:lpstr>
      <vt:lpstr>plan 2nd</vt:lpstr>
      <vt:lpstr>plan 3rd</vt:lpstr>
      <vt:lpstr>05.2.26</vt:lpstr>
      <vt:lpstr>plan 5th</vt:lpstr>
      <vt:lpstr>sheet 6</vt:lpstr>
      <vt:lpstr>sheet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Baisala</dc:creator>
  <cp:lastModifiedBy>Manish</cp:lastModifiedBy>
  <dcterms:created xsi:type="dcterms:W3CDTF">2026-02-13T06:25:34Z</dcterms:created>
  <dcterms:modified xsi:type="dcterms:W3CDTF">2026-03-05T06:31:17Z</dcterms:modified>
</cp:coreProperties>
</file>