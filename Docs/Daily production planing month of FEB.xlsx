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6" documentId="11_101E3ECDC7FC51F07F57EFFE45AD0929FFC34F6B" xr6:coauthVersionLast="47" xr6:coauthVersionMax="47" xr10:uidLastSave="{1EF6B420-5302-4852-8EB6-7B27A6FD96A5}"/>
  <bookViews>
    <workbookView xWindow="1884" yWindow="1884" windowWidth="18756" windowHeight="9948" firstSheet="32" activeTab="42" xr2:uid="{00000000-000D-0000-FFFF-FFFF00000000}"/>
  </bookViews>
  <sheets>
    <sheet name="2 TO 3" sheetId="1" r:id="rId1"/>
    <sheet name="3 TO 4" sheetId="2" r:id="rId2"/>
    <sheet name="4 TO 5" sheetId="3" r:id="rId3"/>
    <sheet name="5 TO 6" sheetId="4" r:id="rId4"/>
    <sheet name="6 TO 7" sheetId="5" r:id="rId5"/>
    <sheet name="7 TO 8" sheetId="6" r:id="rId6"/>
    <sheet name="8 to 9" sheetId="7" r:id="rId7"/>
    <sheet name="9 to 10" sheetId="8" r:id="rId8"/>
    <sheet name="10 to 11" sheetId="9" r:id="rId9"/>
    <sheet name="11 to 12" sheetId="10" r:id="rId10"/>
    <sheet name="12 to 13" sheetId="11" r:id="rId11"/>
    <sheet name="13 to 14" sheetId="12" r:id="rId12"/>
    <sheet name="15 to 16" sheetId="13" r:id="rId13"/>
    <sheet name="16 TO 17" sheetId="14" r:id="rId14"/>
    <sheet name="17 TO 18" sheetId="15" r:id="rId15"/>
    <sheet name="18 TO 19" sheetId="16" r:id="rId16"/>
    <sheet name="19 TO 20" sheetId="17" r:id="rId17"/>
    <sheet name="21 TO 22" sheetId="19" r:id="rId18"/>
    <sheet name="22 TO 23" sheetId="20" r:id="rId19"/>
    <sheet name="23 TO 24" sheetId="22" r:id="rId20"/>
    <sheet name=" 24-25" sheetId="23" r:id="rId21"/>
    <sheet name=" 25-26" sheetId="24" r:id="rId22"/>
    <sheet name=" 26-27" sheetId="25" r:id="rId23"/>
    <sheet name="27-28" sheetId="26" r:id="rId24"/>
    <sheet name="28-29" sheetId="28" r:id="rId25"/>
    <sheet name="29-30" sheetId="29" r:id="rId26"/>
    <sheet name="30-31" sheetId="30" r:id="rId27"/>
    <sheet name="31-1" sheetId="31" r:id="rId28"/>
    <sheet name="01-02" sheetId="34" r:id="rId29"/>
    <sheet name="02-03" sheetId="32" r:id="rId30"/>
    <sheet name="03 TO 04" sheetId="33" r:id="rId31"/>
    <sheet name="04-05" sheetId="35" r:id="rId32"/>
    <sheet name="5-6" sheetId="36" r:id="rId33"/>
    <sheet name="6-7" sheetId="37" r:id="rId34"/>
    <sheet name="7-8" sheetId="38" r:id="rId35"/>
    <sheet name="8-9" sheetId="39" r:id="rId36"/>
    <sheet name="9-10" sheetId="40" r:id="rId37"/>
    <sheet name=" 10-11" sheetId="41" r:id="rId38"/>
    <sheet name=" 11-12" sheetId="42" r:id="rId39"/>
    <sheet name=" 12-13" sheetId="43" r:id="rId40"/>
    <sheet name="13-14" sheetId="44" r:id="rId41"/>
    <sheet name=" 14-15" sheetId="45" r:id="rId42"/>
    <sheet name="15-16" sheetId="46" r:id="rId4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" i="46" l="1"/>
  <c r="S15" i="46"/>
  <c r="T17" i="46"/>
  <c r="S17" i="46"/>
  <c r="T16" i="46"/>
  <c r="S16" i="46"/>
  <c r="T14" i="46"/>
  <c r="S14" i="46"/>
  <c r="T13" i="46"/>
  <c r="S13" i="46"/>
  <c r="T12" i="46"/>
  <c r="S12" i="46"/>
  <c r="T11" i="46"/>
  <c r="S11" i="46"/>
  <c r="T10" i="46"/>
  <c r="S10" i="46"/>
  <c r="T9" i="46"/>
  <c r="S9" i="46"/>
  <c r="T8" i="46"/>
  <c r="S8" i="46"/>
  <c r="T7" i="46"/>
  <c r="S7" i="46"/>
  <c r="R9" i="45" l="1"/>
  <c r="R10" i="45"/>
  <c r="R11" i="45"/>
  <c r="R12" i="45"/>
  <c r="R13" i="45"/>
  <c r="R14" i="45"/>
  <c r="R15" i="45"/>
  <c r="R17" i="45"/>
  <c r="R18" i="45"/>
  <c r="Q9" i="45"/>
  <c r="Q10" i="45"/>
  <c r="Q11" i="45"/>
  <c r="Q12" i="45"/>
  <c r="Q13" i="45"/>
  <c r="Q14" i="45"/>
  <c r="Q15" i="45"/>
  <c r="Q17" i="45"/>
  <c r="Q18" i="45"/>
  <c r="R8" i="45"/>
  <c r="Q8" i="45"/>
  <c r="S10" i="44" l="1"/>
  <c r="S11" i="44"/>
  <c r="S12" i="44"/>
  <c r="S13" i="44"/>
  <c r="S14" i="44"/>
  <c r="S15" i="44"/>
  <c r="S16" i="44"/>
  <c r="S17" i="44"/>
  <c r="S18" i="44"/>
  <c r="S19" i="44"/>
  <c r="S20" i="44"/>
  <c r="R10" i="44"/>
  <c r="R11" i="44"/>
  <c r="R12" i="44"/>
  <c r="R13" i="44"/>
  <c r="R14" i="44"/>
  <c r="R15" i="44"/>
  <c r="R16" i="44"/>
  <c r="R17" i="44"/>
  <c r="R18" i="44"/>
  <c r="R19" i="44"/>
  <c r="R20" i="44"/>
  <c r="S9" i="44"/>
  <c r="R9" i="44"/>
  <c r="S10" i="43" l="1"/>
  <c r="S11" i="43"/>
  <c r="S12" i="43"/>
  <c r="S13" i="43"/>
  <c r="S14" i="43"/>
  <c r="S15" i="43"/>
  <c r="S16" i="43"/>
  <c r="S17" i="43"/>
  <c r="S18" i="43"/>
  <c r="S19" i="43"/>
  <c r="R17" i="43"/>
  <c r="R18" i="43"/>
  <c r="R19" i="43"/>
  <c r="R10" i="43"/>
  <c r="R11" i="43"/>
  <c r="R12" i="43"/>
  <c r="R13" i="43"/>
  <c r="R14" i="43"/>
  <c r="R15" i="43"/>
  <c r="R16" i="43"/>
  <c r="S9" i="43"/>
  <c r="R9" i="43"/>
  <c r="R9" i="42" l="1"/>
  <c r="R10" i="42"/>
  <c r="R12" i="42"/>
  <c r="R13" i="42"/>
  <c r="R14" i="42"/>
  <c r="R15" i="42"/>
  <c r="R16" i="42"/>
  <c r="R17" i="42"/>
  <c r="R18" i="42"/>
  <c r="R19" i="42"/>
  <c r="R21" i="42"/>
  <c r="R22" i="42"/>
  <c r="S9" i="42"/>
  <c r="S10" i="42"/>
  <c r="S12" i="42"/>
  <c r="S13" i="42"/>
  <c r="S14" i="42"/>
  <c r="S15" i="42"/>
  <c r="S16" i="42"/>
  <c r="S17" i="42"/>
  <c r="S18" i="42"/>
  <c r="S19" i="42"/>
  <c r="S21" i="42"/>
  <c r="S8" i="42"/>
  <c r="R8" i="42"/>
  <c r="S22" i="42"/>
  <c r="S20" i="41" l="1"/>
  <c r="R20" i="41"/>
  <c r="S19" i="41"/>
  <c r="R19" i="41"/>
  <c r="S17" i="41" l="1"/>
  <c r="R17" i="41"/>
  <c r="R21" i="41"/>
  <c r="S21" i="41"/>
  <c r="S22" i="41"/>
  <c r="R22" i="41"/>
  <c r="S16" i="41"/>
  <c r="R16" i="41"/>
  <c r="S15" i="41"/>
  <c r="R15" i="41"/>
  <c r="S14" i="41"/>
  <c r="R14" i="41"/>
  <c r="S13" i="41"/>
  <c r="R13" i="41"/>
  <c r="S12" i="41"/>
  <c r="R12" i="41"/>
  <c r="S10" i="41"/>
  <c r="R10" i="41"/>
  <c r="S9" i="41"/>
  <c r="R9" i="41"/>
  <c r="S15" i="40" l="1"/>
  <c r="S16" i="40"/>
  <c r="S17" i="40"/>
  <c r="S18" i="40"/>
  <c r="S19" i="40"/>
  <c r="S20" i="40"/>
  <c r="S21" i="40"/>
  <c r="S22" i="40"/>
  <c r="S23" i="40"/>
  <c r="S24" i="40"/>
  <c r="S25" i="40"/>
  <c r="S26" i="40"/>
  <c r="S27" i="40"/>
  <c r="S28" i="40"/>
  <c r="S29" i="40"/>
  <c r="S30" i="40"/>
  <c r="S31" i="40"/>
  <c r="S32" i="40"/>
  <c r="S33" i="40"/>
  <c r="S34" i="40"/>
  <c r="S35" i="40"/>
  <c r="S36" i="40"/>
  <c r="S37" i="40"/>
  <c r="S38" i="40"/>
  <c r="S39" i="40"/>
  <c r="S40" i="40"/>
  <c r="R30" i="40"/>
  <c r="R31" i="40"/>
  <c r="R32" i="40"/>
  <c r="R33" i="40"/>
  <c r="R34" i="40"/>
  <c r="R35" i="40"/>
  <c r="R36" i="40"/>
  <c r="R37" i="40"/>
  <c r="R38" i="40"/>
  <c r="R39" i="40"/>
  <c r="R40" i="40"/>
  <c r="R41" i="40"/>
  <c r="R42" i="40"/>
  <c r="R14" i="40"/>
  <c r="R15" i="40"/>
  <c r="R16" i="40"/>
  <c r="R17" i="40"/>
  <c r="R18" i="40"/>
  <c r="R19" i="40"/>
  <c r="R20" i="40"/>
  <c r="S41" i="40" l="1"/>
  <c r="R29" i="40"/>
  <c r="R28" i="40" l="1"/>
  <c r="R27" i="40"/>
  <c r="R26" i="40"/>
  <c r="R25" i="40"/>
  <c r="R24" i="40"/>
  <c r="R23" i="40"/>
  <c r="R22" i="40"/>
  <c r="R21" i="40"/>
  <c r="S14" i="40"/>
  <c r="S13" i="40"/>
  <c r="R13" i="40"/>
  <c r="S12" i="40"/>
  <c r="R12" i="40"/>
  <c r="S11" i="40"/>
  <c r="R11" i="40"/>
  <c r="S10" i="40"/>
  <c r="R10" i="40"/>
  <c r="S9" i="40"/>
  <c r="R9" i="40"/>
  <c r="S15" i="39" l="1"/>
  <c r="R15" i="39"/>
  <c r="S35" i="39"/>
  <c r="R35" i="39"/>
  <c r="S34" i="39"/>
  <c r="R34" i="39"/>
  <c r="S33" i="39"/>
  <c r="R33" i="39"/>
  <c r="S32" i="39"/>
  <c r="R32" i="39"/>
  <c r="S31" i="39"/>
  <c r="R31" i="39"/>
  <c r="S30" i="39"/>
  <c r="R30" i="39"/>
  <c r="S29" i="39"/>
  <c r="R29" i="39"/>
  <c r="S28" i="39"/>
  <c r="R28" i="39"/>
  <c r="S27" i="39"/>
  <c r="R27" i="39"/>
  <c r="S26" i="39"/>
  <c r="R26" i="39"/>
  <c r="S25" i="39"/>
  <c r="R25" i="39"/>
  <c r="S24" i="39"/>
  <c r="R24" i="39"/>
  <c r="S23" i="39"/>
  <c r="R23" i="39"/>
  <c r="S22" i="39"/>
  <c r="R22" i="39"/>
  <c r="S21" i="39"/>
  <c r="R21" i="39"/>
  <c r="S20" i="39"/>
  <c r="R20" i="39"/>
  <c r="S19" i="39"/>
  <c r="R19" i="39"/>
  <c r="S18" i="39"/>
  <c r="R18" i="39"/>
  <c r="S17" i="39"/>
  <c r="R17" i="39"/>
  <c r="S16" i="39"/>
  <c r="R16" i="39"/>
  <c r="S14" i="39"/>
  <c r="R14" i="39"/>
  <c r="S13" i="39"/>
  <c r="R13" i="39"/>
  <c r="S12" i="39"/>
  <c r="R12" i="39"/>
  <c r="S11" i="39"/>
  <c r="R11" i="39"/>
  <c r="S10" i="39"/>
  <c r="R10" i="39"/>
  <c r="S9" i="39"/>
  <c r="R9" i="39"/>
  <c r="S10" i="38" l="1"/>
  <c r="S11" i="38"/>
  <c r="S12" i="38"/>
  <c r="S13" i="38"/>
  <c r="S15" i="38"/>
  <c r="S16" i="38"/>
  <c r="S17" i="38"/>
  <c r="S18" i="38"/>
  <c r="S19" i="38"/>
  <c r="S20" i="38"/>
  <c r="S21" i="38"/>
  <c r="S22" i="38"/>
  <c r="S23" i="38"/>
  <c r="S24" i="38"/>
  <c r="S25" i="38"/>
  <c r="S26" i="38"/>
  <c r="S27" i="38"/>
  <c r="S28" i="38"/>
  <c r="S29" i="38"/>
  <c r="S30" i="38"/>
  <c r="S31" i="38"/>
  <c r="S32" i="38"/>
  <c r="S33" i="38"/>
  <c r="S34" i="38"/>
  <c r="S35" i="38"/>
  <c r="T10" i="38"/>
  <c r="T11" i="38"/>
  <c r="T12" i="38"/>
  <c r="T13" i="38"/>
  <c r="T15" i="38"/>
  <c r="T16" i="38"/>
  <c r="T17" i="38"/>
  <c r="T18" i="38"/>
  <c r="T19" i="38"/>
  <c r="T20" i="38"/>
  <c r="T21" i="38"/>
  <c r="T22" i="38"/>
  <c r="T23" i="38"/>
  <c r="T24" i="38"/>
  <c r="T25" i="38"/>
  <c r="T26" i="38"/>
  <c r="T27" i="38"/>
  <c r="T28" i="38"/>
  <c r="T29" i="38"/>
  <c r="T30" i="38"/>
  <c r="T31" i="38"/>
  <c r="T32" i="38"/>
  <c r="T33" i="38"/>
  <c r="T34" i="38"/>
  <c r="T35" i="38"/>
  <c r="T9" i="38" l="1"/>
  <c r="S9" i="38"/>
  <c r="S27" i="37"/>
  <c r="S28" i="37"/>
  <c r="S29" i="37"/>
  <c r="S30" i="37"/>
  <c r="S9" i="37"/>
  <c r="S10" i="37"/>
  <c r="S11" i="37"/>
  <c r="S12" i="37"/>
  <c r="S13" i="37"/>
  <c r="S14" i="37"/>
  <c r="S15" i="37"/>
  <c r="S16" i="37"/>
  <c r="S17" i="37"/>
  <c r="S18" i="37"/>
  <c r="S19" i="37"/>
  <c r="S20" i="37"/>
  <c r="S21" i="37"/>
  <c r="S22" i="37"/>
  <c r="S23" i="37"/>
  <c r="S24" i="37"/>
  <c r="S25" i="37"/>
  <c r="S26" i="37"/>
  <c r="R9" i="37"/>
  <c r="R10" i="37"/>
  <c r="R11" i="37"/>
  <c r="R12" i="37"/>
  <c r="R13" i="37"/>
  <c r="R14" i="37"/>
  <c r="R15" i="37"/>
  <c r="R16" i="37"/>
  <c r="R17" i="37"/>
  <c r="R18" i="37"/>
  <c r="R19" i="37"/>
  <c r="R20" i="37"/>
  <c r="R21" i="37"/>
  <c r="R22" i="37"/>
  <c r="R23" i="37"/>
  <c r="R24" i="37"/>
  <c r="R25" i="37"/>
  <c r="R26" i="37"/>
  <c r="R27" i="37"/>
  <c r="R28" i="37"/>
  <c r="R29" i="37"/>
  <c r="R30" i="37"/>
  <c r="S8" i="37" l="1"/>
  <c r="R8" i="37"/>
  <c r="T8" i="36" l="1"/>
  <c r="T9" i="36"/>
  <c r="T10" i="36"/>
  <c r="T11" i="36"/>
  <c r="T12" i="36"/>
  <c r="T13" i="36"/>
  <c r="T14" i="36"/>
  <c r="T15" i="36"/>
  <c r="T16" i="36"/>
  <c r="T17" i="36"/>
  <c r="T18" i="36"/>
  <c r="T19" i="36"/>
  <c r="T20" i="36"/>
  <c r="T21" i="36"/>
  <c r="T22" i="36"/>
  <c r="T23" i="36"/>
  <c r="S8" i="36"/>
  <c r="S9" i="36"/>
  <c r="S10" i="36"/>
  <c r="S11" i="36"/>
  <c r="S12" i="36"/>
  <c r="S13" i="36"/>
  <c r="S14" i="36"/>
  <c r="S15" i="36"/>
  <c r="S16" i="36"/>
  <c r="S17" i="36"/>
  <c r="S18" i="36"/>
  <c r="S19" i="36"/>
  <c r="S20" i="36"/>
  <c r="S21" i="36"/>
  <c r="S22" i="36"/>
  <c r="S23" i="36"/>
  <c r="T7" i="36" l="1"/>
  <c r="S7" i="36"/>
  <c r="U8" i="35" l="1"/>
  <c r="U9" i="35"/>
  <c r="U10" i="35"/>
  <c r="U11" i="35"/>
  <c r="U12" i="35"/>
  <c r="U13" i="35"/>
  <c r="U14" i="35"/>
  <c r="U15" i="35"/>
  <c r="U16" i="35"/>
  <c r="U17" i="35"/>
  <c r="U18" i="35"/>
  <c r="T8" i="35"/>
  <c r="T9" i="35"/>
  <c r="T10" i="35"/>
  <c r="T11" i="35"/>
  <c r="T12" i="35"/>
  <c r="T13" i="35"/>
  <c r="T14" i="35"/>
  <c r="T15" i="35"/>
  <c r="T16" i="35"/>
  <c r="T17" i="35"/>
  <c r="T18" i="35"/>
  <c r="U7" i="35" l="1"/>
  <c r="T7" i="35"/>
  <c r="S9" i="33" l="1"/>
  <c r="S10" i="33"/>
  <c r="S12" i="33"/>
  <c r="S13" i="33"/>
  <c r="S14" i="33"/>
  <c r="S15" i="33"/>
  <c r="S16" i="33"/>
  <c r="S17" i="33"/>
  <c r="S18" i="33"/>
  <c r="S19" i="33"/>
  <c r="S20" i="33"/>
  <c r="R9" i="33"/>
  <c r="R10" i="33"/>
  <c r="R12" i="33"/>
  <c r="R13" i="33"/>
  <c r="R14" i="33"/>
  <c r="R15" i="33"/>
  <c r="R16" i="33"/>
  <c r="R17" i="33"/>
  <c r="R18" i="33"/>
  <c r="R19" i="33"/>
  <c r="R20" i="33"/>
  <c r="S10" i="34" l="1"/>
  <c r="S11" i="34"/>
  <c r="S12" i="34"/>
  <c r="S13" i="34"/>
  <c r="S14" i="34"/>
  <c r="S15" i="34"/>
  <c r="S16" i="34"/>
  <c r="S17" i="34"/>
  <c r="S18" i="34"/>
  <c r="S19" i="34"/>
  <c r="S20" i="34"/>
  <c r="S21" i="34"/>
  <c r="S22" i="34"/>
  <c r="S23" i="34"/>
  <c r="R10" i="34"/>
  <c r="R11" i="34"/>
  <c r="R12" i="34"/>
  <c r="R13" i="34"/>
  <c r="R14" i="34"/>
  <c r="R15" i="34"/>
  <c r="R16" i="34"/>
  <c r="R17" i="34"/>
  <c r="R18" i="34"/>
  <c r="R19" i="34"/>
  <c r="R20" i="34"/>
  <c r="R21" i="34"/>
  <c r="R22" i="34"/>
  <c r="R23" i="34"/>
  <c r="S9" i="34"/>
  <c r="R9" i="34"/>
  <c r="S8" i="33" l="1"/>
  <c r="R8" i="33"/>
  <c r="S9" i="32" l="1"/>
  <c r="S11" i="32"/>
  <c r="S12" i="32"/>
  <c r="S13" i="32"/>
  <c r="S14" i="32"/>
  <c r="S15" i="32"/>
  <c r="S16" i="32"/>
  <c r="S17" i="32"/>
  <c r="S18" i="32"/>
  <c r="S19" i="32"/>
  <c r="R9" i="32"/>
  <c r="R11" i="32"/>
  <c r="R12" i="32"/>
  <c r="R13" i="32"/>
  <c r="R14" i="32"/>
  <c r="R15" i="32"/>
  <c r="R16" i="32"/>
  <c r="R17" i="32"/>
  <c r="R18" i="32"/>
  <c r="R19" i="32"/>
  <c r="S8" i="32"/>
  <c r="R8" i="32"/>
  <c r="S24" i="31" l="1"/>
  <c r="R24" i="31"/>
  <c r="S23" i="31"/>
  <c r="R23" i="31"/>
  <c r="S22" i="31"/>
  <c r="R22" i="31"/>
  <c r="S21" i="31"/>
  <c r="R21" i="31"/>
  <c r="S20" i="31"/>
  <c r="R20" i="31"/>
  <c r="S18" i="31"/>
  <c r="R18" i="31"/>
  <c r="S15" i="31"/>
  <c r="R15" i="31"/>
  <c r="S14" i="31"/>
  <c r="R14" i="31"/>
  <c r="S13" i="31"/>
  <c r="R13" i="31"/>
  <c r="S11" i="31"/>
  <c r="R11" i="31"/>
  <c r="S10" i="31"/>
  <c r="R10" i="31"/>
  <c r="S9" i="31"/>
  <c r="R9" i="31"/>
  <c r="S15" i="30" l="1"/>
  <c r="R15" i="30"/>
  <c r="S21" i="30" l="1"/>
  <c r="R21" i="30"/>
  <c r="S20" i="30"/>
  <c r="R20" i="30"/>
  <c r="S19" i="30"/>
  <c r="R19" i="30"/>
  <c r="S18" i="30"/>
  <c r="R18" i="30"/>
  <c r="S17" i="30"/>
  <c r="R17" i="30"/>
  <c r="S16" i="30"/>
  <c r="R16" i="30"/>
  <c r="S14" i="30"/>
  <c r="R14" i="30"/>
  <c r="S13" i="30"/>
  <c r="R13" i="30"/>
  <c r="S11" i="30"/>
  <c r="R11" i="30"/>
  <c r="S10" i="30"/>
  <c r="R10" i="30"/>
  <c r="S9" i="30"/>
  <c r="R9" i="30"/>
  <c r="S13" i="29"/>
  <c r="R13" i="29"/>
  <c r="S21" i="28" l="1"/>
  <c r="R21" i="28"/>
  <c r="S16" i="28"/>
  <c r="R16" i="28"/>
  <c r="S19" i="29" l="1"/>
  <c r="R19" i="29"/>
  <c r="S16" i="29"/>
  <c r="R16" i="29"/>
  <c r="S21" i="29"/>
  <c r="R21" i="29"/>
  <c r="S20" i="29"/>
  <c r="R20" i="29"/>
  <c r="S18" i="29"/>
  <c r="R18" i="29"/>
  <c r="S17" i="29"/>
  <c r="R17" i="29"/>
  <c r="S15" i="29"/>
  <c r="R15" i="29"/>
  <c r="S14" i="29"/>
  <c r="R14" i="29"/>
  <c r="S12" i="29"/>
  <c r="R12" i="29"/>
  <c r="S11" i="29"/>
  <c r="R11" i="29"/>
  <c r="S10" i="29"/>
  <c r="R10" i="29"/>
  <c r="S9" i="29"/>
  <c r="R9" i="29"/>
  <c r="S10" i="28" l="1"/>
  <c r="S11" i="28"/>
  <c r="S12" i="28"/>
  <c r="S13" i="28"/>
  <c r="S14" i="28"/>
  <c r="S15" i="28"/>
  <c r="S17" i="28"/>
  <c r="S18" i="28"/>
  <c r="S19" i="28"/>
  <c r="S20" i="28"/>
  <c r="S22" i="28"/>
  <c r="S23" i="28"/>
  <c r="R10" i="28"/>
  <c r="R11" i="28"/>
  <c r="R12" i="28"/>
  <c r="R13" i="28"/>
  <c r="R14" i="28"/>
  <c r="R15" i="28"/>
  <c r="R17" i="28"/>
  <c r="R18" i="28"/>
  <c r="R19" i="28"/>
  <c r="R20" i="28"/>
  <c r="R22" i="28"/>
  <c r="R23" i="28"/>
  <c r="S9" i="28"/>
  <c r="R9" i="28"/>
  <c r="S20" i="26"/>
  <c r="R20" i="26"/>
  <c r="S18" i="26"/>
  <c r="R18" i="26"/>
  <c r="S14" i="26" l="1"/>
  <c r="R14" i="26"/>
  <c r="S17" i="26"/>
  <c r="R17" i="26"/>
  <c r="S22" i="26" l="1"/>
  <c r="R22" i="26"/>
  <c r="S21" i="26"/>
  <c r="R21" i="26"/>
  <c r="S19" i="26"/>
  <c r="R19" i="26"/>
  <c r="S16" i="26"/>
  <c r="R16" i="26"/>
  <c r="S15" i="26"/>
  <c r="R15" i="26"/>
  <c r="S13" i="26"/>
  <c r="R13" i="26"/>
  <c r="S12" i="26"/>
  <c r="R12" i="26"/>
  <c r="S11" i="26"/>
  <c r="R11" i="26"/>
  <c r="S10" i="26"/>
  <c r="R10" i="26"/>
  <c r="S9" i="26"/>
  <c r="R9" i="26"/>
  <c r="S10" i="25" l="1"/>
  <c r="S11" i="25"/>
  <c r="S12" i="25"/>
  <c r="R10" i="25"/>
  <c r="S19" i="25"/>
  <c r="R19" i="25"/>
  <c r="S18" i="25"/>
  <c r="R18" i="25"/>
  <c r="S17" i="25"/>
  <c r="R17" i="25"/>
  <c r="S16" i="25"/>
  <c r="R16" i="25"/>
  <c r="S15" i="25"/>
  <c r="R15" i="25"/>
  <c r="S14" i="25"/>
  <c r="R14" i="25"/>
  <c r="S13" i="25"/>
  <c r="R13" i="25"/>
  <c r="R12" i="25"/>
  <c r="R11" i="25"/>
  <c r="S9" i="25"/>
  <c r="R9" i="25"/>
  <c r="U17" i="24" l="1"/>
  <c r="T17" i="24"/>
  <c r="U16" i="24"/>
  <c r="T16" i="24"/>
  <c r="U15" i="24"/>
  <c r="T15" i="24"/>
  <c r="U14" i="24"/>
  <c r="T14" i="24"/>
  <c r="U13" i="24"/>
  <c r="T13" i="24"/>
  <c r="U12" i="24"/>
  <c r="T12" i="24"/>
  <c r="U11" i="24"/>
  <c r="T11" i="24"/>
  <c r="U10" i="24"/>
  <c r="T10" i="24"/>
  <c r="U9" i="24"/>
  <c r="T9" i="24"/>
  <c r="U8" i="24"/>
  <c r="T8" i="24"/>
  <c r="U15" i="23" l="1"/>
  <c r="T15" i="23"/>
  <c r="U18" i="23"/>
  <c r="T18" i="23"/>
  <c r="U17" i="23"/>
  <c r="T17" i="23"/>
  <c r="U16" i="23"/>
  <c r="T16" i="23"/>
  <c r="U14" i="23"/>
  <c r="T14" i="23"/>
  <c r="U13" i="23"/>
  <c r="T13" i="23"/>
  <c r="U12" i="23"/>
  <c r="T12" i="23"/>
  <c r="U11" i="23"/>
  <c r="T11" i="23"/>
  <c r="U10" i="23"/>
  <c r="T10" i="23"/>
  <c r="U9" i="23"/>
  <c r="T9" i="23"/>
  <c r="U8" i="23"/>
  <c r="T8" i="23"/>
  <c r="S14" i="22"/>
  <c r="R14" i="22"/>
  <c r="S17" i="22" l="1"/>
  <c r="R17" i="22"/>
  <c r="S16" i="22"/>
  <c r="R16" i="22"/>
  <c r="S15" i="22"/>
  <c r="R15" i="22"/>
  <c r="S13" i="22"/>
  <c r="R13" i="22"/>
  <c r="S12" i="22"/>
  <c r="R12" i="22"/>
  <c r="S11" i="22"/>
  <c r="R11" i="22"/>
  <c r="S10" i="22"/>
  <c r="R10" i="22"/>
  <c r="S9" i="22"/>
  <c r="R9" i="22"/>
  <c r="S8" i="22"/>
  <c r="R8" i="22"/>
  <c r="R19" i="20"/>
  <c r="R18" i="20"/>
  <c r="R12" i="20"/>
  <c r="S12" i="20"/>
  <c r="R13" i="20" l="1"/>
  <c r="S13" i="20"/>
  <c r="S19" i="20" l="1"/>
  <c r="S18" i="20"/>
  <c r="S21" i="20" l="1"/>
  <c r="R21" i="20"/>
  <c r="S20" i="20"/>
  <c r="R20" i="20"/>
  <c r="S17" i="20"/>
  <c r="R17" i="20"/>
  <c r="S15" i="20"/>
  <c r="R15" i="20"/>
  <c r="S14" i="20"/>
  <c r="R14" i="20"/>
  <c r="S11" i="20"/>
  <c r="R11" i="20"/>
  <c r="S10" i="20"/>
  <c r="R10" i="20"/>
  <c r="S9" i="20"/>
  <c r="R9" i="20"/>
  <c r="S8" i="20"/>
  <c r="R8" i="20"/>
  <c r="S16" i="19"/>
  <c r="R16" i="19"/>
  <c r="S9" i="19" l="1"/>
  <c r="S10" i="19"/>
  <c r="S11" i="19"/>
  <c r="S12" i="19"/>
  <c r="S13" i="19"/>
  <c r="S14" i="19"/>
  <c r="S15" i="19"/>
  <c r="S17" i="19"/>
  <c r="S18" i="19"/>
  <c r="S8" i="19"/>
  <c r="R9" i="19"/>
  <c r="R10" i="19"/>
  <c r="R11" i="19"/>
  <c r="R12" i="19"/>
  <c r="R13" i="19"/>
  <c r="R14" i="19"/>
  <c r="R15" i="19"/>
  <c r="R17" i="19"/>
  <c r="R18" i="19"/>
  <c r="R8" i="19" l="1"/>
  <c r="S18" i="17" l="1"/>
  <c r="R18" i="17"/>
  <c r="R16" i="17"/>
  <c r="R11" i="17" l="1"/>
  <c r="R8" i="17"/>
  <c r="S8" i="17"/>
  <c r="R9" i="17"/>
  <c r="S9" i="17"/>
  <c r="R10" i="17"/>
  <c r="S10" i="17"/>
  <c r="R12" i="17"/>
  <c r="S12" i="17"/>
  <c r="R13" i="17"/>
  <c r="S13" i="17"/>
  <c r="R14" i="17"/>
  <c r="S14" i="17"/>
  <c r="R15" i="17"/>
  <c r="S15" i="17"/>
  <c r="R17" i="17"/>
  <c r="S17" i="17"/>
  <c r="R19" i="17"/>
  <c r="S19" i="17"/>
  <c r="R20" i="17"/>
  <c r="S20" i="17"/>
  <c r="S11" i="16"/>
  <c r="R11" i="16"/>
  <c r="S42" i="16" l="1"/>
  <c r="R42" i="16"/>
  <c r="S41" i="16"/>
  <c r="R41" i="16"/>
  <c r="S40" i="16"/>
  <c r="R40" i="16"/>
  <c r="S39" i="16"/>
  <c r="R39" i="16"/>
  <c r="S38" i="16"/>
  <c r="R38" i="16"/>
  <c r="S37" i="16"/>
  <c r="R37" i="16"/>
  <c r="S36" i="16"/>
  <c r="R36" i="16"/>
  <c r="S35" i="16"/>
  <c r="R35" i="16"/>
  <c r="S34" i="16"/>
  <c r="R34" i="16"/>
  <c r="S33" i="16"/>
  <c r="R33" i="16"/>
  <c r="S32" i="16"/>
  <c r="R32" i="16"/>
  <c r="S31" i="16"/>
  <c r="R31" i="16"/>
  <c r="S30" i="16"/>
  <c r="R30" i="16"/>
  <c r="S29" i="16"/>
  <c r="R29" i="16"/>
  <c r="S28" i="16"/>
  <c r="R28" i="16"/>
  <c r="S27" i="16"/>
  <c r="R27" i="16"/>
  <c r="S26" i="16"/>
  <c r="R26" i="16"/>
  <c r="S25" i="16"/>
  <c r="R25" i="16"/>
  <c r="S24" i="16"/>
  <c r="R24" i="16"/>
  <c r="S23" i="16"/>
  <c r="R23" i="16"/>
  <c r="S22" i="16"/>
  <c r="R22" i="16"/>
  <c r="S21" i="16"/>
  <c r="R21" i="16"/>
  <c r="S20" i="16"/>
  <c r="R20" i="16"/>
  <c r="S19" i="16"/>
  <c r="R19" i="16"/>
  <c r="S16" i="16"/>
  <c r="R16" i="16"/>
  <c r="S15" i="16"/>
  <c r="S14" i="16"/>
  <c r="R14" i="16"/>
  <c r="S13" i="16"/>
  <c r="R13" i="16"/>
  <c r="S12" i="16"/>
  <c r="R12" i="16"/>
  <c r="S10" i="16"/>
  <c r="R10" i="16"/>
  <c r="S9" i="16"/>
  <c r="R9" i="16"/>
  <c r="S8" i="16"/>
  <c r="R8" i="16"/>
  <c r="S6" i="15" l="1"/>
  <c r="S7" i="15"/>
  <c r="S8" i="15"/>
  <c r="S9" i="15"/>
  <c r="S10" i="15"/>
  <c r="S11" i="15"/>
  <c r="S12" i="15"/>
  <c r="R6" i="15"/>
  <c r="R7" i="15"/>
  <c r="R8" i="15"/>
  <c r="S31" i="15"/>
  <c r="S32" i="15"/>
  <c r="S33" i="15"/>
  <c r="S34" i="15"/>
  <c r="S35" i="15"/>
  <c r="S36" i="15"/>
  <c r="S37" i="15"/>
  <c r="S38" i="15"/>
  <c r="S39" i="15"/>
  <c r="R31" i="15"/>
  <c r="R32" i="15"/>
  <c r="R33" i="15"/>
  <c r="R34" i="15"/>
  <c r="R35" i="15"/>
  <c r="R36" i="15"/>
  <c r="R37" i="15"/>
  <c r="R38" i="15"/>
  <c r="R39" i="15"/>
  <c r="R40" i="15"/>
  <c r="S40" i="15" l="1"/>
  <c r="S30" i="15"/>
  <c r="R30" i="15"/>
  <c r="S29" i="15"/>
  <c r="R29" i="15"/>
  <c r="S28" i="15"/>
  <c r="R28" i="15"/>
  <c r="S27" i="15"/>
  <c r="R27" i="15"/>
  <c r="S26" i="15"/>
  <c r="R26" i="15"/>
  <c r="S25" i="15"/>
  <c r="R25" i="15"/>
  <c r="S24" i="15"/>
  <c r="R24" i="15"/>
  <c r="S23" i="15"/>
  <c r="R23" i="15"/>
  <c r="S22" i="15"/>
  <c r="R22" i="15"/>
  <c r="S21" i="15"/>
  <c r="R21" i="15"/>
  <c r="S20" i="15"/>
  <c r="R20" i="15"/>
  <c r="S19" i="15"/>
  <c r="R19" i="15"/>
  <c r="S18" i="15"/>
  <c r="R18" i="15"/>
  <c r="S17" i="15"/>
  <c r="R17" i="15"/>
  <c r="S16" i="15"/>
  <c r="R16" i="15"/>
  <c r="S13" i="15"/>
  <c r="R13" i="15"/>
  <c r="R11" i="15"/>
  <c r="R10" i="15"/>
  <c r="R9" i="15"/>
  <c r="T34" i="14" l="1"/>
  <c r="T35" i="14"/>
  <c r="S34" i="14"/>
  <c r="S35" i="14"/>
  <c r="T38" i="14" l="1"/>
  <c r="S38" i="14"/>
  <c r="T37" i="14"/>
  <c r="S37" i="14"/>
  <c r="T36" i="14"/>
  <c r="S36" i="14"/>
  <c r="T33" i="14"/>
  <c r="S33" i="14"/>
  <c r="T32" i="14"/>
  <c r="S32" i="14"/>
  <c r="T31" i="14"/>
  <c r="S31" i="14"/>
  <c r="T30" i="14"/>
  <c r="S30" i="14"/>
  <c r="T29" i="14"/>
  <c r="S29" i="14"/>
  <c r="T28" i="14"/>
  <c r="S28" i="14"/>
  <c r="T27" i="14"/>
  <c r="S27" i="14"/>
  <c r="T26" i="14"/>
  <c r="S26" i="14"/>
  <c r="T25" i="14"/>
  <c r="S25" i="14"/>
  <c r="T24" i="14"/>
  <c r="S24" i="14"/>
  <c r="T23" i="14"/>
  <c r="S23" i="14"/>
  <c r="T22" i="14"/>
  <c r="S22" i="14"/>
  <c r="T21" i="14"/>
  <c r="S21" i="14"/>
  <c r="T20" i="14"/>
  <c r="S20" i="14"/>
  <c r="T19" i="14"/>
  <c r="S19" i="14"/>
  <c r="T18" i="14"/>
  <c r="S18" i="14"/>
  <c r="T17" i="14"/>
  <c r="S17" i="14"/>
  <c r="T14" i="14"/>
  <c r="S14" i="14"/>
  <c r="T12" i="14"/>
  <c r="S12" i="14"/>
  <c r="T11" i="14"/>
  <c r="S11" i="14"/>
  <c r="T10" i="14"/>
  <c r="S10" i="14"/>
  <c r="T9" i="14"/>
  <c r="S9" i="14"/>
  <c r="T8" i="14"/>
  <c r="S8" i="14"/>
  <c r="W11" i="13" l="1"/>
  <c r="W12" i="13"/>
  <c r="W13" i="13"/>
  <c r="W14" i="13"/>
  <c r="V11" i="13"/>
  <c r="V12" i="13"/>
  <c r="V13" i="13"/>
  <c r="V14" i="13"/>
  <c r="W32" i="13"/>
  <c r="W33" i="13"/>
  <c r="W34" i="13"/>
  <c r="W35" i="13"/>
  <c r="V32" i="13"/>
  <c r="V33" i="13"/>
  <c r="V34" i="13"/>
  <c r="V35" i="13"/>
  <c r="W23" i="13" l="1"/>
  <c r="V23" i="13"/>
  <c r="W22" i="13"/>
  <c r="V22" i="13"/>
  <c r="W21" i="13"/>
  <c r="V21" i="13"/>
  <c r="W38" i="13"/>
  <c r="V38" i="13"/>
  <c r="W37" i="13"/>
  <c r="V37" i="13"/>
  <c r="W36" i="13"/>
  <c r="V36" i="13"/>
  <c r="W31" i="13"/>
  <c r="V31" i="13"/>
  <c r="W30" i="13"/>
  <c r="V30" i="13"/>
  <c r="W29" i="13"/>
  <c r="V29" i="13"/>
  <c r="W28" i="13"/>
  <c r="V28" i="13"/>
  <c r="W27" i="13"/>
  <c r="V27" i="13"/>
  <c r="W26" i="13"/>
  <c r="V26" i="13"/>
  <c r="W25" i="13"/>
  <c r="V25" i="13"/>
  <c r="W24" i="13"/>
  <c r="V24" i="13"/>
  <c r="W20" i="13"/>
  <c r="V20" i="13"/>
  <c r="W19" i="13"/>
  <c r="V19" i="13"/>
  <c r="W16" i="13"/>
  <c r="V16" i="13"/>
  <c r="W10" i="13"/>
  <c r="V10" i="13"/>
  <c r="S29" i="12" l="1"/>
  <c r="R29" i="12"/>
  <c r="S28" i="12" l="1"/>
  <c r="R28" i="12"/>
  <c r="S27" i="12"/>
  <c r="R27" i="12"/>
  <c r="S25" i="12"/>
  <c r="R25" i="12"/>
  <c r="S23" i="12"/>
  <c r="R23" i="12"/>
  <c r="S22" i="12"/>
  <c r="R22" i="12"/>
  <c r="S21" i="12"/>
  <c r="R21" i="12"/>
  <c r="S20" i="12"/>
  <c r="R20" i="12"/>
  <c r="S19" i="12"/>
  <c r="R19" i="12"/>
  <c r="S18" i="12"/>
  <c r="R18" i="12"/>
  <c r="S17" i="12"/>
  <c r="R17" i="12"/>
  <c r="S16" i="12"/>
  <c r="R16" i="12"/>
  <c r="S15" i="12"/>
  <c r="R15" i="12"/>
  <c r="S14" i="12"/>
  <c r="R14" i="12"/>
  <c r="S13" i="12"/>
  <c r="R13" i="12"/>
  <c r="S12" i="12"/>
  <c r="R12" i="12"/>
  <c r="S11" i="12"/>
  <c r="R11" i="12"/>
  <c r="S8" i="12"/>
  <c r="R8" i="12"/>
  <c r="S7" i="12"/>
  <c r="R7" i="12"/>
  <c r="S6" i="12"/>
  <c r="R6" i="12"/>
  <c r="S5" i="12"/>
  <c r="R5" i="12"/>
  <c r="S26" i="11" l="1"/>
  <c r="R26" i="11"/>
  <c r="S25" i="11"/>
  <c r="R25" i="11"/>
  <c r="S23" i="11"/>
  <c r="R23" i="11"/>
  <c r="S22" i="11"/>
  <c r="R22" i="11"/>
  <c r="S21" i="11"/>
  <c r="R21" i="11"/>
  <c r="S20" i="11"/>
  <c r="R20" i="11"/>
  <c r="S19" i="11"/>
  <c r="R19" i="11"/>
  <c r="S18" i="11"/>
  <c r="R18" i="11"/>
  <c r="S17" i="11"/>
  <c r="R17" i="11"/>
  <c r="S16" i="11"/>
  <c r="R16" i="11"/>
  <c r="S15" i="11"/>
  <c r="R15" i="11"/>
  <c r="S14" i="11"/>
  <c r="R14" i="11"/>
  <c r="S13" i="11"/>
  <c r="R13" i="11"/>
  <c r="S12" i="11"/>
  <c r="R12" i="11"/>
  <c r="S11" i="11"/>
  <c r="R11" i="11"/>
  <c r="S10" i="11"/>
  <c r="R10" i="11"/>
  <c r="S8" i="11"/>
  <c r="R8" i="11"/>
  <c r="S7" i="11"/>
  <c r="R7" i="11"/>
  <c r="S6" i="11"/>
  <c r="R6" i="11"/>
  <c r="S5" i="11"/>
  <c r="R5" i="11"/>
  <c r="S24" i="10" l="1"/>
  <c r="R24" i="10"/>
  <c r="S23" i="10"/>
  <c r="R23" i="10"/>
  <c r="S22" i="10"/>
  <c r="R22" i="10"/>
  <c r="S21" i="10"/>
  <c r="R21" i="10"/>
  <c r="S20" i="10"/>
  <c r="R20" i="10"/>
  <c r="S19" i="10"/>
  <c r="R19" i="10"/>
  <c r="S18" i="10"/>
  <c r="R18" i="10"/>
  <c r="S17" i="10"/>
  <c r="R17" i="10"/>
  <c r="S16" i="10"/>
  <c r="R16" i="10"/>
  <c r="S15" i="10"/>
  <c r="R15" i="10"/>
  <c r="S14" i="10"/>
  <c r="R14" i="10"/>
  <c r="S13" i="10"/>
  <c r="R13" i="10"/>
  <c r="S12" i="10"/>
  <c r="R12" i="10"/>
  <c r="S11" i="10"/>
  <c r="R11" i="10"/>
  <c r="S10" i="10"/>
  <c r="R10" i="10"/>
  <c r="S9" i="10"/>
  <c r="R9" i="10"/>
  <c r="S8" i="10"/>
  <c r="R8" i="10"/>
  <c r="S7" i="10"/>
  <c r="R7" i="10"/>
  <c r="S6" i="10"/>
  <c r="R6" i="10"/>
  <c r="S5" i="10"/>
  <c r="R5" i="10"/>
  <c r="S15" i="9" l="1"/>
  <c r="S16" i="9"/>
  <c r="S17" i="9"/>
  <c r="S18" i="9"/>
  <c r="S19" i="9"/>
  <c r="S20" i="9"/>
  <c r="S21" i="9"/>
  <c r="S22" i="9"/>
  <c r="R22" i="9"/>
  <c r="S6" i="9" l="1"/>
  <c r="S7" i="9"/>
  <c r="S8" i="9"/>
  <c r="S9" i="9"/>
  <c r="S10" i="9"/>
  <c r="S11" i="9"/>
  <c r="S12" i="9"/>
  <c r="S13" i="9"/>
  <c r="S14" i="9"/>
  <c r="S23" i="9"/>
  <c r="S24" i="9"/>
  <c r="S2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3" i="9"/>
  <c r="R24" i="9"/>
  <c r="R25" i="9"/>
  <c r="S5" i="9" l="1"/>
  <c r="R5" i="9"/>
  <c r="S19" i="8" l="1"/>
  <c r="S20" i="8"/>
  <c r="R20" i="8"/>
  <c r="R19" i="8"/>
  <c r="S22" i="8" l="1"/>
  <c r="R22" i="8"/>
  <c r="S21" i="8"/>
  <c r="R21" i="8"/>
  <c r="S18" i="8"/>
  <c r="R18" i="8"/>
  <c r="S17" i="8"/>
  <c r="R17" i="8"/>
  <c r="S15" i="8"/>
  <c r="R15" i="8"/>
  <c r="S14" i="8"/>
  <c r="R14" i="8"/>
  <c r="S13" i="8"/>
  <c r="R13" i="8"/>
  <c r="S12" i="8"/>
  <c r="R12" i="8"/>
  <c r="S11" i="8"/>
  <c r="R11" i="8"/>
  <c r="S10" i="8"/>
  <c r="R10" i="8"/>
  <c r="S9" i="8"/>
  <c r="R9" i="8"/>
  <c r="S8" i="8"/>
  <c r="R8" i="8"/>
  <c r="S7" i="8"/>
  <c r="R7" i="8"/>
  <c r="S6" i="8"/>
  <c r="R6" i="8"/>
  <c r="S5" i="8"/>
  <c r="R5" i="8"/>
  <c r="S21" i="7" l="1"/>
  <c r="R21" i="7"/>
  <c r="S20" i="7"/>
  <c r="R20" i="7"/>
  <c r="S19" i="7"/>
  <c r="R19" i="7"/>
  <c r="S18" i="7"/>
  <c r="R18" i="7"/>
  <c r="S15" i="7"/>
  <c r="R15" i="7"/>
  <c r="S14" i="7"/>
  <c r="R14" i="7"/>
  <c r="S13" i="7"/>
  <c r="R13" i="7"/>
  <c r="S12" i="7"/>
  <c r="R12" i="7"/>
  <c r="S11" i="7"/>
  <c r="R11" i="7"/>
  <c r="S10" i="7"/>
  <c r="R10" i="7"/>
  <c r="S9" i="7"/>
  <c r="R9" i="7"/>
  <c r="S8" i="7"/>
  <c r="R8" i="7"/>
  <c r="S7" i="7"/>
  <c r="R7" i="7"/>
  <c r="S6" i="7"/>
  <c r="R6" i="7"/>
  <c r="S5" i="7"/>
  <c r="R5" i="7"/>
  <c r="S14" i="6" l="1"/>
  <c r="S15" i="6"/>
  <c r="S16" i="6"/>
  <c r="S17" i="6"/>
  <c r="R14" i="6"/>
  <c r="R15" i="6"/>
  <c r="R16" i="6"/>
  <c r="R17" i="6"/>
  <c r="S12" i="4" l="1"/>
  <c r="R12" i="4"/>
  <c r="R6" i="4"/>
  <c r="S7" i="4"/>
  <c r="R7" i="4"/>
  <c r="S20" i="6" l="1"/>
  <c r="R20" i="6"/>
  <c r="S19" i="6"/>
  <c r="R19" i="6"/>
  <c r="S18" i="6"/>
  <c r="R18" i="6"/>
  <c r="S13" i="6"/>
  <c r="R13" i="6"/>
  <c r="S12" i="6"/>
  <c r="R12" i="6"/>
  <c r="S11" i="6"/>
  <c r="R11" i="6"/>
  <c r="S10" i="6"/>
  <c r="R10" i="6"/>
  <c r="S9" i="6"/>
  <c r="R9" i="6"/>
  <c r="S8" i="6"/>
  <c r="R8" i="6"/>
  <c r="S7" i="6"/>
  <c r="R7" i="6"/>
  <c r="S6" i="6"/>
  <c r="R6" i="6"/>
  <c r="S19" i="5" l="1"/>
  <c r="R19" i="5"/>
  <c r="S18" i="5"/>
  <c r="R18" i="5"/>
  <c r="S17" i="5"/>
  <c r="R17" i="5"/>
  <c r="S15" i="5"/>
  <c r="R15" i="5"/>
  <c r="S14" i="5"/>
  <c r="R14" i="5"/>
  <c r="S13" i="5"/>
  <c r="R13" i="5"/>
  <c r="S12" i="5"/>
  <c r="R12" i="5"/>
  <c r="S11" i="5"/>
  <c r="R11" i="5"/>
  <c r="S10" i="5"/>
  <c r="R10" i="5"/>
  <c r="S9" i="5"/>
  <c r="R9" i="5"/>
  <c r="S8" i="5"/>
  <c r="R8" i="5"/>
  <c r="S7" i="5"/>
  <c r="R7" i="5"/>
  <c r="S6" i="5"/>
  <c r="R6" i="5"/>
  <c r="S14" i="4" l="1"/>
  <c r="R14" i="4"/>
  <c r="S8" i="4" l="1"/>
  <c r="S9" i="4"/>
  <c r="S10" i="4"/>
  <c r="S11" i="4"/>
  <c r="S13" i="4"/>
  <c r="S15" i="4"/>
  <c r="S16" i="4"/>
  <c r="S17" i="4"/>
  <c r="S18" i="4"/>
  <c r="S19" i="4"/>
  <c r="S20" i="4"/>
  <c r="R8" i="4"/>
  <c r="R9" i="4"/>
  <c r="R10" i="4"/>
  <c r="R11" i="4"/>
  <c r="R13" i="4"/>
  <c r="R15" i="4"/>
  <c r="R16" i="4"/>
  <c r="R17" i="4"/>
  <c r="R18" i="4"/>
  <c r="R19" i="4"/>
  <c r="R20" i="4"/>
  <c r="S8" i="3" l="1"/>
  <c r="S9" i="3"/>
  <c r="S10" i="3"/>
  <c r="S11" i="3"/>
  <c r="S13" i="3"/>
  <c r="S14" i="3"/>
  <c r="S15" i="3"/>
  <c r="S16" i="3"/>
  <c r="S17" i="3"/>
  <c r="S18" i="3"/>
  <c r="S19" i="3"/>
  <c r="R8" i="3"/>
  <c r="R9" i="3"/>
  <c r="R10" i="3"/>
  <c r="R11" i="3"/>
  <c r="R13" i="3"/>
  <c r="R14" i="3"/>
  <c r="R15" i="3"/>
  <c r="R16" i="3"/>
  <c r="R17" i="3"/>
  <c r="R18" i="3"/>
  <c r="R19" i="3"/>
  <c r="S7" i="3" l="1"/>
  <c r="R7" i="3"/>
  <c r="S8" i="2" l="1"/>
  <c r="S10" i="2"/>
  <c r="S11" i="2"/>
  <c r="S12" i="2"/>
  <c r="S13" i="2"/>
  <c r="S14" i="2"/>
  <c r="S15" i="2"/>
  <c r="S16" i="2"/>
  <c r="S17" i="2"/>
  <c r="S18" i="2"/>
  <c r="S20" i="2"/>
  <c r="S21" i="2"/>
  <c r="R8" i="2"/>
  <c r="R10" i="2"/>
  <c r="R11" i="2"/>
  <c r="R12" i="2"/>
  <c r="R13" i="2"/>
  <c r="R14" i="2"/>
  <c r="R15" i="2"/>
  <c r="R16" i="2"/>
  <c r="R17" i="2"/>
  <c r="R18" i="2"/>
  <c r="R20" i="2"/>
  <c r="R21" i="2"/>
  <c r="R7" i="2"/>
  <c r="S7" i="2" l="1"/>
  <c r="U19" i="1" l="1"/>
  <c r="T19" i="1"/>
  <c r="U18" i="1"/>
  <c r="T18" i="1"/>
  <c r="U17" i="1"/>
  <c r="T17" i="1"/>
  <c r="U15" i="1"/>
  <c r="T15" i="1"/>
  <c r="U14" i="1"/>
  <c r="T14" i="1"/>
  <c r="U12" i="1"/>
  <c r="T12" i="1"/>
  <c r="U11" i="1"/>
  <c r="T11" i="1"/>
  <c r="U9" i="1"/>
  <c r="T9" i="1"/>
  <c r="U8" i="1"/>
  <c r="T8" i="1"/>
  <c r="U7" i="1"/>
  <c r="T7" i="1"/>
  <c r="B8" i="42"/>
</calcChain>
</file>

<file path=xl/sharedStrings.xml><?xml version="1.0" encoding="utf-8"?>
<sst xmlns="http://schemas.openxmlformats.org/spreadsheetml/2006/main" count="4427" uniqueCount="419">
  <si>
    <t xml:space="preserve">CNC VMC PLAN VS ACTUAL </t>
  </si>
  <si>
    <t>DATE</t>
  </si>
  <si>
    <t>DOC NO</t>
  </si>
  <si>
    <t>Sr. No.</t>
  </si>
  <si>
    <t>Name of Machine</t>
  </si>
  <si>
    <t>Name of the customer</t>
  </si>
  <si>
    <t>Sec.no</t>
  </si>
  <si>
    <t>Cutlength (mm)</t>
  </si>
  <si>
    <t>Operation Description</t>
  </si>
  <si>
    <t>B Shift</t>
  </si>
  <si>
    <t>C Shift</t>
  </si>
  <si>
    <t>A Shift</t>
  </si>
  <si>
    <t>Total Plan</t>
  </si>
  <si>
    <t>Total Actual</t>
  </si>
  <si>
    <t>C/T</t>
  </si>
  <si>
    <t>Plan</t>
  </si>
  <si>
    <t>Actual</t>
  </si>
  <si>
    <t>Remarks</t>
  </si>
  <si>
    <t>VMC-1</t>
  </si>
  <si>
    <t>C2</t>
  </si>
  <si>
    <t>SLITTING</t>
  </si>
  <si>
    <t>VMC-2</t>
  </si>
  <si>
    <t>VMC-3</t>
  </si>
  <si>
    <t>MEDIT</t>
  </si>
  <si>
    <t>Milling</t>
  </si>
  <si>
    <t>VMC-4</t>
  </si>
  <si>
    <t>SAIVAN</t>
  </si>
  <si>
    <t>DRILLING</t>
  </si>
  <si>
    <t>VMC-5</t>
  </si>
  <si>
    <t>NO MATERIAL</t>
  </si>
  <si>
    <t>CNC-2</t>
  </si>
  <si>
    <t>CNC-3</t>
  </si>
  <si>
    <t>GO RAMPE</t>
  </si>
  <si>
    <t>CNC-4</t>
  </si>
  <si>
    <t>CNC-5</t>
  </si>
  <si>
    <t>CNC-6</t>
  </si>
  <si>
    <t>2 TO 3</t>
  </si>
  <si>
    <t>6 MINS</t>
  </si>
  <si>
    <t>14 MINS</t>
  </si>
  <si>
    <t>R FIX</t>
  </si>
  <si>
    <t>4 MINS</t>
  </si>
  <si>
    <t>3 MINS</t>
  </si>
  <si>
    <t>NO PLAN</t>
  </si>
  <si>
    <t>45 MINS</t>
  </si>
  <si>
    <t>SETUP</t>
  </si>
  <si>
    <t>SETUP,QC ISSUE</t>
  </si>
  <si>
    <t>solar blocks</t>
  </si>
  <si>
    <t>Q RAILING</t>
  </si>
  <si>
    <t xml:space="preserve">SETUP </t>
  </si>
  <si>
    <t>ALL</t>
  </si>
  <si>
    <t xml:space="preserve"> </t>
  </si>
  <si>
    <t>8 MINS</t>
  </si>
  <si>
    <t>3 TO 4</t>
  </si>
  <si>
    <t>DRILLING &amp; MILLING</t>
  </si>
  <si>
    <t>NPD &amp; CLAMPING SET</t>
  </si>
  <si>
    <t>SETUP &amp; TOOL ISSUE</t>
  </si>
  <si>
    <t>MATERIAL MOMENT</t>
  </si>
  <si>
    <t>NO OPERATOR</t>
  </si>
  <si>
    <t>CLAMPING SETUP</t>
  </si>
  <si>
    <t>MATERIAL COMPLETE</t>
  </si>
  <si>
    <t>NO LOAD</t>
  </si>
  <si>
    <t>2ND SETUP</t>
  </si>
  <si>
    <t>MATERIAL COMPLETED</t>
  </si>
  <si>
    <t>7 MIN</t>
  </si>
  <si>
    <t>AGAM</t>
  </si>
  <si>
    <t>5 MINS</t>
  </si>
  <si>
    <t>MACHINE BREAKDOWN &amp; SETUP</t>
  </si>
  <si>
    <t>POWER CUT</t>
  </si>
  <si>
    <t>4 TO 5</t>
  </si>
  <si>
    <t>3RD SETUP</t>
  </si>
  <si>
    <t>CLAMP ISSUE</t>
  </si>
  <si>
    <t>NO PLAN,SETUP</t>
  </si>
  <si>
    <t>MC BREAKDOWN</t>
  </si>
  <si>
    <t>SETUP DELAY</t>
  </si>
  <si>
    <t>MEDIT FIXTURE</t>
  </si>
  <si>
    <t>DORMA</t>
  </si>
  <si>
    <t>5 TO 6</t>
  </si>
  <si>
    <t>VMC 3</t>
  </si>
  <si>
    <t>FIXTURE &amp; SETUP</t>
  </si>
  <si>
    <t>MACHINE BREAKDOWN NO PLAN</t>
  </si>
  <si>
    <t>4TH  SETUP</t>
  </si>
  <si>
    <t>QC ISSUE</t>
  </si>
  <si>
    <t>6 TO 7</t>
  </si>
  <si>
    <t>NPD RHENO FIX &amp; NO OPERATOR</t>
  </si>
  <si>
    <t>12 MINS</t>
  </si>
  <si>
    <t>POGRAM CHNGE &amp; SETUP &amp; QC ISSUE</t>
  </si>
  <si>
    <t>4 HRS NO OPERATOR</t>
  </si>
  <si>
    <t>NPD ( AGAM BLOCK) &amp; NO OPERATOR</t>
  </si>
  <si>
    <t>BLADE REWORK &amp; MATERIAL MOMENT</t>
  </si>
  <si>
    <t>3RD  SETUP</t>
  </si>
  <si>
    <t>BREAKDOWN</t>
  </si>
  <si>
    <t>TOOL BREAKE,QC ISSUE</t>
  </si>
  <si>
    <t>NO OPERATOR,QC ISSUE</t>
  </si>
  <si>
    <t>NO MATERIAL,SETUP</t>
  </si>
  <si>
    <t>7 TO 8</t>
  </si>
  <si>
    <t>SET-UP</t>
  </si>
  <si>
    <t>Coolant not flood</t>
  </si>
  <si>
    <t>45 MINS/12 mins</t>
  </si>
  <si>
    <t>cutter brocken</t>
  </si>
  <si>
    <t>C2(U)</t>
  </si>
  <si>
    <t>C2(L)</t>
  </si>
  <si>
    <t>Dimension Issue Block facing</t>
  </si>
  <si>
    <t>Tool changed</t>
  </si>
  <si>
    <t>Break Down</t>
  </si>
  <si>
    <t>18 MINS</t>
  </si>
  <si>
    <t>SETUP &amp; NO OPERATOR</t>
  </si>
  <si>
    <t>1 HRS NPD &amp; 4 HRS NO OPERATOR</t>
  </si>
  <si>
    <t>UNDER MAINTANACE</t>
  </si>
  <si>
    <t>NO  OP</t>
  </si>
  <si>
    <t>SLOT</t>
  </si>
  <si>
    <t xml:space="preserve"> TOOL BROKEN</t>
  </si>
  <si>
    <t>COOLENT ISSUE</t>
  </si>
  <si>
    <t>MATERIAL MOVEMENT</t>
  </si>
  <si>
    <t>NPD</t>
  </si>
  <si>
    <t>CLAMP TIGHTNING</t>
  </si>
  <si>
    <t>8 TO 9</t>
  </si>
  <si>
    <t>BREAK DOWN</t>
  </si>
  <si>
    <t>1 ST SETUP</t>
  </si>
  <si>
    <t>5 MIN</t>
  </si>
  <si>
    <t xml:space="preserve">SET UP </t>
  </si>
  <si>
    <t>2 HRS NPD &amp; 4 HRS NO OPERATOR</t>
  </si>
  <si>
    <t>OPERATOR MOVED MEDIT TAPING</t>
  </si>
  <si>
    <t>TOOL CHANGE &amp; COLLANT ISSUE</t>
  </si>
  <si>
    <t>DAIMATION ISSUE</t>
  </si>
  <si>
    <t>DIMENTION ISSUE</t>
  </si>
  <si>
    <t>NO  MATERIAL</t>
  </si>
  <si>
    <t xml:space="preserve">TOOL CHANGE ISSUE </t>
  </si>
  <si>
    <t>saiven blocks</t>
  </si>
  <si>
    <t>unominda blocks</t>
  </si>
  <si>
    <t>5 min</t>
  </si>
  <si>
    <t>dimensional issue,tool changing</t>
  </si>
  <si>
    <t>9 TO 10</t>
  </si>
  <si>
    <t>FIXTURE MACHINING</t>
  </si>
  <si>
    <t>PERI</t>
  </si>
  <si>
    <t>CORRECTIONS</t>
  </si>
  <si>
    <t>AGAM &amp;2122 SETTING</t>
  </si>
  <si>
    <t>LOW AIR PRESSURE</t>
  </si>
  <si>
    <t xml:space="preserve">DRAWING CHANGED </t>
  </si>
  <si>
    <t>Radius</t>
  </si>
  <si>
    <t>10 TO 11</t>
  </si>
  <si>
    <t>NPD &amp; 4 HRS NO OPERATOR</t>
  </si>
  <si>
    <t xml:space="preserve"> 4 HRS NO OPERATOR</t>
  </si>
  <si>
    <t>MACHINE BREAKDOWN</t>
  </si>
  <si>
    <t>QC ISSUE &amp; LOADING DELAY</t>
  </si>
  <si>
    <t>GCS FIXTURE</t>
  </si>
  <si>
    <t>SETUP CHANGE</t>
  </si>
  <si>
    <t>MC BD 3H 30 MIN</t>
  </si>
  <si>
    <t>MC BD 2 H</t>
  </si>
  <si>
    <t>no operator</t>
  </si>
  <si>
    <t>no operator-2 hrs</t>
  </si>
  <si>
    <t>qc issue</t>
  </si>
  <si>
    <t>no operator-5hrs</t>
  </si>
  <si>
    <t>setup,no operator-8hrs</t>
  </si>
  <si>
    <t>z axis error,new tool trail setup</t>
  </si>
  <si>
    <t>qc issue,loading delay</t>
  </si>
  <si>
    <t>11 TO 12</t>
  </si>
  <si>
    <t>material moment</t>
  </si>
  <si>
    <t>tool issue &amp; Z AXIS ERROR</t>
  </si>
  <si>
    <t>12 TO 13</t>
  </si>
  <si>
    <t>5S CLEANING</t>
  </si>
  <si>
    <t>5S CLEANING,SETUP</t>
  </si>
  <si>
    <t>5S CLEANING,COOLENT ISSUE</t>
  </si>
  <si>
    <t>TOOL CHANGE,5S CLEANING</t>
  </si>
  <si>
    <t>no op</t>
  </si>
  <si>
    <t>SAIVAN TOOL</t>
  </si>
  <si>
    <t>NO OP</t>
  </si>
  <si>
    <t>NO OP 4 H</t>
  </si>
  <si>
    <t>VMC -2</t>
  </si>
  <si>
    <t>TOOL ISSUE</t>
  </si>
  <si>
    <t>AGAM,RHINO BLOCKS ASC BLADE</t>
  </si>
  <si>
    <t>DRAIN HOLE</t>
  </si>
  <si>
    <t>10 MIN</t>
  </si>
  <si>
    <t>DIMENSIONAL ISSUE</t>
  </si>
  <si>
    <t>13 TO 14</t>
  </si>
  <si>
    <t>CLAMPING ISSUE</t>
  </si>
  <si>
    <t>NPD &amp; AGAM BLOCK</t>
  </si>
  <si>
    <t>7 NOS RUNNING</t>
  </si>
  <si>
    <t>setup change</t>
  </si>
  <si>
    <t>setup delay</t>
  </si>
  <si>
    <t>spm motor mounting block</t>
  </si>
  <si>
    <t>setup</t>
  </si>
  <si>
    <t>blocks facing &amp;corrections</t>
  </si>
  <si>
    <t>15 TO 16</t>
  </si>
  <si>
    <t>medit</t>
  </si>
  <si>
    <t>csk</t>
  </si>
  <si>
    <t>gcs motor mounting</t>
  </si>
  <si>
    <t>2 setup rejection</t>
  </si>
  <si>
    <t xml:space="preserve"> 2nd</t>
  </si>
  <si>
    <t>20 min</t>
  </si>
  <si>
    <t xml:space="preserve">blocks setup </t>
  </si>
  <si>
    <t>3 MIN</t>
  </si>
  <si>
    <t>10 min</t>
  </si>
  <si>
    <t>11 min</t>
  </si>
  <si>
    <t>PUNCH MATERIAL TRIAL</t>
  </si>
  <si>
    <t>PM 10:50-1:30</t>
  </si>
  <si>
    <t xml:space="preserve">3H NO OP&amp; AGAM CL CHECKING </t>
  </si>
  <si>
    <t>NPD GCS FIXTURE</t>
  </si>
  <si>
    <t>TOOL BROKEN</t>
  </si>
  <si>
    <t>4 H TOOL PROBLEM</t>
  </si>
  <si>
    <t>1 HRS NO OPERATOR</t>
  </si>
  <si>
    <t>2 TO 6 PM NPD</t>
  </si>
  <si>
    <t>NEW POGRAM SETUP</t>
  </si>
  <si>
    <t>NEW TOOL TRAIL</t>
  </si>
  <si>
    <t>8 min</t>
  </si>
  <si>
    <t>14 min</t>
  </si>
  <si>
    <t>3.5 MINS</t>
  </si>
  <si>
    <t>2.5MINS</t>
  </si>
  <si>
    <t>17 TO 18</t>
  </si>
  <si>
    <t>LODING DELAY</t>
  </si>
  <si>
    <t>3 min</t>
  </si>
  <si>
    <t>pm</t>
  </si>
  <si>
    <t>no rm</t>
  </si>
  <si>
    <t>VMC 2</t>
  </si>
  <si>
    <t>C2 BRAKET</t>
  </si>
  <si>
    <t>6 min</t>
  </si>
  <si>
    <t>NPD NO OPERATOR</t>
  </si>
  <si>
    <t>18 TO 19</t>
  </si>
  <si>
    <t>LOADING DELAY</t>
  </si>
  <si>
    <t>COOLANT ISSUE &amp; CLAMPING ISSUE</t>
  </si>
  <si>
    <t>NO OPERATOR &amp; 2NOS BLADE REWORK</t>
  </si>
  <si>
    <t>19 TO 20</t>
  </si>
  <si>
    <t>3 Hrs no operator</t>
  </si>
  <si>
    <t>Fixtur re-work</t>
  </si>
  <si>
    <t>After set-up change</t>
  </si>
  <si>
    <t>set-up</t>
  </si>
  <si>
    <t>C2 (U)</t>
  </si>
  <si>
    <t>4 min</t>
  </si>
  <si>
    <t>3.5 min</t>
  </si>
  <si>
    <t xml:space="preserve"> NPD &amp;NO OPERATOR</t>
  </si>
  <si>
    <t xml:space="preserve">NO PLAN &amp; set-up </t>
  </si>
  <si>
    <t xml:space="preserve">NO MATERIAL </t>
  </si>
  <si>
    <t>NPD &amp; SETUP</t>
  </si>
  <si>
    <t>Saiven Tool</t>
  </si>
  <si>
    <t>Collant not flood</t>
  </si>
  <si>
    <t>No Material</t>
  </si>
  <si>
    <t>3.5 MIN</t>
  </si>
  <si>
    <t>1ST SETUP</t>
  </si>
  <si>
    <t>12 MIN</t>
  </si>
  <si>
    <t>2 ND SETUP</t>
  </si>
  <si>
    <t>16 min</t>
  </si>
  <si>
    <t>14 MIN</t>
  </si>
  <si>
    <t>21 TO 22</t>
  </si>
  <si>
    <t>PM &amp; BLOCK FACEING</t>
  </si>
  <si>
    <t>2HRS NO POWER &amp; NO AIR</t>
  </si>
  <si>
    <t>2HRS NO POWER &amp; NO AIR &amp; SETUP</t>
  </si>
  <si>
    <t>ERT TRAINING</t>
  </si>
  <si>
    <t>ERT TRAINING,MC CLEANING</t>
  </si>
  <si>
    <t>22 TO 23</t>
  </si>
  <si>
    <t>After No Operator</t>
  </si>
  <si>
    <t>No Operator</t>
  </si>
  <si>
    <t>No Plan</t>
  </si>
  <si>
    <t>VMC 4</t>
  </si>
  <si>
    <t>no load</t>
  </si>
  <si>
    <t>no op after 6pm</t>
  </si>
  <si>
    <t>dimensional issue</t>
  </si>
  <si>
    <t>material completed ,b/d-2hrs</t>
  </si>
  <si>
    <t>15 min</t>
  </si>
  <si>
    <t>material completed</t>
  </si>
  <si>
    <t>C2 (L)</t>
  </si>
  <si>
    <t>12X100 MM End mill not Available</t>
  </si>
  <si>
    <t>Dimension Issue</t>
  </si>
  <si>
    <t>Coolant Leakage</t>
  </si>
  <si>
    <t>6 to 9 No operator</t>
  </si>
  <si>
    <t>06 nos Running Only (03 cutters only)</t>
  </si>
  <si>
    <t>23 TO 24</t>
  </si>
  <si>
    <t>asc machine blade work</t>
  </si>
  <si>
    <t>material completed setup change</t>
  </si>
  <si>
    <t>24 TO 25</t>
  </si>
  <si>
    <t>man power issue</t>
  </si>
  <si>
    <t>no  load</t>
  </si>
  <si>
    <t>np op</t>
  </si>
  <si>
    <t>uts sample</t>
  </si>
  <si>
    <t>3 pieces per cycle</t>
  </si>
  <si>
    <t>25 TO 26</t>
  </si>
  <si>
    <t>6 TO 11 NO Material,  setup</t>
  </si>
  <si>
    <t>No material</t>
  </si>
  <si>
    <t>26 TO 27</t>
  </si>
  <si>
    <t>c2</t>
  </si>
  <si>
    <t>slitting</t>
  </si>
  <si>
    <t>setup &amp;machine cleaning</t>
  </si>
  <si>
    <t>5s</t>
  </si>
  <si>
    <t>no op 3h &amp;pm, setup</t>
  </si>
  <si>
    <t>machine breakdown 3 h</t>
  </si>
  <si>
    <t>27 TO 28</t>
  </si>
  <si>
    <t xml:space="preserve">UNO MINDA </t>
  </si>
  <si>
    <t>CHAI PE CHARCHA-1HR FOR ALL MACHINES</t>
  </si>
  <si>
    <t>no operator,setup</t>
  </si>
  <si>
    <t>setup,qc issue</t>
  </si>
  <si>
    <t>qc issue,mc cleaning</t>
  </si>
  <si>
    <t>material complete</t>
  </si>
  <si>
    <t>no plan</t>
  </si>
  <si>
    <t>setup ,qc issue</t>
  </si>
  <si>
    <t>6 mins</t>
  </si>
  <si>
    <t>12 min</t>
  </si>
  <si>
    <t>PM</t>
  </si>
  <si>
    <t>PM,no operator</t>
  </si>
  <si>
    <t>NPD TRAIL</t>
  </si>
  <si>
    <t>7 min</t>
  </si>
  <si>
    <t>3rd SETUP</t>
  </si>
  <si>
    <t>setup,no material</t>
  </si>
  <si>
    <t xml:space="preserve"> 29 TO 30</t>
  </si>
  <si>
    <t>4th SETUP</t>
  </si>
  <si>
    <t>C2(UPPER)</t>
  </si>
  <si>
    <t>MILLING</t>
  </si>
  <si>
    <t xml:space="preserve"> 30-31</t>
  </si>
  <si>
    <t>no operator-4hrs</t>
  </si>
  <si>
    <t>breakdown,no operator</t>
  </si>
  <si>
    <t>NPD-1hr 50mins</t>
  </si>
  <si>
    <t>1st SETUP</t>
  </si>
  <si>
    <t>.</t>
  </si>
  <si>
    <t>set up</t>
  </si>
  <si>
    <t>material complete,no operator</t>
  </si>
  <si>
    <t xml:space="preserve"> 31-1</t>
  </si>
  <si>
    <t xml:space="preserve"> 1st SETUP</t>
  </si>
  <si>
    <t>Daimation issue</t>
  </si>
  <si>
    <t>Material moment</t>
  </si>
  <si>
    <t>No operator</t>
  </si>
  <si>
    <t>Setup</t>
  </si>
  <si>
    <t>Breakdown</t>
  </si>
  <si>
    <t>C2(LOWER)</t>
  </si>
  <si>
    <t>4 h npd,4 h no op</t>
  </si>
  <si>
    <t>no material</t>
  </si>
  <si>
    <t xml:space="preserve"> 02-03</t>
  </si>
  <si>
    <t>MATERIAL COMPLET</t>
  </si>
  <si>
    <t>2nd SETUP</t>
  </si>
  <si>
    <t>setup time</t>
  </si>
  <si>
    <t>maintenance die work</t>
  </si>
  <si>
    <t xml:space="preserve"> 03-04</t>
  </si>
  <si>
    <t>1ST  SETUP</t>
  </si>
  <si>
    <t xml:space="preserve">no material </t>
  </si>
  <si>
    <t>no power</t>
  </si>
  <si>
    <t>no power,material complete</t>
  </si>
  <si>
    <t>no power,tool change</t>
  </si>
  <si>
    <t>no power=10:30 to 2:00</t>
  </si>
  <si>
    <t>medit fixture</t>
  </si>
  <si>
    <t>no power,no air</t>
  </si>
  <si>
    <t>coolent wire damage</t>
  </si>
  <si>
    <t>medit fixture&amp;setup</t>
  </si>
  <si>
    <t>no operator,PM</t>
  </si>
  <si>
    <t>blade machining</t>
  </si>
  <si>
    <t xml:space="preserve"> 04-05</t>
  </si>
  <si>
    <t>5min</t>
  </si>
  <si>
    <t>fix re-work &amp; setup</t>
  </si>
  <si>
    <t>VMC- 3</t>
  </si>
  <si>
    <t>C2(upper)</t>
  </si>
  <si>
    <t xml:space="preserve"> material complete</t>
  </si>
  <si>
    <t>3rd,4th SETUP</t>
  </si>
  <si>
    <t>mc cleaning</t>
  </si>
  <si>
    <t>setup runout issue</t>
  </si>
  <si>
    <t>vetro</t>
  </si>
  <si>
    <t>all</t>
  </si>
  <si>
    <t xml:space="preserve"> 05-06</t>
  </si>
  <si>
    <t>AIR LEAKAGE</t>
  </si>
  <si>
    <t>VETRO</t>
  </si>
  <si>
    <t>dent material checking</t>
  </si>
  <si>
    <t>8 MIN</t>
  </si>
  <si>
    <t>SETUP 2 H</t>
  </si>
  <si>
    <t>AGAM SETUP&amp;UNOMINDA BLOCKS</t>
  </si>
  <si>
    <t>DIMENSIONAL ISSUE 8 REJ &amp;MC BD 20 MIN</t>
  </si>
  <si>
    <t>REDIUS</t>
  </si>
  <si>
    <t>BLOCK FACHING &amp; SETUP</t>
  </si>
  <si>
    <t>COMPLITE</t>
  </si>
  <si>
    <t>unominda</t>
  </si>
  <si>
    <t xml:space="preserve">setup </t>
  </si>
  <si>
    <t>UNO-MINDA</t>
  </si>
  <si>
    <t xml:space="preserve"> SETUP</t>
  </si>
  <si>
    <t>no op 4H</t>
  </si>
  <si>
    <t>3 RD SETUP</t>
  </si>
  <si>
    <t>11 MIN</t>
  </si>
  <si>
    <t xml:space="preserve"> 08-09</t>
  </si>
  <si>
    <t>C2BRAKET)</t>
  </si>
  <si>
    <t xml:space="preserve"> 09-10</t>
  </si>
  <si>
    <t xml:space="preserve"> 07-08</t>
  </si>
  <si>
    <t>6 TO 9 NO OPERATOR</t>
  </si>
  <si>
    <t>C2(Bracket)</t>
  </si>
  <si>
    <t>3HS NO OPERATOR</t>
  </si>
  <si>
    <t>MATERIAL CHECKING</t>
  </si>
  <si>
    <t xml:space="preserve">  </t>
  </si>
  <si>
    <t>VETRO SOLUTIONS</t>
  </si>
  <si>
    <t>C2(BRAKET)</t>
  </si>
  <si>
    <t>QC ISSUE &amp; M/C ISSUES&amp; CLAMP ISSUE</t>
  </si>
  <si>
    <t>M/C CLEANING</t>
  </si>
  <si>
    <t>NO MATERIAL &amp; NPD</t>
  </si>
  <si>
    <t xml:space="preserve"> MATERIAL COMPLITE</t>
  </si>
  <si>
    <t xml:space="preserve"> NO OPERATOR</t>
  </si>
  <si>
    <t>2 nd</t>
  </si>
  <si>
    <t>1 st</t>
  </si>
  <si>
    <t>setup &amp; PART DENTMARK CHACKING</t>
  </si>
  <si>
    <t>DAIMATION  ISSUE&amp; CLAMP ISSUE</t>
  </si>
  <si>
    <t>CAMPING ISSUE</t>
  </si>
  <si>
    <t>SETUP &amp; MACHINE PM</t>
  </si>
  <si>
    <t xml:space="preserve"> 10-11</t>
  </si>
  <si>
    <t xml:space="preserve"> Q RAILING</t>
  </si>
  <si>
    <t xml:space="preserve"> setup,no operator</t>
  </si>
  <si>
    <t xml:space="preserve">NPD </t>
  </si>
  <si>
    <t>Q-RAILING</t>
  </si>
  <si>
    <t>CUTLENGTH MAINTAIN</t>
  </si>
  <si>
    <t>MATERIAL COMPLITE</t>
  </si>
  <si>
    <t xml:space="preserve"> facing</t>
  </si>
  <si>
    <t>chamfer</t>
  </si>
  <si>
    <t xml:space="preserve"> 11-12</t>
  </si>
  <si>
    <t>4 MIN</t>
  </si>
  <si>
    <t>NO PLAN &amp; SETUP</t>
  </si>
  <si>
    <t xml:space="preserve">no load &amp; NPD </t>
  </si>
  <si>
    <t>2 HRS NO OPERATOR</t>
  </si>
  <si>
    <t>machine problem</t>
  </si>
  <si>
    <t>SPM blade work</t>
  </si>
  <si>
    <t xml:space="preserve"> 13-14</t>
  </si>
  <si>
    <t>9 min</t>
  </si>
  <si>
    <t>dimensional isue</t>
  </si>
  <si>
    <t>MILLIMG</t>
  </si>
  <si>
    <t>6 MIN</t>
  </si>
  <si>
    <t>8 MIN 30 SEC</t>
  </si>
  <si>
    <t>2ND</t>
  </si>
  <si>
    <t>1ST</t>
  </si>
  <si>
    <t>14-15</t>
  </si>
  <si>
    <t>MC BREAKDOWN 6 H</t>
  </si>
  <si>
    <t>15-16</t>
  </si>
  <si>
    <t>REJECTED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</si>
</sst>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4" xfId="0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0" fillId="0" borderId="4" xfId="0" applyBorder="1"/>
    <xf numFmtId="16" fontId="0" fillId="0" borderId="0" xfId="0" applyNumberFormat="1"/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U19"/>
  <sheetViews>
    <sheetView topLeftCell="G2" zoomScale="85" zoomScaleNormal="85" workbookViewId="0">
      <selection activeCell="D4" sqref="D4:U19"/>
    </sheetView>
  </sheetViews>
  <sheetFormatPr defaultRowHeight="14.4" x14ac:dyDescent="0.3"/>
  <cols>
    <col min="3" max="3" width="4.33203125" customWidth="1"/>
    <col min="5" max="5" width="12.44140625" bestFit="1" customWidth="1"/>
    <col min="6" max="6" width="13.5546875" bestFit="1" customWidth="1"/>
    <col min="8" max="8" width="11.33203125" bestFit="1" customWidth="1"/>
    <col min="9" max="9" width="11.88671875" bestFit="1" customWidth="1"/>
    <col min="10" max="10" width="9.5546875" bestFit="1" customWidth="1"/>
    <col min="11" max="11" width="6.109375" bestFit="1" customWidth="1"/>
    <col min="13" max="13" width="19.5546875" bestFit="1" customWidth="1"/>
    <col min="14" max="14" width="6.109375" bestFit="1" customWidth="1"/>
    <col min="16" max="16" width="25" bestFit="1" customWidth="1"/>
    <col min="17" max="17" width="7.33203125" bestFit="1" customWidth="1"/>
    <col min="18" max="18" width="9.88671875" bestFit="1" customWidth="1"/>
    <col min="19" max="19" width="14.6640625" customWidth="1"/>
    <col min="22" max="22" width="2.88671875" customWidth="1"/>
  </cols>
  <sheetData>
    <row r="4" spans="4:21" ht="18" x14ac:dyDescent="0.35">
      <c r="D4" s="44" t="s">
        <v>0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6"/>
      <c r="Q4" s="1" t="s">
        <v>1</v>
      </c>
      <c r="R4" s="2" t="s">
        <v>36</v>
      </c>
      <c r="S4" s="1" t="s">
        <v>2</v>
      </c>
      <c r="T4" s="47"/>
      <c r="U4" s="48"/>
    </row>
    <row r="5" spans="4:21" ht="54" x14ac:dyDescent="0.3">
      <c r="D5" s="3" t="s">
        <v>3</v>
      </c>
      <c r="E5" s="4" t="s">
        <v>4</v>
      </c>
      <c r="F5" s="4" t="s">
        <v>5</v>
      </c>
      <c r="G5" s="5" t="s">
        <v>6</v>
      </c>
      <c r="H5" s="4" t="s">
        <v>7</v>
      </c>
      <c r="I5" s="4" t="s">
        <v>8</v>
      </c>
      <c r="J5" s="5"/>
      <c r="K5" s="49" t="s">
        <v>9</v>
      </c>
      <c r="L5" s="50"/>
      <c r="M5" s="51"/>
      <c r="N5" s="49" t="s">
        <v>10</v>
      </c>
      <c r="O5" s="50"/>
      <c r="P5" s="51"/>
      <c r="Q5" s="49" t="s">
        <v>11</v>
      </c>
      <c r="R5" s="50"/>
      <c r="S5" s="51"/>
      <c r="T5" s="4" t="s">
        <v>12</v>
      </c>
      <c r="U5" s="4" t="s">
        <v>13</v>
      </c>
    </row>
    <row r="6" spans="4:21" ht="18" x14ac:dyDescent="0.3">
      <c r="D6" s="3"/>
      <c r="E6" s="4"/>
      <c r="F6" s="4"/>
      <c r="G6" s="5"/>
      <c r="H6" s="4"/>
      <c r="I6" s="4"/>
      <c r="J6" s="5" t="s">
        <v>14</v>
      </c>
      <c r="K6" s="5" t="s">
        <v>15</v>
      </c>
      <c r="L6" s="5" t="s">
        <v>16</v>
      </c>
      <c r="M6" s="5" t="s">
        <v>17</v>
      </c>
      <c r="N6" s="5" t="s">
        <v>15</v>
      </c>
      <c r="O6" s="5" t="s">
        <v>16</v>
      </c>
      <c r="P6" s="5" t="s">
        <v>17</v>
      </c>
      <c r="Q6" s="5" t="s">
        <v>15</v>
      </c>
      <c r="R6" s="5" t="s">
        <v>16</v>
      </c>
      <c r="S6" s="5" t="s">
        <v>17</v>
      </c>
      <c r="T6" s="6"/>
      <c r="U6" s="6"/>
    </row>
    <row r="7" spans="4:21" ht="18" x14ac:dyDescent="0.3">
      <c r="D7" s="6">
        <v>1</v>
      </c>
      <c r="E7" s="7" t="s">
        <v>18</v>
      </c>
      <c r="F7" s="6" t="s">
        <v>19</v>
      </c>
      <c r="G7" s="6">
        <v>2191</v>
      </c>
      <c r="H7" s="6">
        <v>489.7</v>
      </c>
      <c r="I7" s="6" t="s">
        <v>20</v>
      </c>
      <c r="J7" s="6" t="s">
        <v>37</v>
      </c>
      <c r="K7" s="6">
        <v>0</v>
      </c>
      <c r="L7" s="6">
        <v>0</v>
      </c>
      <c r="M7" s="8" t="s">
        <v>42</v>
      </c>
      <c r="N7" s="6">
        <v>0</v>
      </c>
      <c r="O7" s="6">
        <v>0</v>
      </c>
      <c r="P7" s="8" t="s">
        <v>42</v>
      </c>
      <c r="Q7" s="6">
        <v>73</v>
      </c>
      <c r="R7" s="6">
        <v>73</v>
      </c>
      <c r="S7" s="8"/>
      <c r="T7" s="9">
        <f t="shared" ref="T7:U19" si="0">K7+N7+Q7</f>
        <v>73</v>
      </c>
      <c r="U7" s="6">
        <f t="shared" si="0"/>
        <v>73</v>
      </c>
    </row>
    <row r="8" spans="4:21" ht="18" x14ac:dyDescent="0.3">
      <c r="D8" s="6">
        <v>2</v>
      </c>
      <c r="E8" s="7" t="s">
        <v>21</v>
      </c>
      <c r="F8" s="6" t="s">
        <v>19</v>
      </c>
      <c r="G8" s="6">
        <v>2191</v>
      </c>
      <c r="H8" s="6">
        <v>489.7</v>
      </c>
      <c r="I8" s="6" t="s">
        <v>20</v>
      </c>
      <c r="J8" s="6" t="s">
        <v>37</v>
      </c>
      <c r="K8" s="6">
        <v>24</v>
      </c>
      <c r="L8" s="6">
        <v>12</v>
      </c>
      <c r="M8" s="8" t="s">
        <v>42</v>
      </c>
      <c r="N8" s="6">
        <v>73</v>
      </c>
      <c r="O8" s="6">
        <v>73</v>
      </c>
      <c r="P8" s="8"/>
      <c r="Q8" s="6">
        <v>73</v>
      </c>
      <c r="R8" s="6">
        <v>17</v>
      </c>
      <c r="S8" s="8" t="s">
        <v>46</v>
      </c>
      <c r="T8" s="9">
        <f t="shared" si="0"/>
        <v>170</v>
      </c>
      <c r="U8" s="6">
        <f t="shared" si="0"/>
        <v>102</v>
      </c>
    </row>
    <row r="9" spans="4:21" ht="18" x14ac:dyDescent="0.3">
      <c r="D9" s="40">
        <v>3</v>
      </c>
      <c r="E9" s="42" t="s">
        <v>22</v>
      </c>
      <c r="F9" s="6" t="s">
        <v>23</v>
      </c>
      <c r="G9" s="6">
        <v>86292</v>
      </c>
      <c r="H9" s="6">
        <v>914.4</v>
      </c>
      <c r="I9" s="6" t="s">
        <v>24</v>
      </c>
      <c r="J9" s="6" t="s">
        <v>38</v>
      </c>
      <c r="K9" s="6">
        <v>0</v>
      </c>
      <c r="L9" s="6">
        <v>0</v>
      </c>
      <c r="M9" s="8" t="s">
        <v>42</v>
      </c>
      <c r="N9" s="6">
        <v>12</v>
      </c>
      <c r="O9" s="6">
        <v>9</v>
      </c>
      <c r="P9" s="8" t="s">
        <v>44</v>
      </c>
      <c r="Q9" s="6">
        <v>21</v>
      </c>
      <c r="R9" s="6">
        <v>19</v>
      </c>
      <c r="S9" s="8"/>
      <c r="T9" s="9">
        <f t="shared" si="0"/>
        <v>33</v>
      </c>
      <c r="U9" s="6">
        <f t="shared" si="0"/>
        <v>28</v>
      </c>
    </row>
    <row r="10" spans="4:21" ht="18" x14ac:dyDescent="0.3">
      <c r="D10" s="41"/>
      <c r="E10" s="43"/>
      <c r="F10" s="6" t="s">
        <v>23</v>
      </c>
      <c r="G10" s="6">
        <v>86292</v>
      </c>
      <c r="H10" s="6">
        <v>914.4</v>
      </c>
      <c r="I10" s="6" t="s">
        <v>24</v>
      </c>
      <c r="J10" s="6" t="s">
        <v>43</v>
      </c>
      <c r="K10" s="6">
        <v>0</v>
      </c>
      <c r="L10" s="6">
        <v>0</v>
      </c>
      <c r="M10" s="8"/>
      <c r="N10" s="6">
        <v>5</v>
      </c>
      <c r="O10" s="6">
        <v>3</v>
      </c>
      <c r="P10" s="8" t="s">
        <v>44</v>
      </c>
      <c r="Q10" s="6">
        <v>4</v>
      </c>
      <c r="R10" s="6">
        <v>4</v>
      </c>
      <c r="S10" s="8"/>
      <c r="T10" s="9"/>
      <c r="U10" s="6"/>
    </row>
    <row r="11" spans="4:21" ht="18" x14ac:dyDescent="0.3">
      <c r="D11" s="6">
        <v>4</v>
      </c>
      <c r="E11" s="7" t="s">
        <v>25</v>
      </c>
      <c r="F11" s="6" t="s">
        <v>26</v>
      </c>
      <c r="G11" s="6">
        <v>83831</v>
      </c>
      <c r="H11" s="6">
        <v>899</v>
      </c>
      <c r="I11" s="6" t="s">
        <v>27</v>
      </c>
      <c r="J11" s="6" t="s">
        <v>40</v>
      </c>
      <c r="K11" s="6">
        <v>60</v>
      </c>
      <c r="L11" s="6">
        <v>60</v>
      </c>
      <c r="M11" s="8" t="s">
        <v>42</v>
      </c>
      <c r="N11" s="6">
        <v>110</v>
      </c>
      <c r="O11" s="6">
        <v>110</v>
      </c>
      <c r="P11" s="8"/>
      <c r="Q11" s="6">
        <v>46</v>
      </c>
      <c r="R11" s="6">
        <v>46</v>
      </c>
      <c r="S11" s="8"/>
      <c r="T11" s="9">
        <f t="shared" si="0"/>
        <v>216</v>
      </c>
      <c r="U11" s="6">
        <f t="shared" si="0"/>
        <v>216</v>
      </c>
    </row>
    <row r="12" spans="4:21" ht="18" x14ac:dyDescent="0.3">
      <c r="D12" s="6">
        <v>5</v>
      </c>
      <c r="E12" s="7" t="s">
        <v>28</v>
      </c>
      <c r="F12" s="6" t="s">
        <v>39</v>
      </c>
      <c r="G12" s="6">
        <v>86221</v>
      </c>
      <c r="H12" s="6">
        <v>235</v>
      </c>
      <c r="I12" s="6" t="s">
        <v>27</v>
      </c>
      <c r="J12" s="6" t="s">
        <v>41</v>
      </c>
      <c r="K12" s="6">
        <v>70</v>
      </c>
      <c r="L12" s="6">
        <v>70</v>
      </c>
      <c r="M12" s="8" t="s">
        <v>29</v>
      </c>
      <c r="N12" s="6"/>
      <c r="O12" s="6"/>
      <c r="P12" s="8" t="s">
        <v>42</v>
      </c>
      <c r="Q12" s="6"/>
      <c r="R12" s="6"/>
      <c r="S12" s="8"/>
      <c r="T12" s="9">
        <f t="shared" si="0"/>
        <v>70</v>
      </c>
      <c r="U12" s="6">
        <f t="shared" si="0"/>
        <v>70</v>
      </c>
    </row>
    <row r="13" spans="4:21" ht="18" x14ac:dyDescent="0.3">
      <c r="D13" s="6">
        <v>6</v>
      </c>
      <c r="E13" s="7" t="s">
        <v>28</v>
      </c>
      <c r="F13" s="6" t="s">
        <v>47</v>
      </c>
      <c r="G13" s="10">
        <v>1792</v>
      </c>
      <c r="H13" s="6">
        <v>230</v>
      </c>
      <c r="I13" s="6" t="s">
        <v>27</v>
      </c>
      <c r="J13" s="6" t="s">
        <v>41</v>
      </c>
      <c r="K13" s="6"/>
      <c r="L13" s="6"/>
      <c r="M13" s="8"/>
      <c r="N13" s="6"/>
      <c r="O13" s="6"/>
      <c r="P13" s="8"/>
      <c r="Q13" s="6">
        <v>55</v>
      </c>
      <c r="R13" s="6">
        <v>2</v>
      </c>
      <c r="S13" s="8" t="s">
        <v>48</v>
      </c>
      <c r="T13" s="9">
        <v>55</v>
      </c>
      <c r="U13" s="6">
        <v>2</v>
      </c>
    </row>
    <row r="14" spans="4:21" ht="18" x14ac:dyDescent="0.35">
      <c r="D14" s="6">
        <v>7</v>
      </c>
      <c r="E14" s="12" t="s">
        <v>30</v>
      </c>
      <c r="F14" s="6"/>
      <c r="G14" s="10"/>
      <c r="H14" s="6"/>
      <c r="I14" s="6"/>
      <c r="J14" s="11"/>
      <c r="K14" s="11"/>
      <c r="L14" s="6"/>
      <c r="M14" s="8" t="s">
        <v>42</v>
      </c>
      <c r="N14" s="11"/>
      <c r="O14" s="6"/>
      <c r="P14" s="8" t="s">
        <v>42</v>
      </c>
      <c r="Q14" s="11">
        <v>0</v>
      </c>
      <c r="R14" s="6">
        <v>0</v>
      </c>
      <c r="S14" s="8" t="s">
        <v>42</v>
      </c>
      <c r="T14" s="9">
        <f t="shared" si="0"/>
        <v>0</v>
      </c>
      <c r="U14" s="6">
        <f t="shared" si="0"/>
        <v>0</v>
      </c>
    </row>
    <row r="15" spans="4:21" ht="18" x14ac:dyDescent="0.35">
      <c r="D15" s="6">
        <v>8</v>
      </c>
      <c r="E15" s="13" t="s">
        <v>31</v>
      </c>
      <c r="F15" s="6" t="s">
        <v>32</v>
      </c>
      <c r="G15" s="6">
        <v>86344</v>
      </c>
      <c r="H15" s="6">
        <v>914.4</v>
      </c>
      <c r="I15" s="6" t="s">
        <v>24</v>
      </c>
      <c r="J15" s="6"/>
      <c r="K15" s="11"/>
      <c r="L15" s="6"/>
      <c r="M15" s="8" t="s">
        <v>42</v>
      </c>
      <c r="N15" s="11"/>
      <c r="O15" s="6"/>
      <c r="P15" s="8" t="s">
        <v>42</v>
      </c>
      <c r="Q15" s="11"/>
      <c r="R15" s="6"/>
      <c r="S15" s="8"/>
      <c r="T15" s="9">
        <f t="shared" si="0"/>
        <v>0</v>
      </c>
      <c r="U15" s="6">
        <f t="shared" si="0"/>
        <v>0</v>
      </c>
    </row>
    <row r="16" spans="4:21" ht="18" x14ac:dyDescent="0.35">
      <c r="D16" s="6">
        <v>9</v>
      </c>
      <c r="E16" s="13" t="s">
        <v>31</v>
      </c>
      <c r="F16" s="6" t="s">
        <v>47</v>
      </c>
      <c r="G16" s="6">
        <v>1792</v>
      </c>
      <c r="H16" s="6">
        <v>2500</v>
      </c>
      <c r="I16" s="6" t="s">
        <v>49</v>
      </c>
      <c r="J16" s="6"/>
      <c r="K16" s="11"/>
      <c r="L16" s="6"/>
      <c r="M16" s="8"/>
      <c r="N16" s="11"/>
      <c r="O16" s="6"/>
      <c r="P16" s="8"/>
      <c r="Q16" s="11">
        <v>40</v>
      </c>
      <c r="R16" s="6">
        <v>22</v>
      </c>
      <c r="S16" s="8"/>
      <c r="T16" s="9"/>
      <c r="U16" s="6"/>
    </row>
    <row r="17" spans="4:21" ht="18" x14ac:dyDescent="0.35">
      <c r="D17" s="6">
        <v>10</v>
      </c>
      <c r="E17" s="7" t="s">
        <v>33</v>
      </c>
      <c r="F17" s="6" t="s">
        <v>39</v>
      </c>
      <c r="G17" s="6">
        <v>86221</v>
      </c>
      <c r="H17" s="6">
        <v>235</v>
      </c>
      <c r="I17" s="6" t="s">
        <v>27</v>
      </c>
      <c r="J17" s="6" t="s">
        <v>41</v>
      </c>
      <c r="K17" s="11"/>
      <c r="L17" s="6"/>
      <c r="M17" s="8" t="s">
        <v>42</v>
      </c>
      <c r="N17" s="11">
        <v>146</v>
      </c>
      <c r="O17" s="6">
        <v>100</v>
      </c>
      <c r="P17" s="8" t="s">
        <v>45</v>
      </c>
      <c r="Q17" s="11">
        <v>73</v>
      </c>
      <c r="R17" s="6">
        <v>73</v>
      </c>
      <c r="S17" s="8"/>
      <c r="T17" s="9">
        <f t="shared" si="0"/>
        <v>219</v>
      </c>
      <c r="U17" s="6">
        <f t="shared" si="0"/>
        <v>173</v>
      </c>
    </row>
    <row r="18" spans="4:21" ht="18" x14ac:dyDescent="0.3">
      <c r="D18" s="6">
        <v>11</v>
      </c>
      <c r="E18" s="7" t="s">
        <v>34</v>
      </c>
      <c r="F18" s="6"/>
      <c r="G18" s="6"/>
      <c r="H18" s="6"/>
      <c r="I18" s="6"/>
      <c r="J18" s="6"/>
      <c r="K18" s="6"/>
      <c r="L18" s="6"/>
      <c r="M18" s="8" t="s">
        <v>42</v>
      </c>
      <c r="N18" s="6"/>
      <c r="O18" s="6"/>
      <c r="P18" s="8" t="s">
        <v>42</v>
      </c>
      <c r="Q18" s="6">
        <v>0</v>
      </c>
      <c r="R18" s="6">
        <v>0</v>
      </c>
      <c r="S18" s="8"/>
      <c r="T18" s="9">
        <f t="shared" si="0"/>
        <v>0</v>
      </c>
      <c r="U18" s="6">
        <f t="shared" si="0"/>
        <v>0</v>
      </c>
    </row>
    <row r="19" spans="4:21" ht="18" x14ac:dyDescent="0.35">
      <c r="D19" s="6">
        <v>12</v>
      </c>
      <c r="E19" s="7" t="s">
        <v>35</v>
      </c>
      <c r="F19" s="6"/>
      <c r="G19" s="6"/>
      <c r="H19" s="6"/>
      <c r="I19" s="6"/>
      <c r="J19" s="6"/>
      <c r="K19" s="11"/>
      <c r="L19" s="6"/>
      <c r="M19" s="8" t="s">
        <v>42</v>
      </c>
      <c r="N19" s="11"/>
      <c r="O19" s="6"/>
      <c r="P19" s="8" t="s">
        <v>42</v>
      </c>
      <c r="Q19" s="11">
        <v>0</v>
      </c>
      <c r="R19" s="6">
        <v>0</v>
      </c>
      <c r="S19" s="8"/>
      <c r="T19" s="9">
        <f t="shared" si="0"/>
        <v>0</v>
      </c>
      <c r="U19" s="6">
        <f t="shared" si="0"/>
        <v>0</v>
      </c>
    </row>
  </sheetData>
  <mergeCells count="7">
    <mergeCell ref="D9:D10"/>
    <mergeCell ref="E9:E10"/>
    <mergeCell ref="D4:P4"/>
    <mergeCell ref="T4:U4"/>
    <mergeCell ref="K5:M5"/>
    <mergeCell ref="N5:P5"/>
    <mergeCell ref="Q5:S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S24"/>
  <sheetViews>
    <sheetView topLeftCell="F1" zoomScale="80" zoomScaleNormal="80" workbookViewId="0">
      <selection activeCell="I24" sqref="I24"/>
    </sheetView>
  </sheetViews>
  <sheetFormatPr defaultRowHeight="14.4" x14ac:dyDescent="0.3"/>
  <cols>
    <col min="1" max="1" width="4.109375" customWidth="1"/>
    <col min="4" max="4" width="17.88671875" customWidth="1"/>
    <col min="7" max="7" width="23.44140625" customWidth="1"/>
    <col min="8" max="8" width="14" customWidth="1"/>
    <col min="11" max="11" width="25.44140625" customWidth="1"/>
    <col min="14" max="14" width="25.88671875" bestFit="1" customWidth="1"/>
    <col min="17" max="17" width="19.33203125" customWidth="1"/>
    <col min="19" max="19" width="11.88671875" customWidth="1"/>
    <col min="20" max="20" width="4" customWidth="1"/>
  </cols>
  <sheetData>
    <row r="4" spans="2:19" ht="18" x14ac:dyDescent="0.35">
      <c r="B4" s="44" t="s">
        <v>0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6"/>
      <c r="O4" s="1" t="s">
        <v>1</v>
      </c>
      <c r="P4" s="2" t="s">
        <v>52</v>
      </c>
      <c r="Q4" s="1" t="s">
        <v>2</v>
      </c>
      <c r="R4" s="47"/>
      <c r="S4" s="48"/>
    </row>
    <row r="5" spans="2:19" ht="72" x14ac:dyDescent="0.3">
      <c r="B5" s="3" t="s">
        <v>3</v>
      </c>
      <c r="C5" s="4" t="s">
        <v>4</v>
      </c>
      <c r="D5" s="4" t="s">
        <v>5</v>
      </c>
      <c r="E5" s="5" t="s">
        <v>6</v>
      </c>
      <c r="F5" s="4" t="s">
        <v>7</v>
      </c>
      <c r="G5" s="4" t="s">
        <v>8</v>
      </c>
      <c r="H5" s="5"/>
      <c r="I5" s="49" t="s">
        <v>9</v>
      </c>
      <c r="J5" s="50"/>
      <c r="K5" s="51"/>
      <c r="L5" s="49" t="s">
        <v>10</v>
      </c>
      <c r="M5" s="50"/>
      <c r="N5" s="51"/>
      <c r="O5" s="49" t="s">
        <v>11</v>
      </c>
      <c r="P5" s="50"/>
      <c r="Q5" s="51"/>
      <c r="R5" s="4" t="s">
        <v>12</v>
      </c>
      <c r="S5" s="4" t="s">
        <v>13</v>
      </c>
    </row>
    <row r="6" spans="2:19" ht="18" x14ac:dyDescent="0.3">
      <c r="B6" s="3"/>
      <c r="C6" s="4"/>
      <c r="D6" s="4"/>
      <c r="E6" s="5"/>
      <c r="F6" s="4"/>
      <c r="G6" s="4"/>
      <c r="H6" s="5" t="s">
        <v>14</v>
      </c>
      <c r="I6" s="5" t="s">
        <v>15</v>
      </c>
      <c r="J6" s="5" t="s">
        <v>16</v>
      </c>
      <c r="K6" s="5" t="s">
        <v>17</v>
      </c>
      <c r="L6" s="5" t="s">
        <v>15</v>
      </c>
      <c r="M6" s="5" t="s">
        <v>16</v>
      </c>
      <c r="N6" s="5" t="s">
        <v>17</v>
      </c>
      <c r="O6" s="5" t="s">
        <v>15</v>
      </c>
      <c r="P6" s="5" t="s">
        <v>16</v>
      </c>
      <c r="Q6" s="5" t="s">
        <v>17</v>
      </c>
      <c r="R6" s="6"/>
      <c r="S6" s="6"/>
    </row>
    <row r="7" spans="2:19" ht="18" x14ac:dyDescent="0.3">
      <c r="B7" s="6">
        <v>1</v>
      </c>
      <c r="C7" s="7" t="s">
        <v>18</v>
      </c>
      <c r="D7" s="6" t="s">
        <v>19</v>
      </c>
      <c r="E7" s="6">
        <v>2191</v>
      </c>
      <c r="F7" s="6">
        <v>489.7</v>
      </c>
      <c r="G7" s="6" t="s">
        <v>20</v>
      </c>
      <c r="H7" s="6" t="s">
        <v>37</v>
      </c>
      <c r="I7" s="6">
        <v>0</v>
      </c>
      <c r="J7" s="6">
        <v>0</v>
      </c>
      <c r="K7" s="8" t="s">
        <v>29</v>
      </c>
      <c r="L7" s="6">
        <v>0</v>
      </c>
      <c r="M7" s="6">
        <v>0</v>
      </c>
      <c r="N7" s="8" t="s">
        <v>29</v>
      </c>
      <c r="O7" s="6">
        <v>0</v>
      </c>
      <c r="P7" s="6">
        <v>0</v>
      </c>
      <c r="Q7" s="8" t="s">
        <v>60</v>
      </c>
      <c r="R7" s="9">
        <f>I7+L7+O7</f>
        <v>0</v>
      </c>
      <c r="S7" s="6">
        <f t="shared" ref="S7:S21" si="0">J7+M7+P7</f>
        <v>0</v>
      </c>
    </row>
    <row r="8" spans="2:19" ht="18" x14ac:dyDescent="0.3">
      <c r="B8" s="6">
        <v>2</v>
      </c>
      <c r="C8" s="7" t="s">
        <v>21</v>
      </c>
      <c r="D8" s="6" t="s">
        <v>19</v>
      </c>
      <c r="E8" s="6">
        <v>2191</v>
      </c>
      <c r="F8" s="6">
        <v>489.7</v>
      </c>
      <c r="G8" s="6" t="s">
        <v>20</v>
      </c>
      <c r="H8" s="6" t="s">
        <v>37</v>
      </c>
      <c r="I8" s="6">
        <v>73</v>
      </c>
      <c r="J8" s="6">
        <v>37</v>
      </c>
      <c r="K8" s="8" t="s">
        <v>29</v>
      </c>
      <c r="L8" s="6">
        <v>0</v>
      </c>
      <c r="M8" s="6">
        <v>0</v>
      </c>
      <c r="N8" s="8" t="s">
        <v>29</v>
      </c>
      <c r="O8" s="6"/>
      <c r="P8" s="6"/>
      <c r="Q8" s="8"/>
      <c r="R8" s="9">
        <f t="shared" ref="R8:R21" si="1">I8+L8+O8</f>
        <v>73</v>
      </c>
      <c r="S8" s="6">
        <f t="shared" si="0"/>
        <v>37</v>
      </c>
    </row>
    <row r="9" spans="2:19" ht="18" x14ac:dyDescent="0.3">
      <c r="B9" s="14">
        <v>3</v>
      </c>
      <c r="C9" s="7" t="s">
        <v>21</v>
      </c>
      <c r="D9" s="6" t="s">
        <v>23</v>
      </c>
      <c r="E9" s="6">
        <v>86292</v>
      </c>
      <c r="F9" s="6">
        <v>914.4</v>
      </c>
      <c r="G9" s="6" t="s">
        <v>61</v>
      </c>
      <c r="H9" s="6"/>
      <c r="I9" s="6"/>
      <c r="J9" s="6"/>
      <c r="K9" s="8"/>
      <c r="L9" s="6"/>
      <c r="M9" s="6"/>
      <c r="N9" s="8"/>
      <c r="O9" s="6">
        <v>20</v>
      </c>
      <c r="P9" s="6">
        <v>18</v>
      </c>
      <c r="Q9" s="8" t="s">
        <v>44</v>
      </c>
      <c r="R9" s="9"/>
      <c r="S9" s="6"/>
    </row>
    <row r="10" spans="2:19" ht="18" x14ac:dyDescent="0.3">
      <c r="B10" s="40">
        <v>4</v>
      </c>
      <c r="C10" s="42" t="s">
        <v>22</v>
      </c>
      <c r="D10" s="6" t="s">
        <v>23</v>
      </c>
      <c r="E10" s="6">
        <v>86292</v>
      </c>
      <c r="F10" s="6">
        <v>914.4</v>
      </c>
      <c r="G10" s="6" t="s">
        <v>53</v>
      </c>
      <c r="H10" s="6" t="s">
        <v>51</v>
      </c>
      <c r="I10" s="6">
        <v>55</v>
      </c>
      <c r="J10" s="6">
        <v>53</v>
      </c>
      <c r="K10" s="8"/>
      <c r="L10" s="6">
        <v>0</v>
      </c>
      <c r="M10" s="6">
        <v>0</v>
      </c>
      <c r="N10" s="8" t="s">
        <v>57</v>
      </c>
      <c r="O10" s="6">
        <v>15</v>
      </c>
      <c r="P10" s="6">
        <v>15</v>
      </c>
      <c r="Q10" s="8" t="s">
        <v>62</v>
      </c>
      <c r="R10" s="9">
        <f t="shared" si="1"/>
        <v>70</v>
      </c>
      <c r="S10" s="6">
        <f t="shared" si="0"/>
        <v>68</v>
      </c>
    </row>
    <row r="11" spans="2:19" ht="18" hidden="1" x14ac:dyDescent="0.3">
      <c r="B11" s="41"/>
      <c r="C11" s="43"/>
      <c r="D11" s="6" t="s">
        <v>23</v>
      </c>
      <c r="E11" s="6">
        <v>86292</v>
      </c>
      <c r="F11" s="6">
        <v>914.4</v>
      </c>
      <c r="G11" s="6" t="s">
        <v>24</v>
      </c>
      <c r="H11" s="6" t="s">
        <v>43</v>
      </c>
      <c r="I11" s="6"/>
      <c r="J11" s="6"/>
      <c r="K11" s="8"/>
      <c r="L11" s="6"/>
      <c r="M11" s="6"/>
      <c r="N11" s="8"/>
      <c r="O11" s="6"/>
      <c r="P11" s="6"/>
      <c r="Q11" s="8"/>
      <c r="R11" s="9">
        <f t="shared" si="1"/>
        <v>0</v>
      </c>
      <c r="S11" s="6">
        <f t="shared" si="0"/>
        <v>0</v>
      </c>
    </row>
    <row r="12" spans="2:19" ht="18" x14ac:dyDescent="0.3">
      <c r="B12" s="6">
        <v>5</v>
      </c>
      <c r="C12" s="7" t="s">
        <v>25</v>
      </c>
      <c r="D12" s="6" t="s">
        <v>26</v>
      </c>
      <c r="E12" s="6">
        <v>83831</v>
      </c>
      <c r="F12" s="6">
        <v>899</v>
      </c>
      <c r="G12" s="6" t="s">
        <v>27</v>
      </c>
      <c r="H12" s="6" t="s">
        <v>40</v>
      </c>
      <c r="I12" s="6">
        <v>0</v>
      </c>
      <c r="J12" s="6">
        <v>0</v>
      </c>
      <c r="K12" s="8" t="s">
        <v>29</v>
      </c>
      <c r="L12" s="6">
        <v>0</v>
      </c>
      <c r="M12" s="6">
        <v>0</v>
      </c>
      <c r="N12" s="8" t="s">
        <v>29</v>
      </c>
      <c r="O12" s="6">
        <v>0</v>
      </c>
      <c r="P12" s="6">
        <v>0</v>
      </c>
      <c r="Q12" s="8" t="s">
        <v>60</v>
      </c>
      <c r="R12" s="9">
        <f t="shared" si="1"/>
        <v>0</v>
      </c>
      <c r="S12" s="6">
        <f t="shared" si="0"/>
        <v>0</v>
      </c>
    </row>
    <row r="13" spans="2:19" ht="18" x14ac:dyDescent="0.3">
      <c r="B13" s="6">
        <v>6</v>
      </c>
      <c r="C13" s="7" t="s">
        <v>28</v>
      </c>
      <c r="D13" s="6" t="s">
        <v>47</v>
      </c>
      <c r="E13" s="10">
        <v>1792</v>
      </c>
      <c r="F13" s="6">
        <v>230</v>
      </c>
      <c r="G13" s="6" t="s">
        <v>27</v>
      </c>
      <c r="H13" s="6" t="s">
        <v>41</v>
      </c>
      <c r="I13" s="6">
        <v>120</v>
      </c>
      <c r="J13" s="6">
        <v>110</v>
      </c>
      <c r="K13" s="8" t="s">
        <v>56</v>
      </c>
      <c r="L13" s="6">
        <v>0</v>
      </c>
      <c r="M13" s="6">
        <v>0</v>
      </c>
      <c r="N13" s="8" t="s">
        <v>57</v>
      </c>
      <c r="O13" s="6">
        <v>0</v>
      </c>
      <c r="P13" s="6">
        <v>0</v>
      </c>
      <c r="Q13" s="8" t="s">
        <v>60</v>
      </c>
      <c r="R13" s="9">
        <f t="shared" si="1"/>
        <v>120</v>
      </c>
      <c r="S13" s="6">
        <f t="shared" si="0"/>
        <v>110</v>
      </c>
    </row>
    <row r="14" spans="2:19" ht="18" x14ac:dyDescent="0.35">
      <c r="B14" s="6">
        <v>7</v>
      </c>
      <c r="C14" s="12" t="s">
        <v>30</v>
      </c>
      <c r="D14" s="6"/>
      <c r="E14" s="10"/>
      <c r="F14" s="6"/>
      <c r="G14" s="6"/>
      <c r="H14" s="11"/>
      <c r="I14" s="11"/>
      <c r="J14" s="6"/>
      <c r="K14" s="8" t="s">
        <v>42</v>
      </c>
      <c r="L14" s="11">
        <v>0</v>
      </c>
      <c r="M14" s="6">
        <v>0</v>
      </c>
      <c r="N14" s="8" t="s">
        <v>42</v>
      </c>
      <c r="O14" s="11">
        <v>0</v>
      </c>
      <c r="P14" s="6">
        <v>0</v>
      </c>
      <c r="Q14" s="8"/>
      <c r="R14" s="9">
        <f t="shared" si="1"/>
        <v>0</v>
      </c>
      <c r="S14" s="6">
        <f t="shared" si="0"/>
        <v>0</v>
      </c>
    </row>
    <row r="15" spans="2:19" ht="18" customHeight="1" x14ac:dyDescent="0.35">
      <c r="B15" s="40">
        <v>8</v>
      </c>
      <c r="C15" s="42" t="s">
        <v>31</v>
      </c>
      <c r="D15" s="6" t="s">
        <v>47</v>
      </c>
      <c r="E15" s="10">
        <v>1792</v>
      </c>
      <c r="F15" s="6">
        <v>2500</v>
      </c>
      <c r="G15" s="6" t="s">
        <v>49</v>
      </c>
      <c r="H15" s="6" t="s">
        <v>51</v>
      </c>
      <c r="I15" s="11">
        <v>55</v>
      </c>
      <c r="J15" s="6">
        <v>55</v>
      </c>
      <c r="K15" s="8"/>
      <c r="L15" s="11">
        <v>27</v>
      </c>
      <c r="M15" s="6">
        <v>27</v>
      </c>
      <c r="N15" s="8" t="s">
        <v>59</v>
      </c>
      <c r="O15" s="11"/>
      <c r="P15" s="6"/>
      <c r="Q15" s="8"/>
      <c r="R15" s="9">
        <f t="shared" si="1"/>
        <v>82</v>
      </c>
      <c r="S15" s="6">
        <f t="shared" si="0"/>
        <v>82</v>
      </c>
    </row>
    <row r="16" spans="2:19" ht="18.75" hidden="1" customHeight="1" x14ac:dyDescent="0.35">
      <c r="B16" s="52"/>
      <c r="C16" s="53"/>
      <c r="D16" s="6" t="s">
        <v>47</v>
      </c>
      <c r="E16" s="6">
        <v>1792</v>
      </c>
      <c r="F16" s="6">
        <v>2500</v>
      </c>
      <c r="G16" s="6" t="s">
        <v>49</v>
      </c>
      <c r="H16" s="6"/>
      <c r="I16" s="11"/>
      <c r="J16" s="6"/>
      <c r="K16" s="8"/>
      <c r="L16" s="11"/>
      <c r="M16" s="6"/>
      <c r="N16" s="8"/>
      <c r="O16" s="11"/>
      <c r="P16" s="6"/>
      <c r="Q16" s="8"/>
      <c r="R16" s="9">
        <f t="shared" si="1"/>
        <v>0</v>
      </c>
      <c r="S16" s="6">
        <f t="shared" si="0"/>
        <v>0</v>
      </c>
    </row>
    <row r="17" spans="2:19" ht="18" x14ac:dyDescent="0.35">
      <c r="B17" s="41"/>
      <c r="C17" s="43"/>
      <c r="D17" s="6" t="s">
        <v>47</v>
      </c>
      <c r="E17" s="6">
        <v>1770</v>
      </c>
      <c r="F17" s="6">
        <v>6100</v>
      </c>
      <c r="G17" s="6" t="s">
        <v>49</v>
      </c>
      <c r="H17" s="6"/>
      <c r="I17" s="11">
        <v>0</v>
      </c>
      <c r="J17" s="6">
        <v>0</v>
      </c>
      <c r="K17" s="8"/>
      <c r="L17" s="11">
        <v>8</v>
      </c>
      <c r="M17" s="6">
        <v>5</v>
      </c>
      <c r="N17" s="8" t="s">
        <v>44</v>
      </c>
      <c r="O17" s="11">
        <v>14</v>
      </c>
      <c r="P17" s="6">
        <v>13</v>
      </c>
      <c r="Q17" s="8"/>
      <c r="R17" s="9">
        <f t="shared" si="1"/>
        <v>22</v>
      </c>
      <c r="S17" s="6">
        <f t="shared" si="0"/>
        <v>18</v>
      </c>
    </row>
    <row r="18" spans="2:19" ht="18" x14ac:dyDescent="0.35">
      <c r="B18" s="6">
        <v>9</v>
      </c>
      <c r="C18" s="7" t="s">
        <v>33</v>
      </c>
      <c r="D18" s="6" t="s">
        <v>47</v>
      </c>
      <c r="E18" s="6">
        <v>1792</v>
      </c>
      <c r="F18" s="6">
        <v>5000</v>
      </c>
      <c r="G18" s="6" t="s">
        <v>49</v>
      </c>
      <c r="H18" s="6" t="s">
        <v>38</v>
      </c>
      <c r="I18" s="11">
        <v>31</v>
      </c>
      <c r="J18" s="6">
        <v>26</v>
      </c>
      <c r="K18" s="8" t="s">
        <v>55</v>
      </c>
      <c r="L18" s="11">
        <v>31</v>
      </c>
      <c r="M18" s="16">
        <v>31</v>
      </c>
      <c r="N18" s="6" t="s">
        <v>42</v>
      </c>
      <c r="O18" s="11">
        <v>8</v>
      </c>
      <c r="P18" s="6">
        <v>8</v>
      </c>
      <c r="Q18" s="8"/>
      <c r="R18" s="9">
        <f t="shared" si="1"/>
        <v>70</v>
      </c>
      <c r="S18" s="6">
        <f t="shared" si="0"/>
        <v>65</v>
      </c>
    </row>
    <row r="19" spans="2:19" ht="18" x14ac:dyDescent="0.35">
      <c r="B19" s="6">
        <v>10</v>
      </c>
      <c r="C19" s="7" t="s">
        <v>33</v>
      </c>
      <c r="D19" s="6" t="s">
        <v>47</v>
      </c>
      <c r="E19" s="6">
        <v>2439</v>
      </c>
      <c r="F19" s="6">
        <v>5005</v>
      </c>
      <c r="G19" s="6" t="s">
        <v>49</v>
      </c>
      <c r="H19" s="6"/>
      <c r="I19" s="11"/>
      <c r="J19" s="6"/>
      <c r="K19" s="8"/>
      <c r="L19" s="11"/>
      <c r="M19" s="16"/>
      <c r="N19" s="8"/>
      <c r="O19" s="11">
        <v>1</v>
      </c>
      <c r="P19" s="6">
        <v>1</v>
      </c>
      <c r="Q19" s="8" t="s">
        <v>44</v>
      </c>
      <c r="R19" s="9"/>
      <c r="S19" s="6"/>
    </row>
    <row r="20" spans="2:19" ht="18" x14ac:dyDescent="0.3">
      <c r="B20" s="6">
        <v>11</v>
      </c>
      <c r="C20" s="7" t="s">
        <v>34</v>
      </c>
      <c r="D20" s="6"/>
      <c r="E20" s="6"/>
      <c r="F20" s="6"/>
      <c r="G20" s="6"/>
      <c r="H20" s="6"/>
      <c r="I20" s="6"/>
      <c r="J20" s="6"/>
      <c r="K20" s="8" t="s">
        <v>54</v>
      </c>
      <c r="L20" s="6">
        <v>0</v>
      </c>
      <c r="M20" s="6">
        <v>0</v>
      </c>
      <c r="N20" s="8" t="s">
        <v>58</v>
      </c>
      <c r="O20" s="6"/>
      <c r="P20" s="6"/>
      <c r="Q20" s="8"/>
      <c r="R20" s="9">
        <f t="shared" si="1"/>
        <v>0</v>
      </c>
      <c r="S20" s="6">
        <f t="shared" si="0"/>
        <v>0</v>
      </c>
    </row>
    <row r="21" spans="2:19" ht="18" x14ac:dyDescent="0.35">
      <c r="B21" s="6">
        <v>12</v>
      </c>
      <c r="C21" s="7" t="s">
        <v>35</v>
      </c>
      <c r="D21" s="6"/>
      <c r="E21" s="6"/>
      <c r="F21" s="6"/>
      <c r="G21" s="6"/>
      <c r="H21" s="6"/>
      <c r="I21" s="11"/>
      <c r="J21" s="6"/>
      <c r="K21" s="8" t="s">
        <v>29</v>
      </c>
      <c r="L21" s="11">
        <v>0</v>
      </c>
      <c r="M21" s="6">
        <v>0</v>
      </c>
      <c r="N21" s="8" t="s">
        <v>29</v>
      </c>
      <c r="O21" s="11"/>
      <c r="P21" s="6"/>
      <c r="Q21" s="8"/>
      <c r="R21" s="9">
        <f t="shared" si="1"/>
        <v>0</v>
      </c>
      <c r="S21" s="6">
        <f t="shared" si="0"/>
        <v>0</v>
      </c>
    </row>
    <row r="24" spans="2:19" ht="18" x14ac:dyDescent="0.3">
      <c r="F24" t="s">
        <v>50</v>
      </c>
      <c r="N24" s="15"/>
    </row>
  </sheetData>
  <mergeCells count="9">
    <mergeCell ref="B15:B17"/>
    <mergeCell ref="C15:C17"/>
    <mergeCell ref="B4:N4"/>
    <mergeCell ref="R4:S4"/>
    <mergeCell ref="I5:K5"/>
    <mergeCell ref="L5:N5"/>
    <mergeCell ref="O5:Q5"/>
    <mergeCell ref="B10:B11"/>
    <mergeCell ref="C10:C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S30"/>
  <sheetViews>
    <sheetView topLeftCell="D1" zoomScale="70" zoomScaleNormal="70" workbookViewId="0">
      <selection activeCell="Q30" sqref="Q30"/>
    </sheetView>
  </sheetViews>
  <sheetFormatPr defaultRowHeight="14.4" x14ac:dyDescent="0.3"/>
  <cols>
    <col min="1" max="1" width="4.44140625" customWidth="1"/>
    <col min="3" max="3" width="13.5546875" customWidth="1"/>
    <col min="4" max="4" width="16.109375" customWidth="1"/>
    <col min="5" max="5" width="11.6640625" customWidth="1"/>
    <col min="7" max="7" width="18.88671875" customWidth="1"/>
    <col min="8" max="8" width="12" customWidth="1"/>
    <col min="11" max="11" width="36" customWidth="1"/>
    <col min="14" max="14" width="17.44140625" customWidth="1"/>
    <col min="17" max="17" width="21.88671875" customWidth="1"/>
    <col min="20" max="20" width="4" customWidth="1"/>
  </cols>
  <sheetData>
    <row r="4" spans="2:19" ht="18" x14ac:dyDescent="0.35">
      <c r="B4" s="44" t="s">
        <v>0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6"/>
      <c r="O4" s="1" t="s">
        <v>1</v>
      </c>
      <c r="P4" s="2" t="s">
        <v>68</v>
      </c>
      <c r="Q4" s="1" t="s">
        <v>2</v>
      </c>
      <c r="R4" s="47"/>
      <c r="S4" s="48"/>
    </row>
    <row r="5" spans="2:19" ht="54" x14ac:dyDescent="0.3">
      <c r="B5" s="3" t="s">
        <v>3</v>
      </c>
      <c r="C5" s="4" t="s">
        <v>4</v>
      </c>
      <c r="D5" s="4" t="s">
        <v>5</v>
      </c>
      <c r="E5" s="5" t="s">
        <v>6</v>
      </c>
      <c r="F5" s="4" t="s">
        <v>7</v>
      </c>
      <c r="G5" s="4" t="s">
        <v>8</v>
      </c>
      <c r="H5" s="5"/>
      <c r="I5" s="49" t="s">
        <v>9</v>
      </c>
      <c r="J5" s="50"/>
      <c r="K5" s="51"/>
      <c r="L5" s="49" t="s">
        <v>10</v>
      </c>
      <c r="M5" s="50"/>
      <c r="N5" s="51"/>
      <c r="O5" s="49" t="s">
        <v>11</v>
      </c>
      <c r="P5" s="50"/>
      <c r="Q5" s="51"/>
      <c r="R5" s="4" t="s">
        <v>12</v>
      </c>
      <c r="S5" s="4" t="s">
        <v>13</v>
      </c>
    </row>
    <row r="6" spans="2:19" ht="18" x14ac:dyDescent="0.3">
      <c r="B6" s="3"/>
      <c r="C6" s="4"/>
      <c r="D6" s="4"/>
      <c r="E6" s="5"/>
      <c r="F6" s="4"/>
      <c r="G6" s="4"/>
      <c r="H6" s="5" t="s">
        <v>14</v>
      </c>
      <c r="I6" s="5" t="s">
        <v>15</v>
      </c>
      <c r="J6" s="5" t="s">
        <v>16</v>
      </c>
      <c r="K6" s="5" t="s">
        <v>17</v>
      </c>
      <c r="L6" s="5" t="s">
        <v>15</v>
      </c>
      <c r="M6" s="5" t="s">
        <v>16</v>
      </c>
      <c r="N6" s="5" t="s">
        <v>17</v>
      </c>
      <c r="O6" s="5" t="s">
        <v>15</v>
      </c>
      <c r="P6" s="5" t="s">
        <v>16</v>
      </c>
      <c r="Q6" s="5" t="s">
        <v>17</v>
      </c>
      <c r="R6" s="6"/>
      <c r="S6" s="6"/>
    </row>
    <row r="7" spans="2:19" ht="18" x14ac:dyDescent="0.3">
      <c r="B7" s="6">
        <v>1</v>
      </c>
      <c r="C7" s="7" t="s">
        <v>18</v>
      </c>
      <c r="D7" s="6" t="s">
        <v>19</v>
      </c>
      <c r="E7" s="6">
        <v>2191</v>
      </c>
      <c r="F7" s="6">
        <v>489.7</v>
      </c>
      <c r="G7" s="6" t="s">
        <v>20</v>
      </c>
      <c r="H7" s="6" t="s">
        <v>37</v>
      </c>
      <c r="I7" s="6">
        <v>0</v>
      </c>
      <c r="J7" s="6">
        <v>0</v>
      </c>
      <c r="K7" s="8" t="s">
        <v>29</v>
      </c>
      <c r="L7" s="6"/>
      <c r="M7" s="6"/>
      <c r="N7" s="8" t="s">
        <v>29</v>
      </c>
      <c r="O7" s="6">
        <v>0</v>
      </c>
      <c r="P7" s="6">
        <v>0</v>
      </c>
      <c r="Q7" s="8" t="s">
        <v>60</v>
      </c>
      <c r="R7" s="9">
        <f>I7+L7+O7</f>
        <v>0</v>
      </c>
      <c r="S7" s="6">
        <f t="shared" ref="S7:S19" si="0">J7+M7+P7</f>
        <v>0</v>
      </c>
    </row>
    <row r="8" spans="2:19" ht="18" x14ac:dyDescent="0.3">
      <c r="B8" s="14">
        <v>3</v>
      </c>
      <c r="C8" s="7" t="s">
        <v>21</v>
      </c>
      <c r="D8" s="6" t="s">
        <v>23</v>
      </c>
      <c r="E8" s="6">
        <v>86292</v>
      </c>
      <c r="F8" s="6">
        <v>914.4</v>
      </c>
      <c r="G8" s="6" t="s">
        <v>61</v>
      </c>
      <c r="H8" s="6" t="s">
        <v>63</v>
      </c>
      <c r="I8" s="6">
        <v>62</v>
      </c>
      <c r="J8" s="6">
        <v>57</v>
      </c>
      <c r="K8" s="8" t="s">
        <v>67</v>
      </c>
      <c r="L8" s="6">
        <v>62</v>
      </c>
      <c r="M8" s="6">
        <v>62</v>
      </c>
      <c r="N8" s="8"/>
      <c r="O8" s="6">
        <v>63</v>
      </c>
      <c r="P8" s="6">
        <v>63</v>
      </c>
      <c r="Q8" s="8"/>
      <c r="R8" s="9">
        <f t="shared" ref="R8:R19" si="1">I8+L8+O8</f>
        <v>187</v>
      </c>
      <c r="S8" s="6">
        <f t="shared" si="0"/>
        <v>182</v>
      </c>
    </row>
    <row r="9" spans="2:19" ht="18" hidden="1" x14ac:dyDescent="0.3">
      <c r="B9" s="40">
        <v>4</v>
      </c>
      <c r="C9" s="42" t="s">
        <v>22</v>
      </c>
      <c r="D9" s="6" t="s">
        <v>23</v>
      </c>
      <c r="E9" s="6">
        <v>86292</v>
      </c>
      <c r="F9" s="6">
        <v>914.4</v>
      </c>
      <c r="G9" s="6" t="s">
        <v>53</v>
      </c>
      <c r="H9" s="6" t="s">
        <v>51</v>
      </c>
      <c r="I9" s="6">
        <v>55</v>
      </c>
      <c r="J9" s="6">
        <v>53</v>
      </c>
      <c r="K9" s="8"/>
      <c r="L9" s="6"/>
      <c r="M9" s="6"/>
      <c r="N9" s="8"/>
      <c r="O9" s="6"/>
      <c r="P9" s="6"/>
      <c r="Q9" s="8"/>
      <c r="R9" s="9">
        <f t="shared" si="1"/>
        <v>55</v>
      </c>
      <c r="S9" s="6">
        <f t="shared" si="0"/>
        <v>53</v>
      </c>
    </row>
    <row r="10" spans="2:19" ht="18" x14ac:dyDescent="0.3">
      <c r="B10" s="41"/>
      <c r="C10" s="43"/>
      <c r="D10" s="6" t="s">
        <v>23</v>
      </c>
      <c r="E10" s="6">
        <v>86292</v>
      </c>
      <c r="F10" s="6">
        <v>914.4</v>
      </c>
      <c r="G10" s="6" t="s">
        <v>24</v>
      </c>
      <c r="H10" s="6" t="s">
        <v>43</v>
      </c>
      <c r="I10" s="6">
        <v>0</v>
      </c>
      <c r="J10" s="6">
        <v>0</v>
      </c>
      <c r="K10" s="8" t="s">
        <v>29</v>
      </c>
      <c r="L10" s="6">
        <v>9</v>
      </c>
      <c r="M10" s="6">
        <v>9</v>
      </c>
      <c r="N10" s="8"/>
      <c r="O10" s="6">
        <v>9</v>
      </c>
      <c r="P10" s="6">
        <v>2</v>
      </c>
      <c r="Q10" s="8" t="s">
        <v>72</v>
      </c>
      <c r="R10" s="9">
        <f t="shared" si="1"/>
        <v>18</v>
      </c>
      <c r="S10" s="6">
        <f t="shared" si="0"/>
        <v>11</v>
      </c>
    </row>
    <row r="11" spans="2:19" ht="22.5" customHeight="1" x14ac:dyDescent="0.3">
      <c r="B11" s="6">
        <v>5</v>
      </c>
      <c r="C11" s="7" t="s">
        <v>25</v>
      </c>
      <c r="D11" s="6" t="s">
        <v>26</v>
      </c>
      <c r="E11" s="6">
        <v>83831</v>
      </c>
      <c r="F11" s="6">
        <v>899</v>
      </c>
      <c r="G11" s="6" t="s">
        <v>27</v>
      </c>
      <c r="H11" s="6" t="s">
        <v>40</v>
      </c>
      <c r="I11" s="6">
        <v>0</v>
      </c>
      <c r="J11" s="6">
        <v>0</v>
      </c>
      <c r="K11" s="8" t="s">
        <v>29</v>
      </c>
      <c r="L11" s="6"/>
      <c r="M11" s="6"/>
      <c r="N11" s="8" t="s">
        <v>29</v>
      </c>
      <c r="O11" s="6"/>
      <c r="P11" s="6"/>
      <c r="Q11" s="8"/>
      <c r="R11" s="9">
        <f t="shared" si="1"/>
        <v>0</v>
      </c>
      <c r="S11" s="6">
        <f t="shared" si="0"/>
        <v>0</v>
      </c>
    </row>
    <row r="12" spans="2:19" ht="22.5" customHeight="1" x14ac:dyDescent="0.3">
      <c r="B12" s="6"/>
      <c r="C12" s="7" t="s">
        <v>25</v>
      </c>
      <c r="D12" s="6" t="s">
        <v>19</v>
      </c>
      <c r="E12" s="10">
        <v>2123</v>
      </c>
      <c r="F12" s="6">
        <v>418.2</v>
      </c>
      <c r="G12" s="6" t="s">
        <v>24</v>
      </c>
      <c r="H12" s="6" t="s">
        <v>37</v>
      </c>
      <c r="I12" s="6"/>
      <c r="J12" s="6"/>
      <c r="K12" s="8"/>
      <c r="L12" s="6"/>
      <c r="M12" s="6"/>
      <c r="N12" s="8"/>
      <c r="O12" s="6">
        <v>15</v>
      </c>
      <c r="P12" s="6">
        <v>11</v>
      </c>
      <c r="Q12" s="8" t="s">
        <v>73</v>
      </c>
      <c r="R12" s="9"/>
      <c r="S12" s="6"/>
    </row>
    <row r="13" spans="2:19" ht="18" x14ac:dyDescent="0.3">
      <c r="B13" s="6">
        <v>6</v>
      </c>
      <c r="C13" s="7" t="s">
        <v>28</v>
      </c>
      <c r="D13" s="6" t="s">
        <v>47</v>
      </c>
      <c r="E13" s="10">
        <v>1792</v>
      </c>
      <c r="F13" s="6">
        <v>230</v>
      </c>
      <c r="G13" s="6" t="s">
        <v>27</v>
      </c>
      <c r="H13" s="6" t="s">
        <v>41</v>
      </c>
      <c r="I13" s="6">
        <v>0</v>
      </c>
      <c r="J13" s="6">
        <v>0</v>
      </c>
      <c r="K13" s="8" t="s">
        <v>29</v>
      </c>
      <c r="L13" s="6"/>
      <c r="M13" s="6"/>
      <c r="N13" s="8" t="s">
        <v>29</v>
      </c>
      <c r="O13" s="6">
        <v>0</v>
      </c>
      <c r="P13" s="6">
        <v>0</v>
      </c>
      <c r="Q13" s="8"/>
      <c r="R13" s="9">
        <f t="shared" si="1"/>
        <v>0</v>
      </c>
      <c r="S13" s="6">
        <f t="shared" si="0"/>
        <v>0</v>
      </c>
    </row>
    <row r="14" spans="2:19" ht="18" x14ac:dyDescent="0.35">
      <c r="B14" s="6">
        <v>7</v>
      </c>
      <c r="C14" s="12" t="s">
        <v>30</v>
      </c>
      <c r="D14" s="6"/>
      <c r="E14" s="10"/>
      <c r="F14" s="6"/>
      <c r="G14" s="6"/>
      <c r="H14" s="11"/>
      <c r="I14" s="11"/>
      <c r="J14" s="6"/>
      <c r="K14" s="8" t="s">
        <v>42</v>
      </c>
      <c r="L14" s="11"/>
      <c r="M14" s="6"/>
      <c r="N14" s="8" t="s">
        <v>29</v>
      </c>
      <c r="O14" s="11">
        <v>0</v>
      </c>
      <c r="P14" s="6">
        <v>0</v>
      </c>
      <c r="Q14" s="8"/>
      <c r="R14" s="9">
        <f t="shared" si="1"/>
        <v>0</v>
      </c>
      <c r="S14" s="6">
        <f t="shared" si="0"/>
        <v>0</v>
      </c>
    </row>
    <row r="15" spans="2:19" ht="18" x14ac:dyDescent="0.35">
      <c r="B15" s="14">
        <v>8</v>
      </c>
      <c r="C15" s="13" t="s">
        <v>31</v>
      </c>
      <c r="D15" s="6"/>
      <c r="E15" s="10"/>
      <c r="F15" s="6"/>
      <c r="G15" s="6"/>
      <c r="H15" s="6"/>
      <c r="I15" s="11"/>
      <c r="J15" s="6"/>
      <c r="K15" s="8" t="s">
        <v>29</v>
      </c>
      <c r="L15" s="11"/>
      <c r="M15" s="6"/>
      <c r="N15" s="8" t="s">
        <v>29</v>
      </c>
      <c r="O15" s="11">
        <v>0</v>
      </c>
      <c r="P15" s="6">
        <v>0</v>
      </c>
      <c r="Q15" s="8" t="s">
        <v>74</v>
      </c>
      <c r="R15" s="9">
        <f t="shared" si="1"/>
        <v>0</v>
      </c>
      <c r="S15" s="6">
        <f t="shared" si="0"/>
        <v>0</v>
      </c>
    </row>
    <row r="16" spans="2:19" ht="18" x14ac:dyDescent="0.35">
      <c r="B16" s="40">
        <v>10</v>
      </c>
      <c r="C16" s="42" t="s">
        <v>33</v>
      </c>
      <c r="D16" s="6" t="s">
        <v>47</v>
      </c>
      <c r="E16" s="6">
        <v>2439</v>
      </c>
      <c r="F16" s="6">
        <v>5005</v>
      </c>
      <c r="G16" s="6" t="s">
        <v>49</v>
      </c>
      <c r="H16" s="6" t="s">
        <v>38</v>
      </c>
      <c r="I16" s="11">
        <v>15</v>
      </c>
      <c r="J16" s="6">
        <v>15</v>
      </c>
      <c r="K16" s="8" t="s">
        <v>29</v>
      </c>
      <c r="L16" s="11"/>
      <c r="M16" s="6"/>
      <c r="N16" s="8" t="s">
        <v>29</v>
      </c>
      <c r="O16" s="11">
        <v>0</v>
      </c>
      <c r="P16" s="6">
        <v>0</v>
      </c>
      <c r="Q16" s="8"/>
      <c r="R16" s="9">
        <f t="shared" si="1"/>
        <v>15</v>
      </c>
      <c r="S16" s="6">
        <f t="shared" si="0"/>
        <v>15</v>
      </c>
    </row>
    <row r="17" spans="2:19" ht="18" x14ac:dyDescent="0.35">
      <c r="B17" s="41"/>
      <c r="C17" s="43"/>
      <c r="D17" s="6" t="s">
        <v>23</v>
      </c>
      <c r="E17" s="6">
        <v>86292</v>
      </c>
      <c r="F17" s="6">
        <v>914.4</v>
      </c>
      <c r="G17" s="6" t="s">
        <v>69</v>
      </c>
      <c r="H17" s="6" t="s">
        <v>65</v>
      </c>
      <c r="I17" s="11"/>
      <c r="J17" s="6"/>
      <c r="K17" s="8"/>
      <c r="L17" s="11">
        <v>24</v>
      </c>
      <c r="M17" s="6">
        <v>21</v>
      </c>
      <c r="N17" s="8" t="s">
        <v>71</v>
      </c>
      <c r="O17" s="11">
        <v>88</v>
      </c>
      <c r="P17" s="6">
        <v>73</v>
      </c>
      <c r="Q17" s="8"/>
      <c r="R17" s="9">
        <f t="shared" si="1"/>
        <v>112</v>
      </c>
      <c r="S17" s="6">
        <f t="shared" si="0"/>
        <v>94</v>
      </c>
    </row>
    <row r="18" spans="2:19" ht="18" x14ac:dyDescent="0.3">
      <c r="B18" s="6">
        <v>11</v>
      </c>
      <c r="C18" s="7" t="s">
        <v>34</v>
      </c>
      <c r="D18" s="6" t="s">
        <v>64</v>
      </c>
      <c r="E18" s="6">
        <v>90129</v>
      </c>
      <c r="F18" s="6">
        <v>2540</v>
      </c>
      <c r="G18" s="6" t="s">
        <v>49</v>
      </c>
      <c r="H18" s="6" t="s">
        <v>65</v>
      </c>
      <c r="I18" s="6">
        <v>88</v>
      </c>
      <c r="J18" s="6">
        <v>40</v>
      </c>
      <c r="K18" s="8" t="s">
        <v>66</v>
      </c>
      <c r="L18" s="6">
        <v>88</v>
      </c>
      <c r="M18" s="6">
        <v>52</v>
      </c>
      <c r="N18" s="8" t="s">
        <v>70</v>
      </c>
      <c r="O18" s="6">
        <v>88</v>
      </c>
      <c r="P18" s="6">
        <v>44</v>
      </c>
      <c r="Q18" s="8"/>
      <c r="R18" s="9">
        <f t="shared" si="1"/>
        <v>264</v>
      </c>
      <c r="S18" s="6">
        <f t="shared" si="0"/>
        <v>136</v>
      </c>
    </row>
    <row r="19" spans="2:19" ht="18" x14ac:dyDescent="0.35">
      <c r="B19" s="6">
        <v>12</v>
      </c>
      <c r="C19" s="7" t="s">
        <v>35</v>
      </c>
      <c r="D19" s="6"/>
      <c r="E19" s="6"/>
      <c r="F19" s="6"/>
      <c r="G19" s="6"/>
      <c r="H19" s="6"/>
      <c r="I19" s="11"/>
      <c r="J19" s="6"/>
      <c r="K19" s="8" t="s">
        <v>29</v>
      </c>
      <c r="L19" s="11"/>
      <c r="M19" s="6"/>
      <c r="N19" s="8" t="s">
        <v>29</v>
      </c>
      <c r="O19" s="11">
        <v>0</v>
      </c>
      <c r="P19" s="6">
        <v>0</v>
      </c>
      <c r="Q19" s="8"/>
      <c r="R19" s="9">
        <f t="shared" si="1"/>
        <v>0</v>
      </c>
      <c r="S19" s="6">
        <f t="shared" si="0"/>
        <v>0</v>
      </c>
    </row>
    <row r="23" spans="2:19" x14ac:dyDescent="0.3">
      <c r="M23" t="s">
        <v>50</v>
      </c>
    </row>
    <row r="30" spans="2:19" x14ac:dyDescent="0.3">
      <c r="K30" t="s">
        <v>50</v>
      </c>
    </row>
  </sheetData>
  <mergeCells count="9">
    <mergeCell ref="B16:B17"/>
    <mergeCell ref="C16:C17"/>
    <mergeCell ref="B4:N4"/>
    <mergeCell ref="R4:S4"/>
    <mergeCell ref="I5:K5"/>
    <mergeCell ref="L5:N5"/>
    <mergeCell ref="O5:Q5"/>
    <mergeCell ref="B9:B10"/>
    <mergeCell ref="C9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S20"/>
  <sheetViews>
    <sheetView topLeftCell="E1" zoomScale="70" zoomScaleNormal="70" workbookViewId="0">
      <selection activeCell="S26" sqref="S26"/>
    </sheetView>
  </sheetViews>
  <sheetFormatPr defaultRowHeight="14.4" x14ac:dyDescent="0.3"/>
  <cols>
    <col min="4" max="4" width="17.88671875" customWidth="1"/>
    <col min="5" max="5" width="8.6640625" bestFit="1" customWidth="1"/>
    <col min="6" max="6" width="12.44140625" bestFit="1" customWidth="1"/>
    <col min="7" max="7" width="22.6640625" customWidth="1"/>
    <col min="8" max="8" width="21" bestFit="1" customWidth="1"/>
    <col min="11" max="11" width="37.33203125" customWidth="1"/>
    <col min="14" max="14" width="17.33203125" customWidth="1"/>
    <col min="17" max="17" width="46.5546875" bestFit="1" customWidth="1"/>
  </cols>
  <sheetData>
    <row r="3" spans="2:19" ht="18" x14ac:dyDescent="0.35">
      <c r="B3" s="44" t="s">
        <v>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  <c r="O3" s="1" t="s">
        <v>1</v>
      </c>
      <c r="P3" s="2" t="s">
        <v>76</v>
      </c>
      <c r="Q3" s="1" t="s">
        <v>2</v>
      </c>
      <c r="R3" s="47"/>
      <c r="S3" s="48"/>
    </row>
    <row r="4" spans="2:19" ht="72" x14ac:dyDescent="0.3">
      <c r="B4" s="3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5"/>
      <c r="I4" s="49" t="s">
        <v>9</v>
      </c>
      <c r="J4" s="50"/>
      <c r="K4" s="51"/>
      <c r="L4" s="49" t="s">
        <v>10</v>
      </c>
      <c r="M4" s="50"/>
      <c r="N4" s="51"/>
      <c r="O4" s="49" t="s">
        <v>11</v>
      </c>
      <c r="P4" s="50"/>
      <c r="Q4" s="51"/>
      <c r="R4" s="4" t="s">
        <v>12</v>
      </c>
      <c r="S4" s="4" t="s">
        <v>13</v>
      </c>
    </row>
    <row r="5" spans="2:19" ht="18" x14ac:dyDescent="0.3">
      <c r="B5" s="3"/>
      <c r="C5" s="4"/>
      <c r="D5" s="4"/>
      <c r="E5" s="5"/>
      <c r="F5" s="4"/>
      <c r="G5" s="4"/>
      <c r="H5" s="5" t="s">
        <v>14</v>
      </c>
      <c r="I5" s="5" t="s">
        <v>15</v>
      </c>
      <c r="J5" s="5" t="s">
        <v>16</v>
      </c>
      <c r="K5" s="5" t="s">
        <v>17</v>
      </c>
      <c r="L5" s="5" t="s">
        <v>15</v>
      </c>
      <c r="M5" s="5" t="s">
        <v>16</v>
      </c>
      <c r="N5" s="5" t="s">
        <v>17</v>
      </c>
      <c r="O5" s="5" t="s">
        <v>15</v>
      </c>
      <c r="P5" s="5" t="s">
        <v>16</v>
      </c>
      <c r="Q5" s="5" t="s">
        <v>17</v>
      </c>
      <c r="R5" s="6"/>
      <c r="S5" s="6"/>
    </row>
    <row r="6" spans="2:19" ht="18" x14ac:dyDescent="0.3">
      <c r="B6" s="14"/>
      <c r="C6" s="7" t="s">
        <v>18</v>
      </c>
      <c r="D6" s="6" t="s">
        <v>19</v>
      </c>
      <c r="E6" s="6">
        <v>2122</v>
      </c>
      <c r="F6" s="6">
        <v>796.5</v>
      </c>
      <c r="G6" s="6" t="s">
        <v>24</v>
      </c>
      <c r="H6" s="6" t="s">
        <v>40</v>
      </c>
      <c r="I6" s="6">
        <v>0</v>
      </c>
      <c r="J6" s="6">
        <v>0</v>
      </c>
      <c r="K6" s="8" t="s">
        <v>29</v>
      </c>
      <c r="L6" s="6">
        <v>0</v>
      </c>
      <c r="M6" s="6">
        <v>0</v>
      </c>
      <c r="N6" s="8"/>
      <c r="O6" s="6">
        <v>48</v>
      </c>
      <c r="P6" s="6">
        <v>48</v>
      </c>
      <c r="Q6" s="8"/>
      <c r="R6" s="9">
        <f>I6+L6+O6</f>
        <v>48</v>
      </c>
      <c r="S6" s="6">
        <v>48</v>
      </c>
    </row>
    <row r="7" spans="2:19" ht="18" x14ac:dyDescent="0.3">
      <c r="B7" s="6">
        <v>1</v>
      </c>
      <c r="C7" s="7" t="s">
        <v>18</v>
      </c>
      <c r="D7" s="6" t="s">
        <v>19</v>
      </c>
      <c r="E7" s="6">
        <v>2191</v>
      </c>
      <c r="F7" s="6">
        <v>489.7</v>
      </c>
      <c r="G7" s="6" t="s">
        <v>20</v>
      </c>
      <c r="H7" s="6" t="s">
        <v>37</v>
      </c>
      <c r="I7" s="6">
        <v>0</v>
      </c>
      <c r="J7" s="6">
        <v>0</v>
      </c>
      <c r="K7" s="8"/>
      <c r="L7" s="6">
        <v>0</v>
      </c>
      <c r="M7" s="6">
        <v>0</v>
      </c>
      <c r="N7" s="8"/>
      <c r="O7" s="6">
        <v>33</v>
      </c>
      <c r="P7" s="6">
        <v>23</v>
      </c>
      <c r="Q7" s="8" t="s">
        <v>95</v>
      </c>
      <c r="R7" s="9">
        <f>I7+L7+O7</f>
        <v>33</v>
      </c>
      <c r="S7" s="6">
        <f t="shared" ref="S7" si="0">J7+M7+P7</f>
        <v>23</v>
      </c>
    </row>
    <row r="8" spans="2:19" ht="18" x14ac:dyDescent="0.3">
      <c r="B8" s="14">
        <v>3</v>
      </c>
      <c r="C8" s="7" t="s">
        <v>21</v>
      </c>
      <c r="D8" s="6" t="s">
        <v>23</v>
      </c>
      <c r="E8" s="6">
        <v>86292</v>
      </c>
      <c r="F8" s="6">
        <v>914.4</v>
      </c>
      <c r="G8" s="6" t="s">
        <v>61</v>
      </c>
      <c r="H8" s="6" t="s">
        <v>63</v>
      </c>
      <c r="I8" s="6">
        <v>62</v>
      </c>
      <c r="J8" s="6">
        <v>57</v>
      </c>
      <c r="K8" s="8" t="s">
        <v>81</v>
      </c>
      <c r="L8" s="6">
        <v>62</v>
      </c>
      <c r="M8" s="6">
        <v>62</v>
      </c>
      <c r="N8" s="8"/>
      <c r="O8" s="6">
        <v>62</v>
      </c>
      <c r="P8" s="6">
        <v>62</v>
      </c>
      <c r="Q8" s="8"/>
      <c r="R8" s="9">
        <f t="shared" ref="R8:R20" si="1">I8+L8+O8</f>
        <v>186</v>
      </c>
      <c r="S8" s="6">
        <f t="shared" ref="S8:S20" si="2">J8+M8+P8</f>
        <v>181</v>
      </c>
    </row>
    <row r="9" spans="2:19" ht="18" x14ac:dyDescent="0.3">
      <c r="B9" s="10">
        <v>4</v>
      </c>
      <c r="C9" s="17" t="s">
        <v>77</v>
      </c>
      <c r="D9" s="6" t="s">
        <v>23</v>
      </c>
      <c r="E9" s="6">
        <v>86292</v>
      </c>
      <c r="F9" s="6">
        <v>914.4</v>
      </c>
      <c r="G9" s="6" t="s">
        <v>24</v>
      </c>
      <c r="H9" s="6" t="s">
        <v>97</v>
      </c>
      <c r="I9" s="6">
        <v>0</v>
      </c>
      <c r="J9" s="6">
        <v>0</v>
      </c>
      <c r="K9" s="8" t="s">
        <v>79</v>
      </c>
      <c r="L9" s="6">
        <v>7</v>
      </c>
      <c r="M9" s="6">
        <v>6</v>
      </c>
      <c r="N9" s="8"/>
      <c r="O9" s="6">
        <v>36</v>
      </c>
      <c r="P9" s="6">
        <v>26</v>
      </c>
      <c r="Q9" s="8" t="s">
        <v>96</v>
      </c>
      <c r="R9" s="9">
        <f t="shared" si="1"/>
        <v>43</v>
      </c>
      <c r="S9" s="6">
        <f t="shared" si="2"/>
        <v>32</v>
      </c>
    </row>
    <row r="10" spans="2:19" ht="18" x14ac:dyDescent="0.3">
      <c r="B10" s="6">
        <v>5</v>
      </c>
      <c r="C10" s="7" t="s">
        <v>25</v>
      </c>
      <c r="D10" s="6" t="s">
        <v>19</v>
      </c>
      <c r="E10" s="10">
        <v>2123</v>
      </c>
      <c r="F10" s="6">
        <v>418.2</v>
      </c>
      <c r="G10" s="6" t="s">
        <v>24</v>
      </c>
      <c r="H10" s="6" t="s">
        <v>37</v>
      </c>
      <c r="I10" s="6">
        <v>73</v>
      </c>
      <c r="J10" s="6">
        <v>70</v>
      </c>
      <c r="K10" s="8"/>
      <c r="L10" s="6">
        <v>73</v>
      </c>
      <c r="M10" s="6">
        <v>71</v>
      </c>
      <c r="N10" s="8" t="s">
        <v>81</v>
      </c>
      <c r="O10" s="6">
        <v>73</v>
      </c>
      <c r="P10" s="6">
        <v>56</v>
      </c>
      <c r="Q10" s="8" t="s">
        <v>98</v>
      </c>
      <c r="R10" s="9">
        <f t="shared" si="1"/>
        <v>219</v>
      </c>
      <c r="S10" s="6">
        <f t="shared" si="2"/>
        <v>197</v>
      </c>
    </row>
    <row r="11" spans="2:19" ht="18" x14ac:dyDescent="0.3">
      <c r="B11" s="6">
        <v>6</v>
      </c>
      <c r="C11" s="7" t="s">
        <v>28</v>
      </c>
      <c r="D11" s="6" t="s">
        <v>99</v>
      </c>
      <c r="E11" s="10">
        <v>2123</v>
      </c>
      <c r="F11" s="6">
        <v>418.2</v>
      </c>
      <c r="G11" s="6" t="s">
        <v>24</v>
      </c>
      <c r="H11" s="6" t="s">
        <v>37</v>
      </c>
      <c r="I11" s="6">
        <v>73</v>
      </c>
      <c r="J11" s="6">
        <v>50</v>
      </c>
      <c r="K11" s="8" t="s">
        <v>44</v>
      </c>
      <c r="L11" s="6">
        <v>73</v>
      </c>
      <c r="M11" s="6">
        <v>70</v>
      </c>
      <c r="N11" s="8" t="s">
        <v>81</v>
      </c>
      <c r="O11" s="6">
        <v>0</v>
      </c>
      <c r="P11" s="6">
        <v>0</v>
      </c>
      <c r="Q11" s="8"/>
      <c r="R11" s="9">
        <f t="shared" si="1"/>
        <v>146</v>
      </c>
      <c r="S11" s="6">
        <f t="shared" si="2"/>
        <v>120</v>
      </c>
    </row>
    <row r="12" spans="2:19" ht="18" x14ac:dyDescent="0.3">
      <c r="B12" s="6"/>
      <c r="C12" s="7" t="s">
        <v>28</v>
      </c>
      <c r="D12" s="6" t="s">
        <v>100</v>
      </c>
      <c r="E12" s="10">
        <v>2123</v>
      </c>
      <c r="F12" s="6">
        <v>428.75</v>
      </c>
      <c r="G12" s="6" t="s">
        <v>24</v>
      </c>
      <c r="H12" s="6" t="s">
        <v>37</v>
      </c>
      <c r="I12" s="6">
        <v>0</v>
      </c>
      <c r="J12" s="6">
        <v>0</v>
      </c>
      <c r="K12" s="8"/>
      <c r="L12" s="6">
        <v>0</v>
      </c>
      <c r="M12" s="6">
        <v>0</v>
      </c>
      <c r="N12" s="8"/>
      <c r="O12" s="6">
        <v>24</v>
      </c>
      <c r="P12" s="6">
        <v>16</v>
      </c>
      <c r="Q12" s="8" t="s">
        <v>95</v>
      </c>
      <c r="R12" s="9">
        <f t="shared" si="1"/>
        <v>24</v>
      </c>
      <c r="S12" s="6">
        <f t="shared" si="2"/>
        <v>16</v>
      </c>
    </row>
    <row r="13" spans="2:19" ht="18" x14ac:dyDescent="0.35">
      <c r="B13" s="6">
        <v>7</v>
      </c>
      <c r="C13" s="42" t="s">
        <v>30</v>
      </c>
      <c r="D13" s="6" t="s">
        <v>75</v>
      </c>
      <c r="E13" s="10">
        <v>98007</v>
      </c>
      <c r="F13" s="6">
        <v>3100</v>
      </c>
      <c r="G13" s="6" t="s">
        <v>27</v>
      </c>
      <c r="H13" s="11" t="s">
        <v>40</v>
      </c>
      <c r="I13" s="11">
        <v>110</v>
      </c>
      <c r="J13" s="6">
        <v>100</v>
      </c>
      <c r="K13" s="8" t="s">
        <v>44</v>
      </c>
      <c r="L13" s="6">
        <v>110</v>
      </c>
      <c r="M13" s="6">
        <v>102</v>
      </c>
      <c r="N13" s="8" t="s">
        <v>81</v>
      </c>
      <c r="O13" s="11"/>
      <c r="P13" s="6"/>
      <c r="Q13" s="8"/>
      <c r="R13" s="9">
        <f t="shared" si="1"/>
        <v>220</v>
      </c>
      <c r="S13" s="6">
        <f t="shared" si="2"/>
        <v>202</v>
      </c>
    </row>
    <row r="14" spans="2:19" ht="18" x14ac:dyDescent="0.35">
      <c r="B14" s="6"/>
      <c r="C14" s="43"/>
      <c r="D14" s="6" t="s">
        <v>75</v>
      </c>
      <c r="E14" s="10">
        <v>9989</v>
      </c>
      <c r="F14" s="6">
        <v>3100</v>
      </c>
      <c r="G14" s="6" t="s">
        <v>27</v>
      </c>
      <c r="H14" s="11" t="s">
        <v>40</v>
      </c>
      <c r="I14" s="11">
        <v>110</v>
      </c>
      <c r="J14" s="6">
        <v>100</v>
      </c>
      <c r="K14" s="8"/>
      <c r="L14" s="6">
        <v>0</v>
      </c>
      <c r="M14" s="6">
        <v>0</v>
      </c>
      <c r="N14" s="8"/>
      <c r="O14" s="11">
        <v>0</v>
      </c>
      <c r="P14" s="6">
        <v>0</v>
      </c>
      <c r="Q14" s="8" t="s">
        <v>42</v>
      </c>
      <c r="R14" s="9">
        <f t="shared" si="1"/>
        <v>110</v>
      </c>
      <c r="S14" s="6">
        <f t="shared" si="2"/>
        <v>100</v>
      </c>
    </row>
    <row r="15" spans="2:19" ht="18" x14ac:dyDescent="0.35">
      <c r="B15" s="6">
        <v>8</v>
      </c>
      <c r="C15" s="7" t="s">
        <v>31</v>
      </c>
      <c r="D15" s="6" t="s">
        <v>23</v>
      </c>
      <c r="E15" s="6">
        <v>86292</v>
      </c>
      <c r="F15" s="6">
        <v>914.4</v>
      </c>
      <c r="G15" s="6" t="s">
        <v>61</v>
      </c>
      <c r="H15" s="6" t="s">
        <v>63</v>
      </c>
      <c r="I15" s="6">
        <v>31</v>
      </c>
      <c r="J15" s="6">
        <v>23</v>
      </c>
      <c r="K15" s="8" t="s">
        <v>78</v>
      </c>
      <c r="L15" s="6">
        <v>0</v>
      </c>
      <c r="M15" s="6">
        <v>0</v>
      </c>
      <c r="N15" s="8" t="s">
        <v>57</v>
      </c>
      <c r="O15" s="11">
        <v>0</v>
      </c>
      <c r="P15" s="6">
        <v>0</v>
      </c>
      <c r="Q15" s="8"/>
      <c r="R15" s="9">
        <f t="shared" si="1"/>
        <v>31</v>
      </c>
      <c r="S15" s="6">
        <f t="shared" si="2"/>
        <v>23</v>
      </c>
    </row>
    <row r="16" spans="2:19" ht="18" hidden="1" x14ac:dyDescent="0.35">
      <c r="B16" s="40">
        <v>10</v>
      </c>
      <c r="C16" s="42" t="s">
        <v>33</v>
      </c>
      <c r="D16" s="6" t="s">
        <v>47</v>
      </c>
      <c r="E16" s="6">
        <v>2439</v>
      </c>
      <c r="F16" s="6">
        <v>5005</v>
      </c>
      <c r="G16" s="6" t="s">
        <v>49</v>
      </c>
      <c r="H16" s="6" t="s">
        <v>38</v>
      </c>
      <c r="I16" s="11"/>
      <c r="J16" s="6"/>
      <c r="K16" s="8"/>
      <c r="L16" s="6"/>
      <c r="M16" s="6"/>
      <c r="N16" s="8"/>
      <c r="O16" s="11"/>
      <c r="P16" s="6"/>
      <c r="Q16" s="8"/>
      <c r="R16" s="9">
        <f t="shared" si="1"/>
        <v>0</v>
      </c>
      <c r="S16" s="6">
        <f t="shared" si="2"/>
        <v>0</v>
      </c>
    </row>
    <row r="17" spans="2:19" ht="18" x14ac:dyDescent="0.35">
      <c r="B17" s="52"/>
      <c r="C17" s="53"/>
      <c r="D17" s="6" t="s">
        <v>23</v>
      </c>
      <c r="E17" s="6">
        <v>86292</v>
      </c>
      <c r="F17" s="6">
        <v>914.4</v>
      </c>
      <c r="G17" s="6" t="s">
        <v>69</v>
      </c>
      <c r="H17" s="6" t="s">
        <v>65</v>
      </c>
      <c r="I17" s="11">
        <v>7</v>
      </c>
      <c r="J17" s="6">
        <v>7</v>
      </c>
      <c r="K17" s="8"/>
      <c r="L17" s="6">
        <v>88</v>
      </c>
      <c r="M17" s="6">
        <v>88</v>
      </c>
      <c r="N17" s="8"/>
      <c r="O17" s="11">
        <v>88</v>
      </c>
      <c r="P17" s="6">
        <v>38</v>
      </c>
      <c r="Q17" s="8" t="s">
        <v>101</v>
      </c>
      <c r="R17" s="9">
        <f t="shared" si="1"/>
        <v>183</v>
      </c>
      <c r="S17" s="6">
        <f t="shared" si="2"/>
        <v>133</v>
      </c>
    </row>
    <row r="18" spans="2:19" ht="18" x14ac:dyDescent="0.35">
      <c r="B18" s="41"/>
      <c r="C18" s="43"/>
      <c r="D18" s="6" t="s">
        <v>23</v>
      </c>
      <c r="E18" s="6">
        <v>86292</v>
      </c>
      <c r="F18" s="6">
        <v>914.4</v>
      </c>
      <c r="G18" s="6" t="s">
        <v>80</v>
      </c>
      <c r="H18" s="6" t="s">
        <v>65</v>
      </c>
      <c r="I18" s="11">
        <v>81</v>
      </c>
      <c r="J18" s="6">
        <v>81</v>
      </c>
      <c r="K18" s="8"/>
      <c r="L18" s="6">
        <v>0</v>
      </c>
      <c r="M18" s="6">
        <v>0</v>
      </c>
      <c r="N18" s="8"/>
      <c r="O18" s="11"/>
      <c r="P18" s="6"/>
      <c r="Q18" s="8"/>
      <c r="R18" s="9">
        <f t="shared" si="1"/>
        <v>81</v>
      </c>
      <c r="S18" s="6">
        <f t="shared" si="2"/>
        <v>81</v>
      </c>
    </row>
    <row r="19" spans="2:19" ht="18" x14ac:dyDescent="0.3">
      <c r="B19" s="6">
        <v>11</v>
      </c>
      <c r="C19" s="7" t="s">
        <v>34</v>
      </c>
      <c r="D19" s="6" t="s">
        <v>64</v>
      </c>
      <c r="E19" s="6">
        <v>90129</v>
      </c>
      <c r="F19" s="6">
        <v>2540</v>
      </c>
      <c r="G19" s="6" t="s">
        <v>49</v>
      </c>
      <c r="H19" s="6" t="s">
        <v>37</v>
      </c>
      <c r="I19" s="6">
        <v>110</v>
      </c>
      <c r="J19" s="6">
        <v>88</v>
      </c>
      <c r="K19" s="8"/>
      <c r="L19" s="6">
        <v>110</v>
      </c>
      <c r="M19" s="6">
        <v>104</v>
      </c>
      <c r="N19" s="8" t="s">
        <v>81</v>
      </c>
      <c r="O19" s="6">
        <v>110</v>
      </c>
      <c r="P19" s="6">
        <v>96</v>
      </c>
      <c r="Q19" s="8" t="s">
        <v>102</v>
      </c>
      <c r="R19" s="9">
        <f t="shared" si="1"/>
        <v>330</v>
      </c>
      <c r="S19" s="6">
        <f t="shared" si="2"/>
        <v>288</v>
      </c>
    </row>
    <row r="20" spans="2:19" ht="18" x14ac:dyDescent="0.35">
      <c r="B20" s="6">
        <v>12</v>
      </c>
      <c r="C20" s="7" t="s">
        <v>35</v>
      </c>
      <c r="D20" s="6"/>
      <c r="E20" s="6"/>
      <c r="F20" s="6"/>
      <c r="G20" s="6"/>
      <c r="H20" s="6"/>
      <c r="I20" s="11"/>
      <c r="J20" s="6"/>
      <c r="K20" s="8"/>
      <c r="L20" s="6"/>
      <c r="M20" s="6"/>
      <c r="N20" s="8" t="s">
        <v>103</v>
      </c>
      <c r="O20" s="11"/>
      <c r="P20" s="6"/>
      <c r="Q20" s="8" t="s">
        <v>103</v>
      </c>
      <c r="R20" s="9">
        <f t="shared" si="1"/>
        <v>0</v>
      </c>
      <c r="S20" s="6">
        <f t="shared" si="2"/>
        <v>0</v>
      </c>
    </row>
  </sheetData>
  <mergeCells count="8">
    <mergeCell ref="B16:B18"/>
    <mergeCell ref="C16:C18"/>
    <mergeCell ref="B3:N3"/>
    <mergeCell ref="R3:S3"/>
    <mergeCell ref="I4:K4"/>
    <mergeCell ref="L4:N4"/>
    <mergeCell ref="O4:Q4"/>
    <mergeCell ref="C13:C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S19"/>
  <sheetViews>
    <sheetView zoomScale="70" zoomScaleNormal="70" workbookViewId="0">
      <selection activeCell="H25" sqref="H25"/>
    </sheetView>
  </sheetViews>
  <sheetFormatPr defaultRowHeight="14.4" x14ac:dyDescent="0.3"/>
  <cols>
    <col min="4" max="4" width="17.88671875" customWidth="1"/>
    <col min="5" max="5" width="8.6640625" bestFit="1" customWidth="1"/>
    <col min="6" max="6" width="12.44140625" bestFit="1" customWidth="1"/>
    <col min="7" max="7" width="22.6640625" customWidth="1"/>
    <col min="8" max="8" width="10.88671875" bestFit="1" customWidth="1"/>
    <col min="11" max="11" width="45.5546875" customWidth="1"/>
    <col min="14" max="14" width="28" bestFit="1" customWidth="1"/>
    <col min="17" max="17" width="46.5546875" bestFit="1" customWidth="1"/>
  </cols>
  <sheetData>
    <row r="3" spans="2:19" ht="18" x14ac:dyDescent="0.35">
      <c r="B3" s="44" t="s">
        <v>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  <c r="O3" s="1" t="s">
        <v>1</v>
      </c>
      <c r="P3" s="2" t="s">
        <v>82</v>
      </c>
      <c r="Q3" s="1" t="s">
        <v>2</v>
      </c>
      <c r="R3" s="47"/>
      <c r="S3" s="48"/>
    </row>
    <row r="4" spans="2:19" ht="72" x14ac:dyDescent="0.3">
      <c r="B4" s="3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5"/>
      <c r="I4" s="49" t="s">
        <v>9</v>
      </c>
      <c r="J4" s="50"/>
      <c r="K4" s="51"/>
      <c r="L4" s="49" t="s">
        <v>10</v>
      </c>
      <c r="M4" s="50"/>
      <c r="N4" s="51"/>
      <c r="O4" s="49" t="s">
        <v>11</v>
      </c>
      <c r="P4" s="50"/>
      <c r="Q4" s="51"/>
      <c r="R4" s="4" t="s">
        <v>12</v>
      </c>
      <c r="S4" s="4" t="s">
        <v>13</v>
      </c>
    </row>
    <row r="5" spans="2:19" ht="18" x14ac:dyDescent="0.3">
      <c r="B5" s="3"/>
      <c r="C5" s="4"/>
      <c r="D5" s="4"/>
      <c r="E5" s="5"/>
      <c r="F5" s="4"/>
      <c r="G5" s="4"/>
      <c r="H5" s="5" t="s">
        <v>14</v>
      </c>
      <c r="I5" s="5" t="s">
        <v>15</v>
      </c>
      <c r="J5" s="5" t="s">
        <v>16</v>
      </c>
      <c r="K5" s="5" t="s">
        <v>17</v>
      </c>
      <c r="L5" s="5" t="s">
        <v>15</v>
      </c>
      <c r="M5" s="5" t="s">
        <v>16</v>
      </c>
      <c r="N5" s="5" t="s">
        <v>17</v>
      </c>
      <c r="O5" s="5" t="s">
        <v>15</v>
      </c>
      <c r="P5" s="5" t="s">
        <v>16</v>
      </c>
      <c r="Q5" s="5" t="s">
        <v>17</v>
      </c>
      <c r="R5" s="6"/>
      <c r="S5" s="6"/>
    </row>
    <row r="6" spans="2:19" ht="18" x14ac:dyDescent="0.3">
      <c r="B6" s="6">
        <v>1</v>
      </c>
      <c r="C6" s="7" t="s">
        <v>18</v>
      </c>
      <c r="D6" s="6" t="s">
        <v>19</v>
      </c>
      <c r="E6" s="6">
        <v>2122</v>
      </c>
      <c r="F6" s="6">
        <v>796.5</v>
      </c>
      <c r="G6" s="6" t="s">
        <v>24</v>
      </c>
      <c r="H6" s="6" t="s">
        <v>40</v>
      </c>
      <c r="I6" s="6">
        <v>70</v>
      </c>
      <c r="J6" s="6">
        <v>0</v>
      </c>
      <c r="K6" s="8" t="s">
        <v>83</v>
      </c>
      <c r="L6" s="6">
        <v>45</v>
      </c>
      <c r="M6" s="6">
        <v>40</v>
      </c>
      <c r="N6" s="8" t="s">
        <v>93</v>
      </c>
      <c r="O6" s="6"/>
      <c r="P6" s="6"/>
      <c r="Q6" s="8"/>
      <c r="R6" s="9">
        <f>I6+L6+O6</f>
        <v>115</v>
      </c>
      <c r="S6" s="6">
        <f t="shared" ref="S6:S19" si="0">J6+M6+P6</f>
        <v>40</v>
      </c>
    </row>
    <row r="7" spans="2:19" ht="18" x14ac:dyDescent="0.3">
      <c r="B7" s="6">
        <v>2</v>
      </c>
      <c r="C7" s="7" t="s">
        <v>21</v>
      </c>
      <c r="D7" s="6" t="s">
        <v>23</v>
      </c>
      <c r="E7" s="6">
        <v>86292</v>
      </c>
      <c r="F7" s="6">
        <v>914.4</v>
      </c>
      <c r="G7" s="6" t="s">
        <v>61</v>
      </c>
      <c r="H7" s="6" t="s">
        <v>63</v>
      </c>
      <c r="I7" s="6">
        <v>62</v>
      </c>
      <c r="J7" s="6">
        <v>58</v>
      </c>
      <c r="K7" s="8"/>
      <c r="L7" s="6">
        <v>62</v>
      </c>
      <c r="M7" s="6">
        <v>62</v>
      </c>
      <c r="N7" s="8"/>
      <c r="O7" s="6">
        <v>62</v>
      </c>
      <c r="P7" s="6"/>
      <c r="Q7" s="8"/>
      <c r="R7" s="9">
        <f t="shared" ref="R7:R19" si="1">I7+L7+O7</f>
        <v>186</v>
      </c>
      <c r="S7" s="6">
        <f t="shared" si="0"/>
        <v>120</v>
      </c>
    </row>
    <row r="8" spans="2:19" ht="18" x14ac:dyDescent="0.3">
      <c r="B8" s="6">
        <v>3</v>
      </c>
      <c r="C8" s="17" t="s">
        <v>77</v>
      </c>
      <c r="D8" s="6" t="s">
        <v>23</v>
      </c>
      <c r="E8" s="6">
        <v>86292</v>
      </c>
      <c r="F8" s="6">
        <v>914.4</v>
      </c>
      <c r="G8" s="6" t="s">
        <v>24</v>
      </c>
      <c r="H8" s="6" t="s">
        <v>84</v>
      </c>
      <c r="I8" s="6">
        <v>36</v>
      </c>
      <c r="J8" s="6">
        <v>20</v>
      </c>
      <c r="K8" s="8" t="s">
        <v>85</v>
      </c>
      <c r="L8" s="6">
        <v>36</v>
      </c>
      <c r="M8" s="6">
        <v>36</v>
      </c>
      <c r="N8" s="8"/>
      <c r="O8" s="6">
        <v>9</v>
      </c>
      <c r="P8" s="6"/>
      <c r="Q8" s="8"/>
      <c r="R8" s="9">
        <f t="shared" si="1"/>
        <v>81</v>
      </c>
      <c r="S8" s="6">
        <f t="shared" si="0"/>
        <v>56</v>
      </c>
    </row>
    <row r="9" spans="2:19" ht="18" x14ac:dyDescent="0.3">
      <c r="B9" s="6">
        <v>4</v>
      </c>
      <c r="C9" s="7" t="s">
        <v>25</v>
      </c>
      <c r="D9" s="6" t="s">
        <v>19</v>
      </c>
      <c r="E9" s="10">
        <v>2123</v>
      </c>
      <c r="F9" s="6">
        <v>418.2</v>
      </c>
      <c r="G9" s="6" t="s">
        <v>24</v>
      </c>
      <c r="H9" s="6" t="s">
        <v>37</v>
      </c>
      <c r="I9" s="6">
        <v>73</v>
      </c>
      <c r="J9" s="6">
        <v>40</v>
      </c>
      <c r="K9" s="8" t="s">
        <v>86</v>
      </c>
      <c r="L9" s="6">
        <v>65</v>
      </c>
      <c r="M9" s="6">
        <v>57</v>
      </c>
      <c r="N9" s="8" t="s">
        <v>92</v>
      </c>
      <c r="O9" s="6">
        <v>0</v>
      </c>
      <c r="P9" s="6"/>
      <c r="Q9" s="8"/>
      <c r="R9" s="9">
        <f t="shared" si="1"/>
        <v>138</v>
      </c>
      <c r="S9" s="6">
        <f t="shared" si="0"/>
        <v>97</v>
      </c>
    </row>
    <row r="10" spans="2:19" ht="18" x14ac:dyDescent="0.3">
      <c r="B10" s="6">
        <v>5</v>
      </c>
      <c r="C10" s="7" t="s">
        <v>28</v>
      </c>
      <c r="D10" s="6" t="s">
        <v>19</v>
      </c>
      <c r="E10" s="10">
        <v>2123</v>
      </c>
      <c r="F10" s="6">
        <v>418.2</v>
      </c>
      <c r="G10" s="6" t="s">
        <v>24</v>
      </c>
      <c r="H10" s="6" t="s">
        <v>37</v>
      </c>
      <c r="I10" s="6">
        <v>73</v>
      </c>
      <c r="J10" s="6">
        <v>0</v>
      </c>
      <c r="K10" s="8" t="s">
        <v>87</v>
      </c>
      <c r="L10" s="6">
        <v>0</v>
      </c>
      <c r="M10" s="6">
        <v>0</v>
      </c>
      <c r="N10" s="8" t="s">
        <v>57</v>
      </c>
      <c r="O10" s="6">
        <v>73</v>
      </c>
      <c r="P10" s="6"/>
      <c r="Q10" s="8"/>
      <c r="R10" s="9">
        <f t="shared" si="1"/>
        <v>146</v>
      </c>
      <c r="S10" s="6">
        <f t="shared" si="0"/>
        <v>0</v>
      </c>
    </row>
    <row r="11" spans="2:19" ht="18" hidden="1" x14ac:dyDescent="0.35">
      <c r="B11" s="6">
        <v>7</v>
      </c>
      <c r="C11" s="42" t="s">
        <v>30</v>
      </c>
      <c r="D11" s="6" t="s">
        <v>75</v>
      </c>
      <c r="E11" s="10">
        <v>98007</v>
      </c>
      <c r="F11" s="6">
        <v>3100</v>
      </c>
      <c r="G11" s="6" t="s">
        <v>27</v>
      </c>
      <c r="H11" s="11" t="s">
        <v>40</v>
      </c>
      <c r="I11" s="11">
        <v>110</v>
      </c>
      <c r="J11" s="6"/>
      <c r="K11" s="8"/>
      <c r="L11" s="6">
        <v>110</v>
      </c>
      <c r="M11" s="6"/>
      <c r="N11" s="8"/>
      <c r="O11" s="11"/>
      <c r="P11" s="6"/>
      <c r="Q11" s="8"/>
      <c r="R11" s="9">
        <f t="shared" si="1"/>
        <v>220</v>
      </c>
      <c r="S11" s="6">
        <f t="shared" si="0"/>
        <v>0</v>
      </c>
    </row>
    <row r="12" spans="2:19" ht="18" x14ac:dyDescent="0.35">
      <c r="B12" s="6">
        <v>6</v>
      </c>
      <c r="C12" s="43"/>
      <c r="D12" s="6" t="s">
        <v>75</v>
      </c>
      <c r="E12" s="10">
        <v>9989</v>
      </c>
      <c r="F12" s="6">
        <v>3100</v>
      </c>
      <c r="G12" s="6" t="s">
        <v>27</v>
      </c>
      <c r="H12" s="11" t="s">
        <v>40</v>
      </c>
      <c r="I12" s="11">
        <v>110</v>
      </c>
      <c r="J12" s="6">
        <v>110</v>
      </c>
      <c r="K12" s="8"/>
      <c r="L12" s="6">
        <v>0</v>
      </c>
      <c r="M12" s="6">
        <v>0</v>
      </c>
      <c r="N12" s="8" t="s">
        <v>57</v>
      </c>
      <c r="O12" s="11">
        <v>110</v>
      </c>
      <c r="P12" s="6"/>
      <c r="Q12" s="8"/>
      <c r="R12" s="9">
        <f t="shared" si="1"/>
        <v>220</v>
      </c>
      <c r="S12" s="6">
        <f t="shared" si="0"/>
        <v>110</v>
      </c>
    </row>
    <row r="13" spans="2:19" ht="18" x14ac:dyDescent="0.35">
      <c r="B13" s="6">
        <v>7</v>
      </c>
      <c r="C13" s="7" t="s">
        <v>31</v>
      </c>
      <c r="D13" s="6" t="s">
        <v>23</v>
      </c>
      <c r="E13" s="6">
        <v>86292</v>
      </c>
      <c r="F13" s="6">
        <v>914.4</v>
      </c>
      <c r="G13" s="6" t="s">
        <v>61</v>
      </c>
      <c r="H13" s="6" t="s">
        <v>63</v>
      </c>
      <c r="I13" s="6">
        <v>62</v>
      </c>
      <c r="J13" s="6">
        <v>34</v>
      </c>
      <c r="K13" s="8" t="s">
        <v>88</v>
      </c>
      <c r="L13" s="6">
        <v>62</v>
      </c>
      <c r="M13" s="6">
        <v>55</v>
      </c>
      <c r="N13" s="8" t="s">
        <v>91</v>
      </c>
      <c r="O13" s="11">
        <v>62</v>
      </c>
      <c r="P13" s="6"/>
      <c r="Q13" s="8"/>
      <c r="R13" s="9">
        <f t="shared" si="1"/>
        <v>186</v>
      </c>
      <c r="S13" s="6">
        <f t="shared" si="0"/>
        <v>89</v>
      </c>
    </row>
    <row r="14" spans="2:19" ht="18" hidden="1" x14ac:dyDescent="0.35">
      <c r="B14" s="40">
        <v>8</v>
      </c>
      <c r="C14" s="42" t="s">
        <v>33</v>
      </c>
      <c r="D14" s="6" t="s">
        <v>47</v>
      </c>
      <c r="E14" s="6">
        <v>2439</v>
      </c>
      <c r="F14" s="6">
        <v>5005</v>
      </c>
      <c r="G14" s="6" t="s">
        <v>49</v>
      </c>
      <c r="H14" s="6" t="s">
        <v>38</v>
      </c>
      <c r="I14" s="11"/>
      <c r="J14" s="6"/>
      <c r="K14" s="8"/>
      <c r="L14" s="6"/>
      <c r="M14" s="6"/>
      <c r="N14" s="8"/>
      <c r="O14" s="11"/>
      <c r="P14" s="6"/>
      <c r="Q14" s="8"/>
      <c r="R14" s="9">
        <f t="shared" si="1"/>
        <v>0</v>
      </c>
      <c r="S14" s="6">
        <f t="shared" si="0"/>
        <v>0</v>
      </c>
    </row>
    <row r="15" spans="2:19" ht="18" hidden="1" x14ac:dyDescent="0.35">
      <c r="B15" s="52"/>
      <c r="C15" s="53"/>
      <c r="D15" s="6" t="s">
        <v>23</v>
      </c>
      <c r="E15" s="6">
        <v>86292</v>
      </c>
      <c r="F15" s="6">
        <v>914.4</v>
      </c>
      <c r="G15" s="6" t="s">
        <v>69</v>
      </c>
      <c r="H15" s="6" t="s">
        <v>65</v>
      </c>
      <c r="I15" s="11"/>
      <c r="J15" s="6"/>
      <c r="K15" s="8"/>
      <c r="L15" s="6">
        <v>88</v>
      </c>
      <c r="M15" s="6"/>
      <c r="N15" s="8"/>
      <c r="O15" s="11">
        <v>88</v>
      </c>
      <c r="P15" s="6"/>
      <c r="Q15" s="8"/>
      <c r="R15" s="9">
        <f t="shared" si="1"/>
        <v>176</v>
      </c>
      <c r="S15" s="6">
        <f t="shared" si="0"/>
        <v>0</v>
      </c>
    </row>
    <row r="16" spans="2:19" ht="18" x14ac:dyDescent="0.35">
      <c r="B16" s="52"/>
      <c r="C16" s="53"/>
      <c r="D16" s="6" t="s">
        <v>23</v>
      </c>
      <c r="E16" s="6">
        <v>86292</v>
      </c>
      <c r="F16" s="6">
        <v>914.4</v>
      </c>
      <c r="G16" s="6" t="s">
        <v>89</v>
      </c>
      <c r="H16" s="6" t="s">
        <v>65</v>
      </c>
      <c r="I16" s="11">
        <v>0</v>
      </c>
      <c r="J16" s="6">
        <v>0</v>
      </c>
      <c r="K16" s="8"/>
      <c r="L16" s="6">
        <v>44</v>
      </c>
      <c r="M16" s="6">
        <v>44</v>
      </c>
      <c r="N16" s="8"/>
      <c r="O16" s="11"/>
      <c r="P16" s="6"/>
      <c r="Q16" s="8"/>
      <c r="R16" s="9"/>
      <c r="S16" s="6"/>
    </row>
    <row r="17" spans="2:19" ht="18" x14ac:dyDescent="0.35">
      <c r="B17" s="41"/>
      <c r="C17" s="43"/>
      <c r="D17" s="6" t="s">
        <v>23</v>
      </c>
      <c r="E17" s="6">
        <v>86292</v>
      </c>
      <c r="F17" s="6">
        <v>914.4</v>
      </c>
      <c r="G17" s="6" t="s">
        <v>80</v>
      </c>
      <c r="H17" s="6" t="s">
        <v>65</v>
      </c>
      <c r="I17" s="11">
        <v>88</v>
      </c>
      <c r="J17" s="6">
        <v>88</v>
      </c>
      <c r="K17" s="8"/>
      <c r="L17" s="6">
        <v>44</v>
      </c>
      <c r="M17" s="6">
        <v>44</v>
      </c>
      <c r="N17" s="8"/>
      <c r="O17" s="11"/>
      <c r="P17" s="6"/>
      <c r="Q17" s="8"/>
      <c r="R17" s="9">
        <f t="shared" si="1"/>
        <v>132</v>
      </c>
      <c r="S17" s="6">
        <f t="shared" si="0"/>
        <v>132</v>
      </c>
    </row>
    <row r="18" spans="2:19" ht="18" x14ac:dyDescent="0.3">
      <c r="B18" s="6">
        <v>9</v>
      </c>
      <c r="C18" s="7" t="s">
        <v>34</v>
      </c>
      <c r="D18" s="6" t="s">
        <v>64</v>
      </c>
      <c r="E18" s="6">
        <v>90129</v>
      </c>
      <c r="F18" s="6">
        <v>2540</v>
      </c>
      <c r="G18" s="6" t="s">
        <v>49</v>
      </c>
      <c r="H18" s="6" t="s">
        <v>37</v>
      </c>
      <c r="I18" s="6">
        <v>110</v>
      </c>
      <c r="J18" s="6">
        <v>108</v>
      </c>
      <c r="K18" s="8"/>
      <c r="L18" s="6">
        <v>110</v>
      </c>
      <c r="M18" s="6">
        <v>110</v>
      </c>
      <c r="N18" s="8"/>
      <c r="O18" s="6">
        <v>110</v>
      </c>
      <c r="P18" s="6"/>
      <c r="Q18" s="8"/>
      <c r="R18" s="9">
        <f t="shared" si="1"/>
        <v>330</v>
      </c>
      <c r="S18" s="6">
        <f t="shared" si="0"/>
        <v>218</v>
      </c>
    </row>
    <row r="19" spans="2:19" ht="18" x14ac:dyDescent="0.35">
      <c r="B19" s="6">
        <v>10</v>
      </c>
      <c r="C19" s="7" t="s">
        <v>35</v>
      </c>
      <c r="D19" s="6"/>
      <c r="E19" s="6"/>
      <c r="F19" s="6"/>
      <c r="G19" s="6"/>
      <c r="H19" s="6"/>
      <c r="I19" s="11"/>
      <c r="J19" s="6"/>
      <c r="K19" s="8" t="s">
        <v>42</v>
      </c>
      <c r="L19" s="6">
        <v>0</v>
      </c>
      <c r="M19" s="6">
        <v>0</v>
      </c>
      <c r="N19" s="8" t="s">
        <v>90</v>
      </c>
      <c r="O19" s="11"/>
      <c r="P19" s="6"/>
      <c r="Q19" s="8"/>
      <c r="R19" s="9">
        <f t="shared" si="1"/>
        <v>0</v>
      </c>
      <c r="S19" s="6">
        <f t="shared" si="0"/>
        <v>0</v>
      </c>
    </row>
  </sheetData>
  <mergeCells count="8">
    <mergeCell ref="B14:B17"/>
    <mergeCell ref="C14:C17"/>
    <mergeCell ref="C11:C12"/>
    <mergeCell ref="B3:N3"/>
    <mergeCell ref="R3:S3"/>
    <mergeCell ref="I4:K4"/>
    <mergeCell ref="L4:N4"/>
    <mergeCell ref="O4:Q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S29"/>
  <sheetViews>
    <sheetView topLeftCell="E1" zoomScale="70" zoomScaleNormal="70" workbookViewId="0">
      <selection activeCell="B3" sqref="B3:S20"/>
    </sheetView>
  </sheetViews>
  <sheetFormatPr defaultRowHeight="14.4" x14ac:dyDescent="0.3"/>
  <cols>
    <col min="1" max="1" width="3.6640625" customWidth="1"/>
    <col min="4" max="4" width="17.88671875" customWidth="1"/>
    <col min="5" max="5" width="8.6640625" bestFit="1" customWidth="1"/>
    <col min="6" max="6" width="12.44140625" bestFit="1" customWidth="1"/>
    <col min="7" max="7" width="22.6640625" customWidth="1"/>
    <col min="8" max="8" width="10.88671875" bestFit="1" customWidth="1"/>
    <col min="11" max="11" width="42.6640625" customWidth="1"/>
    <col min="14" max="14" width="28" bestFit="1" customWidth="1"/>
    <col min="17" max="17" width="46.5546875" bestFit="1" customWidth="1"/>
  </cols>
  <sheetData>
    <row r="3" spans="2:19" ht="18" x14ac:dyDescent="0.35">
      <c r="B3" s="44" t="s">
        <v>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  <c r="O3" s="1" t="s">
        <v>1</v>
      </c>
      <c r="P3" s="2" t="s">
        <v>94</v>
      </c>
      <c r="Q3" s="1" t="s">
        <v>2</v>
      </c>
      <c r="R3" s="47"/>
      <c r="S3" s="48"/>
    </row>
    <row r="4" spans="2:19" ht="72" x14ac:dyDescent="0.3">
      <c r="B4" s="3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5"/>
      <c r="I4" s="49" t="s">
        <v>9</v>
      </c>
      <c r="J4" s="50"/>
      <c r="K4" s="51"/>
      <c r="L4" s="49" t="s">
        <v>10</v>
      </c>
      <c r="M4" s="50"/>
      <c r="N4" s="51"/>
      <c r="O4" s="49" t="s">
        <v>11</v>
      </c>
      <c r="P4" s="50"/>
      <c r="Q4" s="51"/>
      <c r="R4" s="4" t="s">
        <v>12</v>
      </c>
      <c r="S4" s="4" t="s">
        <v>13</v>
      </c>
    </row>
    <row r="5" spans="2:19" ht="18" x14ac:dyDescent="0.3">
      <c r="B5" s="3"/>
      <c r="C5" s="4"/>
      <c r="D5" s="4"/>
      <c r="E5" s="5"/>
      <c r="F5" s="4"/>
      <c r="G5" s="4"/>
      <c r="H5" s="5" t="s">
        <v>14</v>
      </c>
      <c r="I5" s="5" t="s">
        <v>15</v>
      </c>
      <c r="J5" s="5" t="s">
        <v>16</v>
      </c>
      <c r="K5" s="5" t="s">
        <v>17</v>
      </c>
      <c r="L5" s="5" t="s">
        <v>15</v>
      </c>
      <c r="M5" s="5" t="s">
        <v>16</v>
      </c>
      <c r="N5" s="5" t="s">
        <v>17</v>
      </c>
      <c r="O5" s="5" t="s">
        <v>15</v>
      </c>
      <c r="P5" s="5" t="s">
        <v>16</v>
      </c>
      <c r="Q5" s="5" t="s">
        <v>17</v>
      </c>
      <c r="R5" s="6"/>
      <c r="S5" s="6"/>
    </row>
    <row r="6" spans="2:19" ht="18" x14ac:dyDescent="0.3">
      <c r="B6" s="6">
        <v>1</v>
      </c>
      <c r="C6" s="7" t="s">
        <v>18</v>
      </c>
      <c r="D6" s="6" t="s">
        <v>19</v>
      </c>
      <c r="E6" s="6">
        <v>2191</v>
      </c>
      <c r="F6" s="6">
        <v>489.7</v>
      </c>
      <c r="G6" s="6" t="s">
        <v>20</v>
      </c>
      <c r="H6" s="6" t="s">
        <v>37</v>
      </c>
      <c r="I6" s="6">
        <v>73</v>
      </c>
      <c r="J6" s="6">
        <v>73</v>
      </c>
      <c r="K6" s="8"/>
      <c r="L6" s="6">
        <v>73</v>
      </c>
      <c r="M6" s="6">
        <v>0</v>
      </c>
      <c r="N6" s="8" t="s">
        <v>108</v>
      </c>
      <c r="O6" s="6">
        <v>73</v>
      </c>
      <c r="P6" s="6">
        <v>69</v>
      </c>
      <c r="Q6" s="8" t="s">
        <v>110</v>
      </c>
      <c r="R6" s="9">
        <f>I6+L6+O6</f>
        <v>219</v>
      </c>
      <c r="S6" s="6">
        <f t="shared" ref="S6:S20" si="0">J6+M6+P6</f>
        <v>142</v>
      </c>
    </row>
    <row r="7" spans="2:19" ht="18" x14ac:dyDescent="0.3">
      <c r="B7" s="6">
        <v>2</v>
      </c>
      <c r="C7" s="7" t="s">
        <v>21</v>
      </c>
      <c r="D7" s="6" t="s">
        <v>23</v>
      </c>
      <c r="E7" s="6">
        <v>86292</v>
      </c>
      <c r="F7" s="6">
        <v>914.4</v>
      </c>
      <c r="G7" s="6" t="s">
        <v>61</v>
      </c>
      <c r="H7" s="6" t="s">
        <v>63</v>
      </c>
      <c r="I7" s="6">
        <v>62</v>
      </c>
      <c r="J7" s="6">
        <v>62</v>
      </c>
      <c r="K7" s="8"/>
      <c r="L7" s="6">
        <v>62</v>
      </c>
      <c r="M7" s="6">
        <v>62</v>
      </c>
      <c r="N7" s="8"/>
      <c r="O7" s="6">
        <v>62</v>
      </c>
      <c r="P7" s="6">
        <v>62</v>
      </c>
      <c r="Q7" s="8"/>
      <c r="R7" s="9">
        <f t="shared" ref="R7:R20" si="1">I7+L7+O7</f>
        <v>186</v>
      </c>
      <c r="S7" s="6">
        <f t="shared" si="0"/>
        <v>186</v>
      </c>
    </row>
    <row r="8" spans="2:19" ht="18" x14ac:dyDescent="0.3">
      <c r="B8" s="6">
        <v>3</v>
      </c>
      <c r="C8" s="17" t="s">
        <v>77</v>
      </c>
      <c r="D8" s="6" t="s">
        <v>23</v>
      </c>
      <c r="E8" s="6">
        <v>86292</v>
      </c>
      <c r="F8" s="6">
        <v>914.4</v>
      </c>
      <c r="G8" s="6" t="s">
        <v>24</v>
      </c>
      <c r="H8" s="6" t="s">
        <v>84</v>
      </c>
      <c r="I8" s="6">
        <v>36</v>
      </c>
      <c r="J8" s="6">
        <v>35</v>
      </c>
      <c r="K8" s="8"/>
      <c r="L8" s="6">
        <v>36</v>
      </c>
      <c r="M8" s="6">
        <v>33</v>
      </c>
      <c r="N8" s="8"/>
      <c r="O8" s="6">
        <v>36</v>
      </c>
      <c r="P8" s="6">
        <v>31</v>
      </c>
      <c r="Q8" s="8" t="s">
        <v>111</v>
      </c>
      <c r="R8" s="9">
        <f t="shared" si="1"/>
        <v>108</v>
      </c>
      <c r="S8" s="6">
        <f t="shared" si="0"/>
        <v>99</v>
      </c>
    </row>
    <row r="9" spans="2:19" ht="18" x14ac:dyDescent="0.3">
      <c r="B9" s="6">
        <v>4</v>
      </c>
      <c r="C9" s="7" t="s">
        <v>25</v>
      </c>
      <c r="D9" s="6" t="s">
        <v>19</v>
      </c>
      <c r="E9" s="10">
        <v>2123</v>
      </c>
      <c r="F9" s="6">
        <v>418.2</v>
      </c>
      <c r="G9" s="6" t="s">
        <v>24</v>
      </c>
      <c r="H9" s="6" t="s">
        <v>37</v>
      </c>
      <c r="I9" s="6">
        <v>73</v>
      </c>
      <c r="J9" s="6">
        <v>25</v>
      </c>
      <c r="K9" s="8" t="s">
        <v>106</v>
      </c>
      <c r="L9" s="6">
        <v>73</v>
      </c>
      <c r="M9" s="6">
        <v>0</v>
      </c>
      <c r="N9" s="8" t="s">
        <v>108</v>
      </c>
      <c r="O9" s="6">
        <v>73</v>
      </c>
      <c r="P9" s="6">
        <v>56</v>
      </c>
      <c r="Q9" s="8"/>
      <c r="R9" s="9">
        <f t="shared" si="1"/>
        <v>219</v>
      </c>
      <c r="S9" s="6">
        <f t="shared" si="0"/>
        <v>81</v>
      </c>
    </row>
    <row r="10" spans="2:19" ht="18" x14ac:dyDescent="0.3">
      <c r="B10" s="6">
        <v>5</v>
      </c>
      <c r="C10" s="7" t="s">
        <v>28</v>
      </c>
      <c r="D10" s="6" t="s">
        <v>19</v>
      </c>
      <c r="E10" s="10">
        <v>2123</v>
      </c>
      <c r="F10" s="6">
        <v>428.75</v>
      </c>
      <c r="G10" s="6" t="s">
        <v>24</v>
      </c>
      <c r="H10" s="6" t="s">
        <v>104</v>
      </c>
      <c r="I10" s="6">
        <v>24</v>
      </c>
      <c r="J10" s="6">
        <v>12</v>
      </c>
      <c r="K10" s="8" t="s">
        <v>86</v>
      </c>
      <c r="L10" s="6">
        <v>24</v>
      </c>
      <c r="M10" s="6">
        <v>0</v>
      </c>
      <c r="N10" s="8" t="s">
        <v>108</v>
      </c>
      <c r="O10" s="6">
        <v>24</v>
      </c>
      <c r="P10" s="6">
        <v>24</v>
      </c>
      <c r="Q10" s="8"/>
      <c r="R10" s="9">
        <f t="shared" si="1"/>
        <v>72</v>
      </c>
      <c r="S10" s="6">
        <f t="shared" si="0"/>
        <v>36</v>
      </c>
    </row>
    <row r="11" spans="2:19" ht="18" hidden="1" x14ac:dyDescent="0.35">
      <c r="B11" s="6">
        <v>7</v>
      </c>
      <c r="C11" s="42" t="s">
        <v>30</v>
      </c>
      <c r="D11" s="6" t="s">
        <v>75</v>
      </c>
      <c r="E11" s="10">
        <v>98007</v>
      </c>
      <c r="F11" s="6">
        <v>3100</v>
      </c>
      <c r="G11" s="6" t="s">
        <v>27</v>
      </c>
      <c r="H11" s="11" t="s">
        <v>40</v>
      </c>
      <c r="I11" s="11">
        <v>110</v>
      </c>
      <c r="J11" s="6"/>
      <c r="K11" s="8"/>
      <c r="L11" s="11">
        <v>110</v>
      </c>
      <c r="M11" s="6"/>
      <c r="N11" s="8"/>
      <c r="O11" s="11">
        <v>110</v>
      </c>
      <c r="P11" s="6"/>
      <c r="Q11" s="8"/>
      <c r="R11" s="9">
        <f t="shared" si="1"/>
        <v>330</v>
      </c>
      <c r="S11" s="6">
        <f t="shared" si="0"/>
        <v>0</v>
      </c>
    </row>
    <row r="12" spans="2:19" ht="18" x14ac:dyDescent="0.35">
      <c r="B12" s="6">
        <v>6</v>
      </c>
      <c r="C12" s="43"/>
      <c r="D12" s="6" t="s">
        <v>47</v>
      </c>
      <c r="E12" s="10">
        <v>99719</v>
      </c>
      <c r="F12" s="6">
        <v>1107</v>
      </c>
      <c r="G12" s="6" t="s">
        <v>27</v>
      </c>
      <c r="H12" s="11" t="s">
        <v>65</v>
      </c>
      <c r="I12" s="11">
        <v>73</v>
      </c>
      <c r="J12" s="6">
        <v>0</v>
      </c>
      <c r="K12" s="8" t="s">
        <v>105</v>
      </c>
      <c r="L12" s="11">
        <v>0</v>
      </c>
      <c r="M12" s="6">
        <v>0</v>
      </c>
      <c r="N12" s="8" t="s">
        <v>108</v>
      </c>
      <c r="O12" s="11">
        <v>73</v>
      </c>
      <c r="P12" s="6">
        <v>60</v>
      </c>
      <c r="Q12" s="8" t="s">
        <v>112</v>
      </c>
      <c r="R12" s="9">
        <f t="shared" si="1"/>
        <v>146</v>
      </c>
      <c r="S12" s="6">
        <f t="shared" si="0"/>
        <v>60</v>
      </c>
    </row>
    <row r="13" spans="2:19" ht="18" x14ac:dyDescent="0.3">
      <c r="B13" s="40">
        <v>7</v>
      </c>
      <c r="C13" s="42" t="s">
        <v>31</v>
      </c>
      <c r="D13" s="6" t="s">
        <v>23</v>
      </c>
      <c r="E13" s="6">
        <v>86292</v>
      </c>
      <c r="F13" s="6">
        <v>914.4</v>
      </c>
      <c r="G13" s="6" t="s">
        <v>61</v>
      </c>
      <c r="H13" s="6" t="s">
        <v>63</v>
      </c>
      <c r="I13" s="6">
        <v>62</v>
      </c>
      <c r="J13" s="6">
        <v>20</v>
      </c>
      <c r="K13" s="8" t="s">
        <v>106</v>
      </c>
      <c r="L13" s="6">
        <v>0</v>
      </c>
      <c r="M13" s="6">
        <v>0</v>
      </c>
      <c r="N13" s="8" t="s">
        <v>108</v>
      </c>
      <c r="O13" s="6">
        <v>0</v>
      </c>
      <c r="P13" s="6">
        <v>0</v>
      </c>
      <c r="Q13" s="8"/>
      <c r="R13" s="9">
        <f t="shared" si="1"/>
        <v>62</v>
      </c>
      <c r="S13" s="6">
        <f t="shared" si="0"/>
        <v>20</v>
      </c>
    </row>
    <row r="14" spans="2:19" ht="18.75" hidden="1" customHeight="1" x14ac:dyDescent="0.35">
      <c r="B14" s="52"/>
      <c r="C14" s="53"/>
      <c r="D14" s="6" t="s">
        <v>47</v>
      </c>
      <c r="E14" s="6">
        <v>2439</v>
      </c>
      <c r="F14" s="6">
        <v>5005</v>
      </c>
      <c r="G14" s="6" t="s">
        <v>49</v>
      </c>
      <c r="H14" s="6" t="s">
        <v>38</v>
      </c>
      <c r="I14" s="11"/>
      <c r="J14" s="6"/>
      <c r="K14" s="8"/>
      <c r="L14" s="11"/>
      <c r="M14" s="6"/>
      <c r="N14" s="8"/>
      <c r="O14" s="11"/>
      <c r="P14" s="6"/>
      <c r="Q14" s="8"/>
      <c r="R14" s="9">
        <f t="shared" si="1"/>
        <v>0</v>
      </c>
      <c r="S14" s="6">
        <f t="shared" si="0"/>
        <v>0</v>
      </c>
    </row>
    <row r="15" spans="2:19" ht="18.75" hidden="1" customHeight="1" x14ac:dyDescent="0.35">
      <c r="B15" s="52"/>
      <c r="C15" s="53"/>
      <c r="D15" s="6" t="s">
        <v>23</v>
      </c>
      <c r="E15" s="6">
        <v>86292</v>
      </c>
      <c r="F15" s="6">
        <v>914.4</v>
      </c>
      <c r="G15" s="6" t="s">
        <v>69</v>
      </c>
      <c r="H15" s="6" t="s">
        <v>65</v>
      </c>
      <c r="I15" s="11"/>
      <c r="J15" s="6"/>
      <c r="K15" s="8"/>
      <c r="L15" s="11"/>
      <c r="M15" s="6"/>
      <c r="N15" s="8"/>
      <c r="O15" s="11"/>
      <c r="P15" s="6"/>
      <c r="Q15" s="8"/>
      <c r="R15" s="9">
        <f t="shared" si="1"/>
        <v>0</v>
      </c>
      <c r="S15" s="6">
        <f t="shared" si="0"/>
        <v>0</v>
      </c>
    </row>
    <row r="16" spans="2:19" ht="18" x14ac:dyDescent="0.35">
      <c r="B16" s="41"/>
      <c r="C16" s="43"/>
      <c r="D16" s="6" t="s">
        <v>47</v>
      </c>
      <c r="E16" s="6">
        <v>1755</v>
      </c>
      <c r="F16" s="6">
        <v>5005</v>
      </c>
      <c r="G16" s="6" t="s">
        <v>109</v>
      </c>
      <c r="H16" s="6" t="s">
        <v>65</v>
      </c>
      <c r="I16" s="11"/>
      <c r="J16" s="6"/>
      <c r="K16" s="8"/>
      <c r="L16" s="11">
        <v>0</v>
      </c>
      <c r="M16" s="6">
        <v>0</v>
      </c>
      <c r="N16" s="8" t="s">
        <v>50</v>
      </c>
      <c r="O16" s="11">
        <v>12</v>
      </c>
      <c r="P16" s="6">
        <v>12</v>
      </c>
      <c r="Q16" s="8" t="s">
        <v>113</v>
      </c>
      <c r="R16" s="9">
        <f t="shared" si="1"/>
        <v>12</v>
      </c>
      <c r="S16" s="6">
        <f t="shared" si="0"/>
        <v>12</v>
      </c>
    </row>
    <row r="17" spans="2:19" ht="18" x14ac:dyDescent="0.35">
      <c r="B17" s="40"/>
      <c r="C17" s="42" t="s">
        <v>33</v>
      </c>
      <c r="D17" s="6" t="s">
        <v>23</v>
      </c>
      <c r="E17" s="6">
        <v>86292</v>
      </c>
      <c r="F17" s="6">
        <v>914.4</v>
      </c>
      <c r="G17" s="6" t="s">
        <v>89</v>
      </c>
      <c r="H17" s="6" t="s">
        <v>65</v>
      </c>
      <c r="I17" s="11">
        <v>44</v>
      </c>
      <c r="J17" s="6">
        <v>44</v>
      </c>
      <c r="K17" s="8"/>
      <c r="L17" s="11">
        <v>44</v>
      </c>
      <c r="M17" s="6">
        <v>44</v>
      </c>
      <c r="N17" s="8"/>
      <c r="O17" s="11">
        <v>0</v>
      </c>
      <c r="P17" s="6">
        <v>0</v>
      </c>
      <c r="Q17" s="8"/>
      <c r="R17" s="9">
        <f t="shared" si="1"/>
        <v>88</v>
      </c>
      <c r="S17" s="6">
        <f t="shared" si="0"/>
        <v>88</v>
      </c>
    </row>
    <row r="18" spans="2:19" ht="18" x14ac:dyDescent="0.35">
      <c r="B18" s="41"/>
      <c r="C18" s="43"/>
      <c r="D18" s="6" t="s">
        <v>23</v>
      </c>
      <c r="E18" s="6">
        <v>86292</v>
      </c>
      <c r="F18" s="6">
        <v>914.4</v>
      </c>
      <c r="G18" s="6" t="s">
        <v>80</v>
      </c>
      <c r="H18" s="6" t="s">
        <v>65</v>
      </c>
      <c r="I18" s="11">
        <v>44</v>
      </c>
      <c r="J18" s="6">
        <v>44</v>
      </c>
      <c r="K18" s="8"/>
      <c r="L18" s="11">
        <v>44</v>
      </c>
      <c r="M18" s="6">
        <v>44</v>
      </c>
      <c r="N18" s="8"/>
      <c r="O18" s="11">
        <v>88</v>
      </c>
      <c r="P18" s="6">
        <v>88</v>
      </c>
      <c r="Q18" s="8"/>
      <c r="R18" s="9">
        <f t="shared" si="1"/>
        <v>176</v>
      </c>
      <c r="S18" s="6">
        <f t="shared" si="0"/>
        <v>176</v>
      </c>
    </row>
    <row r="19" spans="2:19" ht="18" x14ac:dyDescent="0.3">
      <c r="B19" s="6">
        <v>9</v>
      </c>
      <c r="C19" s="7" t="s">
        <v>34</v>
      </c>
      <c r="D19" s="6" t="s">
        <v>64</v>
      </c>
      <c r="E19" s="6">
        <v>90129</v>
      </c>
      <c r="F19" s="6">
        <v>2540</v>
      </c>
      <c r="G19" s="6" t="s">
        <v>49</v>
      </c>
      <c r="H19" s="6" t="s">
        <v>37</v>
      </c>
      <c r="I19" s="6">
        <v>110</v>
      </c>
      <c r="J19" s="6">
        <v>108</v>
      </c>
      <c r="K19" s="8"/>
      <c r="L19" s="6">
        <v>110</v>
      </c>
      <c r="M19" s="6">
        <v>108</v>
      </c>
      <c r="N19" s="8"/>
      <c r="O19" s="6">
        <v>110</v>
      </c>
      <c r="P19" s="6">
        <v>92</v>
      </c>
      <c r="Q19" s="8" t="s">
        <v>114</v>
      </c>
      <c r="R19" s="9">
        <f t="shared" si="1"/>
        <v>330</v>
      </c>
      <c r="S19" s="6">
        <f t="shared" si="0"/>
        <v>308</v>
      </c>
    </row>
    <row r="20" spans="2:19" ht="18" x14ac:dyDescent="0.35">
      <c r="B20" s="6">
        <v>10</v>
      </c>
      <c r="C20" s="7" t="s">
        <v>35</v>
      </c>
      <c r="D20" s="6"/>
      <c r="E20" s="6"/>
      <c r="F20" s="6"/>
      <c r="G20" s="6"/>
      <c r="H20" s="6"/>
      <c r="I20" s="11"/>
      <c r="J20" s="6"/>
      <c r="K20" s="8" t="s">
        <v>107</v>
      </c>
      <c r="L20" s="6">
        <v>0</v>
      </c>
      <c r="M20" s="6">
        <v>0</v>
      </c>
      <c r="N20" s="8" t="s">
        <v>90</v>
      </c>
      <c r="O20" s="11"/>
      <c r="P20" s="6"/>
      <c r="Q20" s="8" t="s">
        <v>90</v>
      </c>
      <c r="R20" s="9">
        <f t="shared" si="1"/>
        <v>0</v>
      </c>
      <c r="S20" s="6">
        <f t="shared" si="0"/>
        <v>0</v>
      </c>
    </row>
    <row r="29" spans="2:19" x14ac:dyDescent="0.3">
      <c r="K29" t="s">
        <v>50</v>
      </c>
    </row>
  </sheetData>
  <mergeCells count="10">
    <mergeCell ref="B3:N3"/>
    <mergeCell ref="R3:S3"/>
    <mergeCell ref="I4:K4"/>
    <mergeCell ref="L4:N4"/>
    <mergeCell ref="O4:Q4"/>
    <mergeCell ref="C11:C12"/>
    <mergeCell ref="C17:C18"/>
    <mergeCell ref="B17:B18"/>
    <mergeCell ref="B13:B16"/>
    <mergeCell ref="C13:C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S21"/>
  <sheetViews>
    <sheetView zoomScale="70" zoomScaleNormal="70" workbookViewId="0">
      <selection activeCell="N31" sqref="N31"/>
    </sheetView>
  </sheetViews>
  <sheetFormatPr defaultRowHeight="14.4" x14ac:dyDescent="0.3"/>
  <cols>
    <col min="1" max="1" width="3.6640625" customWidth="1"/>
    <col min="4" max="4" width="16.33203125" customWidth="1"/>
    <col min="7" max="7" width="16.33203125" customWidth="1"/>
    <col min="8" max="8" width="11.44140625" customWidth="1"/>
    <col min="11" max="11" width="38.88671875" customWidth="1"/>
    <col min="14" max="14" width="25.44140625" bestFit="1" customWidth="1"/>
    <col min="17" max="17" width="37.6640625" customWidth="1"/>
  </cols>
  <sheetData>
    <row r="2" spans="2:19" ht="18" x14ac:dyDescent="0.35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  <c r="O2" s="1" t="s">
        <v>1</v>
      </c>
      <c r="P2" s="2" t="s">
        <v>115</v>
      </c>
      <c r="Q2" s="1" t="s">
        <v>2</v>
      </c>
      <c r="R2" s="47"/>
      <c r="S2" s="48"/>
    </row>
    <row r="3" spans="2:19" ht="72" x14ac:dyDescent="0.3">
      <c r="B3" s="3" t="s">
        <v>3</v>
      </c>
      <c r="C3" s="4" t="s">
        <v>4</v>
      </c>
      <c r="D3" s="4" t="s">
        <v>5</v>
      </c>
      <c r="E3" s="5" t="s">
        <v>6</v>
      </c>
      <c r="F3" s="4" t="s">
        <v>7</v>
      </c>
      <c r="G3" s="4" t="s">
        <v>8</v>
      </c>
      <c r="H3" s="5"/>
      <c r="I3" s="49" t="s">
        <v>9</v>
      </c>
      <c r="J3" s="50"/>
      <c r="K3" s="51"/>
      <c r="L3" s="49" t="s">
        <v>10</v>
      </c>
      <c r="M3" s="50"/>
      <c r="N3" s="51"/>
      <c r="O3" s="49" t="s">
        <v>11</v>
      </c>
      <c r="P3" s="50"/>
      <c r="Q3" s="51"/>
      <c r="R3" s="4" t="s">
        <v>12</v>
      </c>
      <c r="S3" s="4" t="s">
        <v>13</v>
      </c>
    </row>
    <row r="4" spans="2:19" ht="18" x14ac:dyDescent="0.3">
      <c r="B4" s="3"/>
      <c r="C4" s="4"/>
      <c r="D4" s="4"/>
      <c r="E4" s="5"/>
      <c r="F4" s="4"/>
      <c r="G4" s="4"/>
      <c r="H4" s="5" t="s">
        <v>14</v>
      </c>
      <c r="I4" s="5" t="s">
        <v>15</v>
      </c>
      <c r="J4" s="5" t="s">
        <v>16</v>
      </c>
      <c r="K4" s="5" t="s">
        <v>17</v>
      </c>
      <c r="L4" s="5" t="s">
        <v>15</v>
      </c>
      <c r="M4" s="5" t="s">
        <v>16</v>
      </c>
      <c r="N4" s="5" t="s">
        <v>17</v>
      </c>
      <c r="O4" s="5" t="s">
        <v>15</v>
      </c>
      <c r="P4" s="5" t="s">
        <v>16</v>
      </c>
      <c r="Q4" s="5" t="s">
        <v>17</v>
      </c>
      <c r="R4" s="6"/>
      <c r="S4" s="6"/>
    </row>
    <row r="5" spans="2:19" ht="18" x14ac:dyDescent="0.3">
      <c r="B5" s="6">
        <v>1</v>
      </c>
      <c r="C5" s="7" t="s">
        <v>18</v>
      </c>
      <c r="D5" s="6" t="s">
        <v>19</v>
      </c>
      <c r="E5" s="6">
        <v>2191</v>
      </c>
      <c r="F5" s="6">
        <v>489.7</v>
      </c>
      <c r="G5" s="6" t="s">
        <v>20</v>
      </c>
      <c r="H5" s="6" t="s">
        <v>37</v>
      </c>
      <c r="I5" s="6">
        <v>73</v>
      </c>
      <c r="J5" s="6">
        <v>70</v>
      </c>
      <c r="K5" s="8"/>
      <c r="L5" s="6">
        <v>73</v>
      </c>
      <c r="M5" s="6">
        <v>73</v>
      </c>
      <c r="N5" s="8"/>
      <c r="O5" s="6">
        <v>73</v>
      </c>
      <c r="P5" s="6">
        <v>62</v>
      </c>
      <c r="Q5" s="8" t="s">
        <v>127</v>
      </c>
      <c r="R5" s="9">
        <f>I5+L5+O5</f>
        <v>219</v>
      </c>
      <c r="S5" s="6">
        <f t="shared" ref="S5:S21" si="0">J5+M5+P5</f>
        <v>205</v>
      </c>
    </row>
    <row r="6" spans="2:19" ht="18" x14ac:dyDescent="0.3">
      <c r="B6" s="6">
        <v>2</v>
      </c>
      <c r="C6" s="7" t="s">
        <v>21</v>
      </c>
      <c r="D6" s="6" t="s">
        <v>23</v>
      </c>
      <c r="E6" s="6">
        <v>86292</v>
      </c>
      <c r="F6" s="6">
        <v>914.4</v>
      </c>
      <c r="G6" s="6" t="s">
        <v>61</v>
      </c>
      <c r="H6" s="6" t="s">
        <v>63</v>
      </c>
      <c r="I6" s="6">
        <v>62</v>
      </c>
      <c r="J6" s="6">
        <v>62</v>
      </c>
      <c r="K6" s="8"/>
      <c r="L6" s="6">
        <v>62</v>
      </c>
      <c r="M6" s="6">
        <v>54</v>
      </c>
      <c r="N6" s="8" t="s">
        <v>126</v>
      </c>
      <c r="O6" s="6">
        <v>62</v>
      </c>
      <c r="P6" s="6">
        <v>62</v>
      </c>
      <c r="Q6" s="8"/>
      <c r="R6" s="9">
        <f t="shared" ref="R6:R21" si="1">I6+L6+O6</f>
        <v>186</v>
      </c>
      <c r="S6" s="6">
        <f t="shared" si="0"/>
        <v>178</v>
      </c>
    </row>
    <row r="7" spans="2:19" ht="18" x14ac:dyDescent="0.3">
      <c r="B7" s="6">
        <v>3</v>
      </c>
      <c r="C7" s="17" t="s">
        <v>77</v>
      </c>
      <c r="D7" s="6" t="s">
        <v>23</v>
      </c>
      <c r="E7" s="6">
        <v>86292</v>
      </c>
      <c r="F7" s="6">
        <v>914.4</v>
      </c>
      <c r="G7" s="6" t="s">
        <v>24</v>
      </c>
      <c r="H7" s="6" t="s">
        <v>84</v>
      </c>
      <c r="I7" s="6">
        <v>36</v>
      </c>
      <c r="J7" s="6">
        <v>32</v>
      </c>
      <c r="K7" s="8" t="s">
        <v>123</v>
      </c>
      <c r="L7" s="6">
        <v>36</v>
      </c>
      <c r="M7" s="6">
        <v>35</v>
      </c>
      <c r="N7" s="8"/>
      <c r="O7" s="6">
        <v>36</v>
      </c>
      <c r="P7" s="6">
        <v>31</v>
      </c>
      <c r="Q7" s="8"/>
      <c r="R7" s="9">
        <f t="shared" si="1"/>
        <v>108</v>
      </c>
      <c r="S7" s="6">
        <f t="shared" si="0"/>
        <v>98</v>
      </c>
    </row>
    <row r="8" spans="2:19" ht="18" x14ac:dyDescent="0.3">
      <c r="B8" s="6">
        <v>4</v>
      </c>
      <c r="C8" s="7" t="s">
        <v>25</v>
      </c>
      <c r="D8" s="6" t="s">
        <v>19</v>
      </c>
      <c r="E8" s="10">
        <v>2123</v>
      </c>
      <c r="F8" s="6">
        <v>418.2</v>
      </c>
      <c r="G8" s="6" t="s">
        <v>24</v>
      </c>
      <c r="H8" s="6" t="s">
        <v>37</v>
      </c>
      <c r="I8" s="6">
        <v>73</v>
      </c>
      <c r="J8" s="6">
        <v>20</v>
      </c>
      <c r="K8" s="8" t="s">
        <v>120</v>
      </c>
      <c r="L8" s="6">
        <v>73</v>
      </c>
      <c r="M8" s="6">
        <v>0</v>
      </c>
      <c r="N8" s="8" t="s">
        <v>57</v>
      </c>
      <c r="O8" s="6">
        <v>73</v>
      </c>
      <c r="P8" s="6">
        <v>54</v>
      </c>
      <c r="Q8" s="8" t="s">
        <v>128</v>
      </c>
      <c r="R8" s="9">
        <f t="shared" si="1"/>
        <v>219</v>
      </c>
      <c r="S8" s="6">
        <f t="shared" si="0"/>
        <v>74</v>
      </c>
    </row>
    <row r="9" spans="2:19" ht="18" x14ac:dyDescent="0.3">
      <c r="B9" s="6">
        <v>5</v>
      </c>
      <c r="C9" s="7" t="s">
        <v>28</v>
      </c>
      <c r="D9" s="6" t="s">
        <v>19</v>
      </c>
      <c r="E9" s="10">
        <v>2123</v>
      </c>
      <c r="F9" s="6">
        <v>428.75</v>
      </c>
      <c r="G9" s="6" t="s">
        <v>24</v>
      </c>
      <c r="H9" s="6" t="s">
        <v>104</v>
      </c>
      <c r="I9" s="6">
        <v>24</v>
      </c>
      <c r="J9" s="6">
        <v>22</v>
      </c>
      <c r="K9" s="8"/>
      <c r="L9" s="6">
        <v>24</v>
      </c>
      <c r="M9" s="6">
        <v>0</v>
      </c>
      <c r="N9" s="8" t="s">
        <v>57</v>
      </c>
      <c r="O9" s="6">
        <v>24</v>
      </c>
      <c r="P9" s="6">
        <v>24</v>
      </c>
      <c r="Q9" s="8"/>
      <c r="R9" s="9">
        <f t="shared" si="1"/>
        <v>72</v>
      </c>
      <c r="S9" s="6">
        <f t="shared" si="0"/>
        <v>46</v>
      </c>
    </row>
    <row r="10" spans="2:19" ht="18" hidden="1" x14ac:dyDescent="0.35">
      <c r="B10" s="6">
        <v>7</v>
      </c>
      <c r="C10" s="42" t="s">
        <v>30</v>
      </c>
      <c r="D10" s="6" t="s">
        <v>75</v>
      </c>
      <c r="E10" s="10">
        <v>98007</v>
      </c>
      <c r="F10" s="6">
        <v>3100</v>
      </c>
      <c r="G10" s="6" t="s">
        <v>27</v>
      </c>
      <c r="H10" s="11" t="s">
        <v>40</v>
      </c>
      <c r="I10" s="11">
        <v>110</v>
      </c>
      <c r="J10" s="6"/>
      <c r="K10" s="8"/>
      <c r="L10" s="11">
        <v>110</v>
      </c>
      <c r="M10" s="6"/>
      <c r="N10" s="8"/>
      <c r="O10" s="11">
        <v>110</v>
      </c>
      <c r="P10" s="6"/>
      <c r="Q10" s="8"/>
      <c r="R10" s="9">
        <f t="shared" si="1"/>
        <v>330</v>
      </c>
      <c r="S10" s="6">
        <f t="shared" si="0"/>
        <v>0</v>
      </c>
    </row>
    <row r="11" spans="2:19" ht="18" x14ac:dyDescent="0.35">
      <c r="B11" s="6">
        <v>6</v>
      </c>
      <c r="C11" s="43"/>
      <c r="D11" s="6" t="s">
        <v>47</v>
      </c>
      <c r="E11" s="10">
        <v>99719</v>
      </c>
      <c r="F11" s="6">
        <v>1107</v>
      </c>
      <c r="G11" s="6" t="s">
        <v>27</v>
      </c>
      <c r="H11" s="11" t="s">
        <v>37</v>
      </c>
      <c r="I11" s="11">
        <v>73</v>
      </c>
      <c r="J11" s="6">
        <v>60</v>
      </c>
      <c r="K11" s="8" t="s">
        <v>121</v>
      </c>
      <c r="L11" s="11">
        <v>73</v>
      </c>
      <c r="M11" s="6">
        <v>40</v>
      </c>
      <c r="N11" s="8" t="s">
        <v>57</v>
      </c>
      <c r="O11" s="11">
        <v>73</v>
      </c>
      <c r="P11" s="6">
        <v>73</v>
      </c>
      <c r="Q11" s="8"/>
      <c r="R11" s="9">
        <f t="shared" si="1"/>
        <v>219</v>
      </c>
      <c r="S11" s="6">
        <f t="shared" si="0"/>
        <v>173</v>
      </c>
    </row>
    <row r="12" spans="2:19" ht="18" x14ac:dyDescent="0.3">
      <c r="B12" s="40">
        <v>7</v>
      </c>
      <c r="C12" s="42" t="s">
        <v>31</v>
      </c>
      <c r="D12" s="40" t="s">
        <v>23</v>
      </c>
      <c r="E12" s="40">
        <v>86290</v>
      </c>
      <c r="F12" s="40">
        <v>914.1</v>
      </c>
      <c r="G12" s="6" t="s">
        <v>117</v>
      </c>
      <c r="H12" s="6" t="s">
        <v>118</v>
      </c>
      <c r="I12" s="6">
        <v>37</v>
      </c>
      <c r="J12" s="6">
        <v>37</v>
      </c>
      <c r="K12" s="8" t="s">
        <v>119</v>
      </c>
      <c r="L12" s="6">
        <v>32</v>
      </c>
      <c r="M12" s="6">
        <v>0</v>
      </c>
      <c r="N12" s="8" t="s">
        <v>125</v>
      </c>
      <c r="O12" s="6">
        <v>0</v>
      </c>
      <c r="P12" s="6"/>
      <c r="Q12" s="8"/>
      <c r="R12" s="9">
        <f t="shared" si="1"/>
        <v>69</v>
      </c>
      <c r="S12" s="6">
        <f t="shared" si="0"/>
        <v>37</v>
      </c>
    </row>
    <row r="13" spans="2:19" ht="18.75" hidden="1" customHeight="1" x14ac:dyDescent="0.35">
      <c r="B13" s="52"/>
      <c r="C13" s="53"/>
      <c r="D13" s="52"/>
      <c r="E13" s="52"/>
      <c r="F13" s="52"/>
      <c r="G13" s="6" t="s">
        <v>49</v>
      </c>
      <c r="H13" s="6" t="s">
        <v>38</v>
      </c>
      <c r="I13" s="11"/>
      <c r="J13" s="6"/>
      <c r="K13" s="8"/>
      <c r="L13" s="11"/>
      <c r="M13" s="6"/>
      <c r="N13" s="8"/>
      <c r="O13" s="11"/>
      <c r="P13" s="6"/>
      <c r="Q13" s="8"/>
      <c r="R13" s="9">
        <f t="shared" si="1"/>
        <v>0</v>
      </c>
      <c r="S13" s="6">
        <f t="shared" si="0"/>
        <v>0</v>
      </c>
    </row>
    <row r="14" spans="2:19" ht="18.75" hidden="1" customHeight="1" x14ac:dyDescent="0.35">
      <c r="B14" s="52"/>
      <c r="C14" s="53"/>
      <c r="D14" s="52"/>
      <c r="E14" s="52"/>
      <c r="F14" s="52"/>
      <c r="G14" s="6" t="s">
        <v>69</v>
      </c>
      <c r="H14" s="6" t="s">
        <v>65</v>
      </c>
      <c r="I14" s="11"/>
      <c r="J14" s="6"/>
      <c r="K14" s="8"/>
      <c r="L14" s="11"/>
      <c r="M14" s="6"/>
      <c r="N14" s="8"/>
      <c r="O14" s="11"/>
      <c r="P14" s="6"/>
      <c r="Q14" s="8"/>
      <c r="R14" s="9">
        <f t="shared" si="1"/>
        <v>0</v>
      </c>
      <c r="S14" s="6">
        <f t="shared" si="0"/>
        <v>0</v>
      </c>
    </row>
    <row r="15" spans="2:19" ht="18.75" hidden="1" customHeight="1" x14ac:dyDescent="0.35">
      <c r="B15" s="52"/>
      <c r="C15" s="53"/>
      <c r="D15" s="52"/>
      <c r="E15" s="52"/>
      <c r="F15" s="52"/>
      <c r="G15" s="6" t="s">
        <v>109</v>
      </c>
      <c r="H15" s="6" t="s">
        <v>65</v>
      </c>
      <c r="I15" s="11"/>
      <c r="J15" s="6"/>
      <c r="K15" s="8"/>
      <c r="L15" s="11">
        <v>0</v>
      </c>
      <c r="M15" s="6"/>
      <c r="N15" s="8"/>
      <c r="O15" s="11">
        <v>12</v>
      </c>
      <c r="P15" s="6"/>
      <c r="Q15" s="8"/>
      <c r="R15" s="9">
        <f t="shared" si="1"/>
        <v>12</v>
      </c>
      <c r="S15" s="6">
        <f t="shared" si="0"/>
        <v>0</v>
      </c>
    </row>
    <row r="16" spans="2:19" ht="18" x14ac:dyDescent="0.35">
      <c r="B16" s="52"/>
      <c r="C16" s="53"/>
      <c r="D16" s="52"/>
      <c r="E16" s="52"/>
      <c r="F16" s="52"/>
      <c r="G16" s="6" t="s">
        <v>61</v>
      </c>
      <c r="H16" s="6" t="s">
        <v>118</v>
      </c>
      <c r="I16" s="11">
        <v>0</v>
      </c>
      <c r="J16" s="6">
        <v>0</v>
      </c>
      <c r="K16" s="8"/>
      <c r="L16" s="11">
        <v>37</v>
      </c>
      <c r="M16" s="6">
        <v>0</v>
      </c>
      <c r="N16" s="8" t="s">
        <v>57</v>
      </c>
      <c r="O16" s="11">
        <v>35</v>
      </c>
      <c r="P16" s="6">
        <v>35</v>
      </c>
      <c r="Q16" s="8"/>
      <c r="R16" s="9"/>
      <c r="S16" s="6"/>
    </row>
    <row r="17" spans="2:19" ht="18" x14ac:dyDescent="0.35">
      <c r="B17" s="41"/>
      <c r="C17" s="43"/>
      <c r="D17" s="41"/>
      <c r="E17" s="41"/>
      <c r="F17" s="41"/>
      <c r="G17" s="6" t="s">
        <v>69</v>
      </c>
      <c r="H17" s="6" t="s">
        <v>129</v>
      </c>
      <c r="I17" s="11"/>
      <c r="J17" s="6"/>
      <c r="K17" s="8"/>
      <c r="L17" s="11"/>
      <c r="M17" s="6"/>
      <c r="N17" s="8"/>
      <c r="O17" s="11">
        <v>7</v>
      </c>
      <c r="P17" s="6">
        <v>7</v>
      </c>
      <c r="Q17" s="8"/>
      <c r="R17" s="9"/>
      <c r="S17" s="6"/>
    </row>
    <row r="18" spans="2:19" ht="18" x14ac:dyDescent="0.35">
      <c r="B18" s="40"/>
      <c r="C18" s="42" t="s">
        <v>33</v>
      </c>
      <c r="D18" s="6" t="s">
        <v>23</v>
      </c>
      <c r="E18" s="6">
        <v>86292</v>
      </c>
      <c r="F18" s="6">
        <v>914.4</v>
      </c>
      <c r="G18" s="6" t="s">
        <v>89</v>
      </c>
      <c r="H18" s="6" t="s">
        <v>65</v>
      </c>
      <c r="I18" s="11">
        <v>44</v>
      </c>
      <c r="J18" s="6">
        <v>44</v>
      </c>
      <c r="K18" s="8"/>
      <c r="L18" s="11">
        <v>44</v>
      </c>
      <c r="M18" s="6">
        <v>44</v>
      </c>
      <c r="N18" s="8"/>
      <c r="O18" s="11">
        <v>44</v>
      </c>
      <c r="P18" s="6">
        <v>44</v>
      </c>
      <c r="Q18" s="8"/>
      <c r="R18" s="9">
        <f t="shared" si="1"/>
        <v>132</v>
      </c>
      <c r="S18" s="6">
        <f t="shared" si="0"/>
        <v>132</v>
      </c>
    </row>
    <row r="19" spans="2:19" ht="18" x14ac:dyDescent="0.35">
      <c r="B19" s="41"/>
      <c r="C19" s="43"/>
      <c r="D19" s="6" t="s">
        <v>23</v>
      </c>
      <c r="E19" s="6">
        <v>86292</v>
      </c>
      <c r="F19" s="6">
        <v>914.4</v>
      </c>
      <c r="G19" s="6" t="s">
        <v>80</v>
      </c>
      <c r="H19" s="6" t="s">
        <v>65</v>
      </c>
      <c r="I19" s="11">
        <v>44</v>
      </c>
      <c r="J19" s="6">
        <v>44</v>
      </c>
      <c r="K19" s="8"/>
      <c r="L19" s="11">
        <v>44</v>
      </c>
      <c r="M19" s="6">
        <v>44</v>
      </c>
      <c r="N19" s="8"/>
      <c r="O19" s="11">
        <v>44</v>
      </c>
      <c r="P19" s="6">
        <v>44</v>
      </c>
      <c r="Q19" s="8"/>
      <c r="R19" s="9">
        <f t="shared" si="1"/>
        <v>132</v>
      </c>
      <c r="S19" s="6">
        <f t="shared" si="0"/>
        <v>132</v>
      </c>
    </row>
    <row r="20" spans="2:19" ht="18" x14ac:dyDescent="0.3">
      <c r="B20" s="6">
        <v>9</v>
      </c>
      <c r="C20" s="7" t="s">
        <v>34</v>
      </c>
      <c r="D20" s="6" t="s">
        <v>64</v>
      </c>
      <c r="E20" s="6">
        <v>90129</v>
      </c>
      <c r="F20" s="6">
        <v>2540</v>
      </c>
      <c r="G20" s="6" t="s">
        <v>49</v>
      </c>
      <c r="H20" s="6" t="s">
        <v>37</v>
      </c>
      <c r="I20" s="6">
        <v>110</v>
      </c>
      <c r="J20" s="6">
        <v>104</v>
      </c>
      <c r="K20" s="8" t="s">
        <v>122</v>
      </c>
      <c r="L20" s="6">
        <v>110</v>
      </c>
      <c r="M20" s="6">
        <v>75</v>
      </c>
      <c r="N20" s="8" t="s">
        <v>124</v>
      </c>
      <c r="O20" s="6">
        <v>110</v>
      </c>
      <c r="P20" s="6">
        <v>56</v>
      </c>
      <c r="Q20" s="8" t="s">
        <v>130</v>
      </c>
      <c r="R20" s="9">
        <f t="shared" si="1"/>
        <v>330</v>
      </c>
      <c r="S20" s="6">
        <f t="shared" si="0"/>
        <v>235</v>
      </c>
    </row>
    <row r="21" spans="2:19" ht="18" x14ac:dyDescent="0.35">
      <c r="B21" s="6">
        <v>10</v>
      </c>
      <c r="C21" s="7" t="s">
        <v>35</v>
      </c>
      <c r="D21" s="6"/>
      <c r="E21" s="6"/>
      <c r="F21" s="6"/>
      <c r="G21" s="6"/>
      <c r="H21" s="6"/>
      <c r="I21" s="11">
        <v>0</v>
      </c>
      <c r="J21" s="6">
        <v>0</v>
      </c>
      <c r="K21" s="8" t="s">
        <v>116</v>
      </c>
      <c r="L21" s="6">
        <v>0</v>
      </c>
      <c r="M21" s="6">
        <v>0</v>
      </c>
      <c r="N21" s="8" t="s">
        <v>116</v>
      </c>
      <c r="O21" s="11"/>
      <c r="P21" s="6"/>
      <c r="Q21" s="8"/>
      <c r="R21" s="9">
        <f t="shared" si="1"/>
        <v>0</v>
      </c>
      <c r="S21" s="6">
        <f t="shared" si="0"/>
        <v>0</v>
      </c>
    </row>
  </sheetData>
  <mergeCells count="13">
    <mergeCell ref="R2:S2"/>
    <mergeCell ref="I3:K3"/>
    <mergeCell ref="L3:N3"/>
    <mergeCell ref="O3:Q3"/>
    <mergeCell ref="C10:C11"/>
    <mergeCell ref="B18:B19"/>
    <mergeCell ref="C18:C19"/>
    <mergeCell ref="B2:N2"/>
    <mergeCell ref="C12:C17"/>
    <mergeCell ref="D12:D17"/>
    <mergeCell ref="E12:E17"/>
    <mergeCell ref="F12:F17"/>
    <mergeCell ref="B12:B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S22"/>
  <sheetViews>
    <sheetView zoomScale="70" zoomScaleNormal="70" workbookViewId="0">
      <selection activeCell="J5" sqref="J5"/>
    </sheetView>
  </sheetViews>
  <sheetFormatPr defaultRowHeight="14.4" x14ac:dyDescent="0.3"/>
  <cols>
    <col min="1" max="1" width="3.6640625" customWidth="1"/>
    <col min="4" max="4" width="16.33203125" customWidth="1"/>
    <col min="7" max="7" width="16.33203125" customWidth="1"/>
    <col min="8" max="8" width="11.44140625" customWidth="1"/>
    <col min="11" max="11" width="38.88671875" customWidth="1"/>
    <col min="14" max="14" width="25.44140625" bestFit="1" customWidth="1"/>
    <col min="17" max="17" width="37.6640625" customWidth="1"/>
    <col min="20" max="20" width="3.5546875" customWidth="1"/>
  </cols>
  <sheetData>
    <row r="2" spans="2:19" ht="18" x14ac:dyDescent="0.35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  <c r="O2" s="1" t="s">
        <v>1</v>
      </c>
      <c r="P2" s="2" t="s">
        <v>131</v>
      </c>
      <c r="Q2" s="1" t="s">
        <v>2</v>
      </c>
      <c r="R2" s="47"/>
      <c r="S2" s="48"/>
    </row>
    <row r="3" spans="2:19" ht="72" x14ac:dyDescent="0.3">
      <c r="B3" s="3" t="s">
        <v>3</v>
      </c>
      <c r="C3" s="4" t="s">
        <v>4</v>
      </c>
      <c r="D3" s="4" t="s">
        <v>5</v>
      </c>
      <c r="E3" s="5" t="s">
        <v>6</v>
      </c>
      <c r="F3" s="4" t="s">
        <v>7</v>
      </c>
      <c r="G3" s="4" t="s">
        <v>8</v>
      </c>
      <c r="H3" s="5"/>
      <c r="I3" s="49" t="s">
        <v>9</v>
      </c>
      <c r="J3" s="50"/>
      <c r="K3" s="51"/>
      <c r="L3" s="49" t="s">
        <v>10</v>
      </c>
      <c r="M3" s="50"/>
      <c r="N3" s="51"/>
      <c r="O3" s="49" t="s">
        <v>11</v>
      </c>
      <c r="P3" s="50"/>
      <c r="Q3" s="51"/>
      <c r="R3" s="4" t="s">
        <v>12</v>
      </c>
      <c r="S3" s="4" t="s">
        <v>13</v>
      </c>
    </row>
    <row r="4" spans="2:19" ht="18" x14ac:dyDescent="0.3">
      <c r="B4" s="3"/>
      <c r="C4" s="4"/>
      <c r="D4" s="4"/>
      <c r="E4" s="5"/>
      <c r="F4" s="4"/>
      <c r="G4" s="4"/>
      <c r="H4" s="5" t="s">
        <v>14</v>
      </c>
      <c r="I4" s="5" t="s">
        <v>15</v>
      </c>
      <c r="J4" s="5" t="s">
        <v>16</v>
      </c>
      <c r="K4" s="5" t="s">
        <v>17</v>
      </c>
      <c r="L4" s="5" t="s">
        <v>15</v>
      </c>
      <c r="M4" s="5" t="s">
        <v>16</v>
      </c>
      <c r="N4" s="5" t="s">
        <v>17</v>
      </c>
      <c r="O4" s="5" t="s">
        <v>15</v>
      </c>
      <c r="P4" s="5" t="s">
        <v>16</v>
      </c>
      <c r="Q4" s="5" t="s">
        <v>17</v>
      </c>
      <c r="R4" s="6"/>
      <c r="S4" s="6"/>
    </row>
    <row r="5" spans="2:19" ht="18" x14ac:dyDescent="0.3">
      <c r="B5" s="6">
        <v>1</v>
      </c>
      <c r="C5" s="7" t="s">
        <v>18</v>
      </c>
      <c r="D5" s="6" t="s">
        <v>19</v>
      </c>
      <c r="E5" s="6">
        <v>98812</v>
      </c>
      <c r="F5" s="6">
        <v>292.2</v>
      </c>
      <c r="G5" s="6" t="s">
        <v>27</v>
      </c>
      <c r="H5" s="6" t="s">
        <v>41</v>
      </c>
      <c r="I5" s="6">
        <v>146</v>
      </c>
      <c r="J5" s="6">
        <v>142</v>
      </c>
      <c r="K5" s="8" t="s">
        <v>57</v>
      </c>
      <c r="L5" s="6">
        <v>73</v>
      </c>
      <c r="M5" s="6">
        <v>0</v>
      </c>
      <c r="N5" s="8" t="s">
        <v>57</v>
      </c>
      <c r="O5" s="6">
        <v>73</v>
      </c>
      <c r="P5" s="6">
        <v>73</v>
      </c>
      <c r="Q5" s="8"/>
      <c r="R5" s="9">
        <f>I5+L5+O5</f>
        <v>292</v>
      </c>
      <c r="S5" s="6">
        <f t="shared" ref="S5:S22" si="0">J5+M5+P5</f>
        <v>215</v>
      </c>
    </row>
    <row r="6" spans="2:19" ht="18" x14ac:dyDescent="0.3">
      <c r="B6" s="6">
        <v>2</v>
      </c>
      <c r="C6" s="7" t="s">
        <v>21</v>
      </c>
      <c r="D6" s="6" t="s">
        <v>23</v>
      </c>
      <c r="E6" s="6">
        <v>86292</v>
      </c>
      <c r="F6" s="6">
        <v>914.4</v>
      </c>
      <c r="G6" s="6" t="s">
        <v>61</v>
      </c>
      <c r="H6" s="6" t="s">
        <v>63</v>
      </c>
      <c r="I6" s="6">
        <v>62</v>
      </c>
      <c r="J6" s="6">
        <v>33</v>
      </c>
      <c r="K6" s="8" t="s">
        <v>57</v>
      </c>
      <c r="L6" s="6">
        <v>62</v>
      </c>
      <c r="M6" s="6"/>
      <c r="N6" s="8"/>
      <c r="O6" s="6">
        <v>62</v>
      </c>
      <c r="P6" s="6">
        <v>62</v>
      </c>
      <c r="Q6" s="8"/>
      <c r="R6" s="9">
        <f t="shared" ref="R6:R22" si="1">I6+L6+O6</f>
        <v>186</v>
      </c>
      <c r="S6" s="6">
        <f t="shared" si="0"/>
        <v>95</v>
      </c>
    </row>
    <row r="7" spans="2:19" ht="18" x14ac:dyDescent="0.3">
      <c r="B7" s="6">
        <v>3</v>
      </c>
      <c r="C7" s="17" t="s">
        <v>77</v>
      </c>
      <c r="D7" s="6" t="s">
        <v>23</v>
      </c>
      <c r="E7" s="6">
        <v>86292</v>
      </c>
      <c r="F7" s="6">
        <v>914.4</v>
      </c>
      <c r="G7" s="6" t="s">
        <v>24</v>
      </c>
      <c r="H7" s="6" t="s">
        <v>84</v>
      </c>
      <c r="I7" s="6">
        <v>36</v>
      </c>
      <c r="J7" s="6">
        <v>30</v>
      </c>
      <c r="K7" s="8" t="s">
        <v>111</v>
      </c>
      <c r="L7" s="6">
        <v>36</v>
      </c>
      <c r="M7" s="6"/>
      <c r="N7" s="8"/>
      <c r="O7" s="6">
        <v>36</v>
      </c>
      <c r="P7" s="6">
        <v>34</v>
      </c>
      <c r="Q7" s="8" t="s">
        <v>136</v>
      </c>
      <c r="R7" s="9">
        <f t="shared" si="1"/>
        <v>108</v>
      </c>
      <c r="S7" s="6">
        <f t="shared" si="0"/>
        <v>64</v>
      </c>
    </row>
    <row r="8" spans="2:19" ht="18" x14ac:dyDescent="0.3">
      <c r="B8" s="6">
        <v>4</v>
      </c>
      <c r="C8" s="7" t="s">
        <v>25</v>
      </c>
      <c r="D8" s="6" t="s">
        <v>19</v>
      </c>
      <c r="E8" s="10">
        <v>2123</v>
      </c>
      <c r="F8" s="6">
        <v>418.2</v>
      </c>
      <c r="G8" s="6" t="s">
        <v>24</v>
      </c>
      <c r="H8" s="6" t="s">
        <v>37</v>
      </c>
      <c r="I8" s="6">
        <v>73</v>
      </c>
      <c r="J8" s="6">
        <v>19</v>
      </c>
      <c r="K8" s="8" t="s">
        <v>57</v>
      </c>
      <c r="L8" s="6">
        <v>73</v>
      </c>
      <c r="M8" s="6">
        <v>0</v>
      </c>
      <c r="N8" s="8" t="s">
        <v>57</v>
      </c>
      <c r="O8" s="6">
        <v>73</v>
      </c>
      <c r="P8" s="6">
        <v>57</v>
      </c>
      <c r="Q8" s="8" t="s">
        <v>136</v>
      </c>
      <c r="R8" s="9">
        <f t="shared" si="1"/>
        <v>219</v>
      </c>
      <c r="S8" s="6">
        <f t="shared" si="0"/>
        <v>76</v>
      </c>
    </row>
    <row r="9" spans="2:19" ht="18" x14ac:dyDescent="0.3">
      <c r="B9" s="6">
        <v>5</v>
      </c>
      <c r="C9" s="7" t="s">
        <v>28</v>
      </c>
      <c r="D9" s="6" t="s">
        <v>19</v>
      </c>
      <c r="E9" s="10">
        <v>2123</v>
      </c>
      <c r="F9" s="6">
        <v>428.75</v>
      </c>
      <c r="G9" s="6" t="s">
        <v>24</v>
      </c>
      <c r="H9" s="6" t="s">
        <v>104</v>
      </c>
      <c r="I9" s="6">
        <v>24</v>
      </c>
      <c r="J9" s="6">
        <v>16</v>
      </c>
      <c r="K9" s="8" t="s">
        <v>57</v>
      </c>
      <c r="L9" s="6">
        <v>24</v>
      </c>
      <c r="M9" s="6">
        <v>0</v>
      </c>
      <c r="N9" s="8" t="s">
        <v>57</v>
      </c>
      <c r="O9" s="6">
        <v>24</v>
      </c>
      <c r="P9" s="6">
        <v>24</v>
      </c>
      <c r="Q9" s="8"/>
      <c r="R9" s="9">
        <f t="shared" si="1"/>
        <v>72</v>
      </c>
      <c r="S9" s="6">
        <f t="shared" si="0"/>
        <v>40</v>
      </c>
    </row>
    <row r="10" spans="2:19" ht="18" hidden="1" x14ac:dyDescent="0.35">
      <c r="B10" s="6">
        <v>7</v>
      </c>
      <c r="C10" s="42" t="s">
        <v>30</v>
      </c>
      <c r="D10" s="6" t="s">
        <v>75</v>
      </c>
      <c r="E10" s="10">
        <v>98007</v>
      </c>
      <c r="F10" s="6">
        <v>3100</v>
      </c>
      <c r="G10" s="6" t="s">
        <v>27</v>
      </c>
      <c r="H10" s="11" t="s">
        <v>40</v>
      </c>
      <c r="I10" s="11">
        <v>110</v>
      </c>
      <c r="J10" s="6"/>
      <c r="K10" s="8"/>
      <c r="L10" s="11">
        <v>110</v>
      </c>
      <c r="M10" s="6"/>
      <c r="N10" s="8"/>
      <c r="O10" s="11">
        <v>110</v>
      </c>
      <c r="P10" s="6"/>
      <c r="Q10" s="8"/>
      <c r="R10" s="9">
        <f t="shared" si="1"/>
        <v>330</v>
      </c>
      <c r="S10" s="6">
        <f t="shared" si="0"/>
        <v>0</v>
      </c>
    </row>
    <row r="11" spans="2:19" ht="18" x14ac:dyDescent="0.35">
      <c r="B11" s="6">
        <v>6</v>
      </c>
      <c r="C11" s="43"/>
      <c r="D11" s="6" t="s">
        <v>47</v>
      </c>
      <c r="E11" s="10">
        <v>99719</v>
      </c>
      <c r="F11" s="6">
        <v>1107</v>
      </c>
      <c r="G11" s="6" t="s">
        <v>27</v>
      </c>
      <c r="H11" s="11" t="s">
        <v>37</v>
      </c>
      <c r="I11" s="11">
        <v>73</v>
      </c>
      <c r="J11" s="6">
        <v>67</v>
      </c>
      <c r="K11" s="8" t="s">
        <v>81</v>
      </c>
      <c r="L11" s="11">
        <v>73</v>
      </c>
      <c r="M11" s="6"/>
      <c r="N11" s="8"/>
      <c r="O11" s="11">
        <v>73</v>
      </c>
      <c r="P11" s="6">
        <v>63</v>
      </c>
      <c r="Q11" s="8" t="s">
        <v>137</v>
      </c>
      <c r="R11" s="9">
        <f t="shared" si="1"/>
        <v>219</v>
      </c>
      <c r="S11" s="6">
        <f t="shared" si="0"/>
        <v>130</v>
      </c>
    </row>
    <row r="12" spans="2:19" ht="18" x14ac:dyDescent="0.3">
      <c r="B12" s="40">
        <v>7</v>
      </c>
      <c r="C12" s="42" t="s">
        <v>31</v>
      </c>
      <c r="D12" s="40"/>
      <c r="E12" s="40"/>
      <c r="F12" s="40"/>
      <c r="G12" s="6"/>
      <c r="H12" s="6"/>
      <c r="I12" s="6"/>
      <c r="J12" s="6"/>
      <c r="K12" s="8" t="s">
        <v>132</v>
      </c>
      <c r="L12" s="6"/>
      <c r="M12" s="6"/>
      <c r="N12" s="8" t="s">
        <v>132</v>
      </c>
      <c r="O12" s="6">
        <v>0</v>
      </c>
      <c r="P12" s="6">
        <v>0</v>
      </c>
      <c r="Q12" s="8" t="s">
        <v>133</v>
      </c>
      <c r="R12" s="9">
        <f t="shared" si="1"/>
        <v>0</v>
      </c>
      <c r="S12" s="6">
        <f t="shared" si="0"/>
        <v>0</v>
      </c>
    </row>
    <row r="13" spans="2:19" ht="18.75" hidden="1" customHeight="1" x14ac:dyDescent="0.35">
      <c r="B13" s="52"/>
      <c r="C13" s="53"/>
      <c r="D13" s="52"/>
      <c r="E13" s="52"/>
      <c r="F13" s="52"/>
      <c r="G13" s="6"/>
      <c r="H13" s="6"/>
      <c r="I13" s="11"/>
      <c r="J13" s="6"/>
      <c r="K13" s="8"/>
      <c r="L13" s="11"/>
      <c r="M13" s="6"/>
      <c r="N13" s="8"/>
      <c r="O13" s="11"/>
      <c r="P13" s="6"/>
      <c r="Q13" s="8"/>
      <c r="R13" s="9">
        <f t="shared" si="1"/>
        <v>0</v>
      </c>
      <c r="S13" s="6">
        <f t="shared" si="0"/>
        <v>0</v>
      </c>
    </row>
    <row r="14" spans="2:19" ht="18.75" hidden="1" customHeight="1" x14ac:dyDescent="0.35">
      <c r="B14" s="52"/>
      <c r="C14" s="53"/>
      <c r="D14" s="52"/>
      <c r="E14" s="52"/>
      <c r="F14" s="52"/>
      <c r="G14" s="6"/>
      <c r="H14" s="6"/>
      <c r="I14" s="11"/>
      <c r="J14" s="6"/>
      <c r="K14" s="8"/>
      <c r="L14" s="11"/>
      <c r="M14" s="6"/>
      <c r="N14" s="8"/>
      <c r="O14" s="11"/>
      <c r="P14" s="6"/>
      <c r="Q14" s="8"/>
      <c r="R14" s="9">
        <f t="shared" si="1"/>
        <v>0</v>
      </c>
      <c r="S14" s="6">
        <f t="shared" si="0"/>
        <v>0</v>
      </c>
    </row>
    <row r="15" spans="2:19" ht="18.75" hidden="1" customHeight="1" x14ac:dyDescent="0.35">
      <c r="B15" s="52"/>
      <c r="C15" s="53"/>
      <c r="D15" s="52"/>
      <c r="E15" s="52"/>
      <c r="F15" s="52"/>
      <c r="G15" s="6"/>
      <c r="H15" s="6"/>
      <c r="I15" s="11"/>
      <c r="J15" s="6"/>
      <c r="K15" s="8"/>
      <c r="L15" s="11">
        <v>0</v>
      </c>
      <c r="M15" s="6"/>
      <c r="N15" s="8"/>
      <c r="O15" s="11">
        <v>12</v>
      </c>
      <c r="P15" s="6"/>
      <c r="Q15" s="8"/>
      <c r="R15" s="9">
        <f t="shared" si="1"/>
        <v>12</v>
      </c>
      <c r="S15" s="6">
        <f t="shared" si="0"/>
        <v>0</v>
      </c>
    </row>
    <row r="16" spans="2:19" ht="18.75" hidden="1" customHeight="1" x14ac:dyDescent="0.35">
      <c r="B16" s="16"/>
      <c r="C16" s="6" t="s">
        <v>33</v>
      </c>
      <c r="D16" s="6" t="s">
        <v>47</v>
      </c>
      <c r="E16" s="6">
        <v>1792</v>
      </c>
      <c r="F16" s="6">
        <v>230</v>
      </c>
      <c r="G16" s="6" t="s">
        <v>27</v>
      </c>
      <c r="H16" s="6" t="s">
        <v>41</v>
      </c>
      <c r="I16" s="11"/>
      <c r="J16" s="6"/>
      <c r="K16" s="8"/>
      <c r="L16" s="11"/>
      <c r="M16" s="6"/>
      <c r="N16" s="8"/>
      <c r="O16" s="11"/>
      <c r="P16" s="6"/>
      <c r="Q16" s="8"/>
      <c r="R16" s="9"/>
      <c r="S16" s="6"/>
    </row>
    <row r="17" spans="2:19" ht="18" x14ac:dyDescent="0.35">
      <c r="B17" s="40"/>
      <c r="C17" s="42" t="s">
        <v>33</v>
      </c>
      <c r="D17" s="6" t="s">
        <v>23</v>
      </c>
      <c r="E17" s="6">
        <v>86292</v>
      </c>
      <c r="F17" s="6">
        <v>914.4</v>
      </c>
      <c r="G17" s="6" t="s">
        <v>89</v>
      </c>
      <c r="H17" s="6" t="s">
        <v>65</v>
      </c>
      <c r="I17" s="11">
        <v>44</v>
      </c>
      <c r="J17" s="6">
        <v>44</v>
      </c>
      <c r="K17" s="8"/>
      <c r="L17" s="11">
        <v>44</v>
      </c>
      <c r="M17" s="6"/>
      <c r="N17" s="8"/>
      <c r="O17" s="11">
        <v>0</v>
      </c>
      <c r="P17" s="6">
        <v>0</v>
      </c>
      <c r="Q17" s="8"/>
      <c r="R17" s="9">
        <f t="shared" si="1"/>
        <v>88</v>
      </c>
      <c r="S17" s="6">
        <f t="shared" si="0"/>
        <v>44</v>
      </c>
    </row>
    <row r="18" spans="2:19" ht="18" x14ac:dyDescent="0.35">
      <c r="B18" s="41"/>
      <c r="C18" s="43"/>
      <c r="D18" s="6" t="s">
        <v>23</v>
      </c>
      <c r="E18" s="6">
        <v>86292</v>
      </c>
      <c r="F18" s="6">
        <v>914.4</v>
      </c>
      <c r="G18" s="6" t="s">
        <v>80</v>
      </c>
      <c r="H18" s="6" t="s">
        <v>65</v>
      </c>
      <c r="I18" s="11">
        <v>44</v>
      </c>
      <c r="J18" s="6">
        <v>44</v>
      </c>
      <c r="K18" s="8"/>
      <c r="L18" s="11">
        <v>44</v>
      </c>
      <c r="M18" s="6"/>
      <c r="N18" s="8"/>
      <c r="O18" s="11">
        <v>0</v>
      </c>
      <c r="P18" s="6">
        <v>0</v>
      </c>
      <c r="Q18" s="8"/>
      <c r="R18" s="9">
        <f t="shared" si="1"/>
        <v>88</v>
      </c>
      <c r="S18" s="6">
        <f t="shared" si="0"/>
        <v>44</v>
      </c>
    </row>
    <row r="19" spans="2:19" ht="18" x14ac:dyDescent="0.35">
      <c r="B19" s="10"/>
      <c r="C19" s="42" t="s">
        <v>33</v>
      </c>
      <c r="D19" s="6" t="s">
        <v>47</v>
      </c>
      <c r="E19" s="6">
        <v>1792</v>
      </c>
      <c r="F19" s="6">
        <v>230</v>
      </c>
      <c r="G19" s="6" t="s">
        <v>27</v>
      </c>
      <c r="H19" s="6" t="s">
        <v>41</v>
      </c>
      <c r="I19" s="11"/>
      <c r="J19" s="6"/>
      <c r="K19" s="8"/>
      <c r="L19" s="11"/>
      <c r="M19" s="6"/>
      <c r="N19" s="8"/>
      <c r="O19" s="11">
        <v>0</v>
      </c>
      <c r="P19" s="6">
        <v>0</v>
      </c>
      <c r="Q19" s="8"/>
      <c r="R19" s="9">
        <f t="shared" si="1"/>
        <v>0</v>
      </c>
      <c r="S19" s="6">
        <f t="shared" si="0"/>
        <v>0</v>
      </c>
    </row>
    <row r="20" spans="2:19" ht="18" x14ac:dyDescent="0.35">
      <c r="B20" s="10"/>
      <c r="C20" s="43"/>
      <c r="D20" s="6" t="s">
        <v>47</v>
      </c>
      <c r="E20" s="6">
        <v>1755</v>
      </c>
      <c r="F20" s="6">
        <v>5000</v>
      </c>
      <c r="G20" s="6" t="s">
        <v>27</v>
      </c>
      <c r="H20" s="6" t="s">
        <v>41</v>
      </c>
      <c r="I20" s="11"/>
      <c r="J20" s="6"/>
      <c r="K20" s="8"/>
      <c r="L20" s="11"/>
      <c r="M20" s="6"/>
      <c r="N20" s="8"/>
      <c r="O20" s="11">
        <v>36</v>
      </c>
      <c r="P20" s="6">
        <v>30</v>
      </c>
      <c r="Q20" s="8" t="s">
        <v>134</v>
      </c>
      <c r="R20" s="9">
        <f t="shared" si="1"/>
        <v>36</v>
      </c>
      <c r="S20" s="6">
        <f t="shared" si="0"/>
        <v>30</v>
      </c>
    </row>
    <row r="21" spans="2:19" ht="18" x14ac:dyDescent="0.3">
      <c r="B21" s="6">
        <v>9</v>
      </c>
      <c r="C21" s="7" t="s">
        <v>34</v>
      </c>
      <c r="D21" s="6" t="s">
        <v>64</v>
      </c>
      <c r="E21" s="6">
        <v>90129</v>
      </c>
      <c r="F21" s="6">
        <v>2540</v>
      </c>
      <c r="G21" s="6" t="s">
        <v>49</v>
      </c>
      <c r="H21" s="6" t="s">
        <v>37</v>
      </c>
      <c r="I21" s="6">
        <v>110</v>
      </c>
      <c r="J21" s="6">
        <v>100</v>
      </c>
      <c r="K21" s="8" t="s">
        <v>81</v>
      </c>
      <c r="L21" s="6">
        <v>110</v>
      </c>
      <c r="M21" s="6"/>
      <c r="N21" s="8"/>
      <c r="O21" s="6">
        <v>110</v>
      </c>
      <c r="P21" s="6">
        <v>65</v>
      </c>
      <c r="Q21" s="8"/>
      <c r="R21" s="9">
        <f t="shared" si="1"/>
        <v>330</v>
      </c>
      <c r="S21" s="6">
        <f t="shared" si="0"/>
        <v>165</v>
      </c>
    </row>
    <row r="22" spans="2:19" ht="18" x14ac:dyDescent="0.35">
      <c r="B22" s="6">
        <v>10</v>
      </c>
      <c r="C22" s="7" t="s">
        <v>35</v>
      </c>
      <c r="D22" s="6"/>
      <c r="E22" s="6"/>
      <c r="F22" s="6"/>
      <c r="G22" s="6"/>
      <c r="H22" s="6"/>
      <c r="I22" s="11">
        <v>0</v>
      </c>
      <c r="J22" s="6">
        <v>0</v>
      </c>
      <c r="K22" s="8" t="s">
        <v>57</v>
      </c>
      <c r="L22" s="6">
        <v>0</v>
      </c>
      <c r="M22" s="6"/>
      <c r="N22" s="8" t="s">
        <v>57</v>
      </c>
      <c r="O22" s="11"/>
      <c r="P22" s="6"/>
      <c r="Q22" s="8" t="s">
        <v>135</v>
      </c>
      <c r="R22" s="9">
        <f t="shared" si="1"/>
        <v>0</v>
      </c>
      <c r="S22" s="6">
        <f t="shared" si="0"/>
        <v>0</v>
      </c>
    </row>
  </sheetData>
  <mergeCells count="14">
    <mergeCell ref="C19:C20"/>
    <mergeCell ref="B17:B18"/>
    <mergeCell ref="C17:C18"/>
    <mergeCell ref="B2:N2"/>
    <mergeCell ref="R2:S2"/>
    <mergeCell ref="I3:K3"/>
    <mergeCell ref="L3:N3"/>
    <mergeCell ref="O3:Q3"/>
    <mergeCell ref="C10:C11"/>
    <mergeCell ref="B12:B15"/>
    <mergeCell ref="C12:C15"/>
    <mergeCell ref="D12:D15"/>
    <mergeCell ref="E12:E15"/>
    <mergeCell ref="F12:F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S35"/>
  <sheetViews>
    <sheetView zoomScale="70" zoomScaleNormal="70" workbookViewId="0">
      <selection activeCell="W6" sqref="W6"/>
    </sheetView>
  </sheetViews>
  <sheetFormatPr defaultRowHeight="14.4" x14ac:dyDescent="0.3"/>
  <cols>
    <col min="1" max="1" width="3.6640625" customWidth="1"/>
    <col min="4" max="4" width="16.33203125" customWidth="1"/>
    <col min="7" max="7" width="16.33203125" customWidth="1"/>
    <col min="8" max="8" width="11.44140625" customWidth="1"/>
    <col min="11" max="11" width="38.88671875" customWidth="1"/>
    <col min="14" max="14" width="25.44140625" bestFit="1" customWidth="1"/>
    <col min="16" max="16" width="11.44140625" bestFit="1" customWidth="1"/>
    <col min="17" max="17" width="37.6640625" customWidth="1"/>
    <col min="20" max="20" width="3.5546875" customWidth="1"/>
  </cols>
  <sheetData>
    <row r="2" spans="2:19" ht="18" x14ac:dyDescent="0.35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  <c r="O2" s="1" t="s">
        <v>1</v>
      </c>
      <c r="P2" s="2" t="s">
        <v>139</v>
      </c>
      <c r="Q2" s="1" t="s">
        <v>2</v>
      </c>
      <c r="R2" s="47"/>
      <c r="S2" s="48"/>
    </row>
    <row r="3" spans="2:19" ht="72" x14ac:dyDescent="0.3">
      <c r="B3" s="3" t="s">
        <v>3</v>
      </c>
      <c r="C3" s="4" t="s">
        <v>4</v>
      </c>
      <c r="D3" s="4" t="s">
        <v>5</v>
      </c>
      <c r="E3" s="5" t="s">
        <v>6</v>
      </c>
      <c r="F3" s="4" t="s">
        <v>7</v>
      </c>
      <c r="G3" s="4" t="s">
        <v>8</v>
      </c>
      <c r="H3" s="5"/>
      <c r="I3" s="49" t="s">
        <v>9</v>
      </c>
      <c r="J3" s="50"/>
      <c r="K3" s="51"/>
      <c r="L3" s="49" t="s">
        <v>10</v>
      </c>
      <c r="M3" s="50"/>
      <c r="N3" s="51"/>
      <c r="O3" s="49" t="s">
        <v>11</v>
      </c>
      <c r="P3" s="50"/>
      <c r="Q3" s="51"/>
      <c r="R3" s="4" t="s">
        <v>12</v>
      </c>
      <c r="S3" s="4" t="s">
        <v>13</v>
      </c>
    </row>
    <row r="4" spans="2:19" ht="18" x14ac:dyDescent="0.3">
      <c r="B4" s="3"/>
      <c r="C4" s="4"/>
      <c r="D4" s="4"/>
      <c r="E4" s="5"/>
      <c r="F4" s="4"/>
      <c r="G4" s="4"/>
      <c r="H4" s="5" t="s">
        <v>14</v>
      </c>
      <c r="I4" s="5" t="s">
        <v>15</v>
      </c>
      <c r="J4" s="5" t="s">
        <v>16</v>
      </c>
      <c r="K4" s="5" t="s">
        <v>17</v>
      </c>
      <c r="L4" s="5" t="s">
        <v>15</v>
      </c>
      <c r="M4" s="5" t="s">
        <v>16</v>
      </c>
      <c r="N4" s="5" t="s">
        <v>17</v>
      </c>
      <c r="O4" s="5" t="s">
        <v>15</v>
      </c>
      <c r="P4" s="5" t="s">
        <v>16</v>
      </c>
      <c r="Q4" s="5" t="s">
        <v>17</v>
      </c>
      <c r="R4" s="6"/>
      <c r="S4" s="6"/>
    </row>
    <row r="5" spans="2:19" ht="18" x14ac:dyDescent="0.3">
      <c r="B5" s="6">
        <v>1</v>
      </c>
      <c r="C5" s="7" t="s">
        <v>18</v>
      </c>
      <c r="D5" s="6" t="s">
        <v>19</v>
      </c>
      <c r="E5" s="6">
        <v>2191</v>
      </c>
      <c r="F5" s="6">
        <v>489.7</v>
      </c>
      <c r="G5" s="6" t="s">
        <v>20</v>
      </c>
      <c r="H5" s="6" t="s">
        <v>37</v>
      </c>
      <c r="I5" s="6">
        <v>73</v>
      </c>
      <c r="J5" s="6">
        <v>0</v>
      </c>
      <c r="K5" s="8" t="s">
        <v>140</v>
      </c>
      <c r="L5" s="6">
        <v>73</v>
      </c>
      <c r="M5" s="6">
        <v>71</v>
      </c>
      <c r="N5" s="8" t="s">
        <v>81</v>
      </c>
      <c r="O5" s="6">
        <v>73</v>
      </c>
      <c r="P5" s="6">
        <v>73</v>
      </c>
      <c r="Q5" s="8"/>
      <c r="R5" s="9">
        <f>I5+L5+O5</f>
        <v>219</v>
      </c>
      <c r="S5" s="6">
        <f t="shared" ref="S5:S25" si="0">J5+M5+P5</f>
        <v>144</v>
      </c>
    </row>
    <row r="6" spans="2:19" ht="18" x14ac:dyDescent="0.35">
      <c r="B6" s="6"/>
      <c r="C6" s="42" t="s">
        <v>21</v>
      </c>
      <c r="D6" s="6" t="s">
        <v>23</v>
      </c>
      <c r="E6" s="6">
        <v>86292</v>
      </c>
      <c r="F6" s="6">
        <v>914.4</v>
      </c>
      <c r="G6" s="6" t="s">
        <v>89</v>
      </c>
      <c r="H6" s="6" t="s">
        <v>65</v>
      </c>
      <c r="I6" s="11">
        <v>44</v>
      </c>
      <c r="J6" s="6">
        <v>22</v>
      </c>
      <c r="K6" s="8"/>
      <c r="L6" s="6">
        <v>44</v>
      </c>
      <c r="M6" s="6">
        <v>44</v>
      </c>
      <c r="N6" s="8"/>
      <c r="O6" s="6">
        <v>44</v>
      </c>
      <c r="P6" s="6">
        <v>26</v>
      </c>
      <c r="Q6" s="8" t="s">
        <v>111</v>
      </c>
      <c r="R6" s="9">
        <f t="shared" ref="R6:R25" si="1">I6+L6+O6</f>
        <v>132</v>
      </c>
      <c r="S6" s="6">
        <f t="shared" si="0"/>
        <v>92</v>
      </c>
    </row>
    <row r="7" spans="2:19" ht="18" x14ac:dyDescent="0.35">
      <c r="B7" s="6">
        <v>2</v>
      </c>
      <c r="C7" s="43"/>
      <c r="D7" s="6" t="s">
        <v>23</v>
      </c>
      <c r="E7" s="6">
        <v>86292</v>
      </c>
      <c r="F7" s="6">
        <v>914.4</v>
      </c>
      <c r="G7" s="6" t="s">
        <v>80</v>
      </c>
      <c r="H7" s="6" t="s">
        <v>65</v>
      </c>
      <c r="I7" s="11">
        <v>44</v>
      </c>
      <c r="J7" s="6">
        <v>22</v>
      </c>
      <c r="K7" s="8" t="s">
        <v>141</v>
      </c>
      <c r="L7" s="6">
        <v>44</v>
      </c>
      <c r="M7" s="6">
        <v>44</v>
      </c>
      <c r="N7" s="8"/>
      <c r="O7" s="6">
        <v>44</v>
      </c>
      <c r="P7" s="6">
        <v>25</v>
      </c>
      <c r="Q7" s="8" t="s">
        <v>111</v>
      </c>
      <c r="R7" s="9">
        <f t="shared" si="1"/>
        <v>132</v>
      </c>
      <c r="S7" s="6">
        <f t="shared" si="0"/>
        <v>91</v>
      </c>
    </row>
    <row r="8" spans="2:19" ht="18" hidden="1" x14ac:dyDescent="0.35">
      <c r="B8" s="6"/>
      <c r="C8" s="17"/>
      <c r="D8" s="6"/>
      <c r="E8" s="6"/>
      <c r="F8" s="6"/>
      <c r="G8" s="6"/>
      <c r="H8" s="6"/>
      <c r="I8" s="11"/>
      <c r="J8" s="6"/>
      <c r="K8" s="8"/>
      <c r="L8" s="6"/>
      <c r="M8" s="6"/>
      <c r="N8" s="8"/>
      <c r="O8" s="6"/>
      <c r="P8" s="6"/>
      <c r="Q8" s="8"/>
      <c r="R8" s="9">
        <f t="shared" si="1"/>
        <v>0</v>
      </c>
      <c r="S8" s="6">
        <f t="shared" si="0"/>
        <v>0</v>
      </c>
    </row>
    <row r="9" spans="2:19" ht="18" x14ac:dyDescent="0.3">
      <c r="B9" s="6">
        <v>3</v>
      </c>
      <c r="C9" s="17" t="s">
        <v>77</v>
      </c>
      <c r="D9" s="6" t="s">
        <v>23</v>
      </c>
      <c r="E9" s="6">
        <v>86292</v>
      </c>
      <c r="F9" s="6">
        <v>914.4</v>
      </c>
      <c r="G9" s="6" t="s">
        <v>24</v>
      </c>
      <c r="H9" s="6" t="s">
        <v>84</v>
      </c>
      <c r="I9" s="6">
        <v>36</v>
      </c>
      <c r="J9" s="6">
        <v>30</v>
      </c>
      <c r="K9" s="8" t="s">
        <v>143</v>
      </c>
      <c r="L9" s="6">
        <v>36</v>
      </c>
      <c r="M9" s="6">
        <v>34</v>
      </c>
      <c r="N9" s="8" t="s">
        <v>81</v>
      </c>
      <c r="O9" s="6">
        <v>36</v>
      </c>
      <c r="P9" s="6">
        <v>30</v>
      </c>
      <c r="Q9" s="8" t="s">
        <v>111</v>
      </c>
      <c r="R9" s="9">
        <f t="shared" si="1"/>
        <v>108</v>
      </c>
      <c r="S9" s="6">
        <f t="shared" si="0"/>
        <v>94</v>
      </c>
    </row>
    <row r="10" spans="2:19" ht="18" x14ac:dyDescent="0.3">
      <c r="B10" s="6">
        <v>4</v>
      </c>
      <c r="C10" s="7" t="s">
        <v>25</v>
      </c>
      <c r="D10" s="6" t="s">
        <v>19</v>
      </c>
      <c r="E10" s="10">
        <v>2123</v>
      </c>
      <c r="F10" s="6">
        <v>418.2</v>
      </c>
      <c r="G10" s="6" t="s">
        <v>24</v>
      </c>
      <c r="H10" s="6" t="s">
        <v>37</v>
      </c>
      <c r="I10" s="6">
        <v>73</v>
      </c>
      <c r="J10" s="6">
        <v>0</v>
      </c>
      <c r="K10" s="8" t="s">
        <v>140</v>
      </c>
      <c r="L10" s="6">
        <v>73</v>
      </c>
      <c r="M10" s="6">
        <v>0</v>
      </c>
      <c r="N10" s="8" t="s">
        <v>57</v>
      </c>
      <c r="O10" s="6">
        <v>73</v>
      </c>
      <c r="P10" s="6">
        <v>6</v>
      </c>
      <c r="Q10" s="8" t="s">
        <v>73</v>
      </c>
      <c r="R10" s="9">
        <f t="shared" si="1"/>
        <v>219</v>
      </c>
      <c r="S10" s="6">
        <f t="shared" si="0"/>
        <v>6</v>
      </c>
    </row>
    <row r="11" spans="2:19" ht="18" x14ac:dyDescent="0.3">
      <c r="B11" s="6">
        <v>5</v>
      </c>
      <c r="C11" s="7" t="s">
        <v>28</v>
      </c>
      <c r="D11" s="6" t="s">
        <v>19</v>
      </c>
      <c r="E11" s="10">
        <v>2123</v>
      </c>
      <c r="F11" s="6">
        <v>428.75</v>
      </c>
      <c r="G11" s="6" t="s">
        <v>24</v>
      </c>
      <c r="H11" s="6" t="s">
        <v>104</v>
      </c>
      <c r="I11" s="6">
        <v>24</v>
      </c>
      <c r="J11" s="6">
        <v>14</v>
      </c>
      <c r="K11" s="8" t="s">
        <v>57</v>
      </c>
      <c r="L11" s="6">
        <v>24</v>
      </c>
      <c r="M11" s="6">
        <v>0</v>
      </c>
      <c r="N11" s="8" t="s">
        <v>57</v>
      </c>
      <c r="O11" s="6">
        <v>24</v>
      </c>
      <c r="P11" s="6">
        <v>24</v>
      </c>
      <c r="Q11" s="8"/>
      <c r="R11" s="9">
        <f t="shared" si="1"/>
        <v>72</v>
      </c>
      <c r="S11" s="6">
        <f t="shared" si="0"/>
        <v>38</v>
      </c>
    </row>
    <row r="12" spans="2:19" ht="18" hidden="1" x14ac:dyDescent="0.35">
      <c r="B12" s="6">
        <v>7</v>
      </c>
      <c r="C12" s="42" t="s">
        <v>30</v>
      </c>
      <c r="D12" s="6" t="s">
        <v>75</v>
      </c>
      <c r="E12" s="10">
        <v>98007</v>
      </c>
      <c r="F12" s="6">
        <v>3100</v>
      </c>
      <c r="G12" s="6" t="s">
        <v>27</v>
      </c>
      <c r="H12" s="11" t="s">
        <v>40</v>
      </c>
      <c r="I12" s="11">
        <v>110</v>
      </c>
      <c r="J12" s="6"/>
      <c r="K12" s="8"/>
      <c r="L12" s="11">
        <v>110</v>
      </c>
      <c r="M12" s="6"/>
      <c r="N12" s="8"/>
      <c r="O12" s="11">
        <v>110</v>
      </c>
      <c r="P12" s="6"/>
      <c r="Q12" s="8"/>
      <c r="R12" s="9">
        <f t="shared" si="1"/>
        <v>330</v>
      </c>
      <c r="S12" s="6">
        <f t="shared" si="0"/>
        <v>0</v>
      </c>
    </row>
    <row r="13" spans="2:19" ht="18" x14ac:dyDescent="0.35">
      <c r="B13" s="6">
        <v>6</v>
      </c>
      <c r="C13" s="43"/>
      <c r="D13" s="6" t="s">
        <v>47</v>
      </c>
      <c r="E13" s="10">
        <v>99719</v>
      </c>
      <c r="F13" s="6">
        <v>1107</v>
      </c>
      <c r="G13" s="6" t="s">
        <v>27</v>
      </c>
      <c r="H13" s="11" t="s">
        <v>65</v>
      </c>
      <c r="I13" s="11">
        <v>88</v>
      </c>
      <c r="J13" s="6">
        <v>37</v>
      </c>
      <c r="K13" s="8" t="s">
        <v>57</v>
      </c>
      <c r="L13" s="11">
        <v>88</v>
      </c>
      <c r="M13" s="6">
        <v>88</v>
      </c>
      <c r="N13" s="8"/>
      <c r="O13" s="11">
        <v>88</v>
      </c>
      <c r="P13" s="6">
        <v>88</v>
      </c>
      <c r="Q13" s="8"/>
      <c r="R13" s="9">
        <f t="shared" si="1"/>
        <v>264</v>
      </c>
      <c r="S13" s="6">
        <f t="shared" si="0"/>
        <v>213</v>
      </c>
    </row>
    <row r="14" spans="2:19" ht="18" x14ac:dyDescent="0.3">
      <c r="B14" s="54">
        <v>7</v>
      </c>
      <c r="C14" s="55" t="s">
        <v>31</v>
      </c>
      <c r="D14" s="40"/>
      <c r="E14" s="40"/>
      <c r="F14" s="40"/>
      <c r="G14" s="6"/>
      <c r="H14" s="6"/>
      <c r="I14" s="6"/>
      <c r="J14" s="6"/>
      <c r="K14" s="8" t="s">
        <v>140</v>
      </c>
      <c r="L14" s="6">
        <v>0</v>
      </c>
      <c r="M14" s="6">
        <v>0</v>
      </c>
      <c r="N14" s="8" t="s">
        <v>144</v>
      </c>
      <c r="O14" s="6">
        <v>0</v>
      </c>
      <c r="P14" s="6"/>
      <c r="Q14" s="8"/>
      <c r="R14" s="9">
        <f t="shared" si="1"/>
        <v>0</v>
      </c>
      <c r="S14" s="6">
        <f t="shared" si="0"/>
        <v>0</v>
      </c>
    </row>
    <row r="15" spans="2:19" ht="18.75" hidden="1" customHeight="1" x14ac:dyDescent="0.35">
      <c r="B15" s="54"/>
      <c r="C15" s="55"/>
      <c r="D15" s="52"/>
      <c r="E15" s="52"/>
      <c r="F15" s="52"/>
      <c r="G15" s="6"/>
      <c r="H15" s="6"/>
      <c r="I15" s="11"/>
      <c r="J15" s="6"/>
      <c r="K15" s="8"/>
      <c r="L15" s="11"/>
      <c r="M15" s="6"/>
      <c r="N15" s="8"/>
      <c r="O15" s="11"/>
      <c r="P15" s="6"/>
      <c r="Q15" s="8"/>
      <c r="R15" s="9">
        <f t="shared" si="1"/>
        <v>0</v>
      </c>
      <c r="S15" s="6">
        <f t="shared" si="0"/>
        <v>0</v>
      </c>
    </row>
    <row r="16" spans="2:19" ht="18.75" hidden="1" customHeight="1" x14ac:dyDescent="0.35">
      <c r="B16" s="54"/>
      <c r="C16" s="55"/>
      <c r="D16" s="52"/>
      <c r="E16" s="52"/>
      <c r="F16" s="52"/>
      <c r="G16" s="6"/>
      <c r="H16" s="6"/>
      <c r="I16" s="11"/>
      <c r="J16" s="6"/>
      <c r="K16" s="8"/>
      <c r="L16" s="11"/>
      <c r="M16" s="6"/>
      <c r="N16" s="8"/>
      <c r="O16" s="11"/>
      <c r="P16" s="6"/>
      <c r="Q16" s="8"/>
      <c r="R16" s="9">
        <f t="shared" si="1"/>
        <v>0</v>
      </c>
      <c r="S16" s="6">
        <f t="shared" si="0"/>
        <v>0</v>
      </c>
    </row>
    <row r="17" spans="2:19" ht="18.75" hidden="1" customHeight="1" x14ac:dyDescent="0.35">
      <c r="B17" s="54"/>
      <c r="C17" s="55"/>
      <c r="D17" s="52"/>
      <c r="E17" s="52"/>
      <c r="F17" s="52"/>
      <c r="G17" s="6"/>
      <c r="H17" s="6"/>
      <c r="I17" s="11"/>
      <c r="J17" s="6"/>
      <c r="K17" s="8"/>
      <c r="L17" s="11">
        <v>0</v>
      </c>
      <c r="M17" s="6"/>
      <c r="N17" s="8"/>
      <c r="O17" s="11">
        <v>12</v>
      </c>
      <c r="P17" s="6"/>
      <c r="Q17" s="8"/>
      <c r="R17" s="9">
        <f t="shared" si="1"/>
        <v>12</v>
      </c>
      <c r="S17" s="6">
        <f t="shared" si="0"/>
        <v>0</v>
      </c>
    </row>
    <row r="18" spans="2:19" ht="18.75" hidden="1" customHeight="1" x14ac:dyDescent="0.35">
      <c r="B18" s="6"/>
      <c r="C18" s="6" t="s">
        <v>33</v>
      </c>
      <c r="D18" s="6" t="s">
        <v>47</v>
      </c>
      <c r="E18" s="6">
        <v>1792</v>
      </c>
      <c r="F18" s="6">
        <v>230</v>
      </c>
      <c r="G18" s="6" t="s">
        <v>27</v>
      </c>
      <c r="H18" s="6" t="s">
        <v>41</v>
      </c>
      <c r="I18" s="11"/>
      <c r="J18" s="6"/>
      <c r="K18" s="8"/>
      <c r="L18" s="11"/>
      <c r="M18" s="6"/>
      <c r="N18" s="8"/>
      <c r="O18" s="11"/>
      <c r="P18" s="6"/>
      <c r="Q18" s="8"/>
      <c r="R18" s="9">
        <f t="shared" si="1"/>
        <v>0</v>
      </c>
      <c r="S18" s="6">
        <f t="shared" si="0"/>
        <v>0</v>
      </c>
    </row>
    <row r="19" spans="2:19" ht="18" hidden="1" x14ac:dyDescent="0.35">
      <c r="B19" s="54"/>
      <c r="C19" s="55" t="s">
        <v>33</v>
      </c>
      <c r="D19" s="6" t="s">
        <v>23</v>
      </c>
      <c r="E19" s="6">
        <v>86292</v>
      </c>
      <c r="F19" s="6">
        <v>914.4</v>
      </c>
      <c r="G19" s="6" t="s">
        <v>89</v>
      </c>
      <c r="H19" s="6" t="s">
        <v>65</v>
      </c>
      <c r="I19" s="11">
        <v>44</v>
      </c>
      <c r="J19" s="6"/>
      <c r="K19" s="8"/>
      <c r="L19" s="11">
        <v>44</v>
      </c>
      <c r="M19" s="6"/>
      <c r="N19" s="8"/>
      <c r="O19" s="11">
        <v>0</v>
      </c>
      <c r="P19" s="6"/>
      <c r="Q19" s="8"/>
      <c r="R19" s="9">
        <f t="shared" si="1"/>
        <v>88</v>
      </c>
      <c r="S19" s="6">
        <f t="shared" si="0"/>
        <v>0</v>
      </c>
    </row>
    <row r="20" spans="2:19" ht="18" hidden="1" x14ac:dyDescent="0.35">
      <c r="B20" s="54"/>
      <c r="C20" s="55"/>
      <c r="D20" s="6" t="s">
        <v>23</v>
      </c>
      <c r="E20" s="6">
        <v>86292</v>
      </c>
      <c r="F20" s="6">
        <v>914.4</v>
      </c>
      <c r="G20" s="6" t="s">
        <v>80</v>
      </c>
      <c r="H20" s="6" t="s">
        <v>65</v>
      </c>
      <c r="I20" s="11">
        <v>44</v>
      </c>
      <c r="J20" s="6"/>
      <c r="K20" s="8"/>
      <c r="L20" s="11">
        <v>44</v>
      </c>
      <c r="M20" s="6"/>
      <c r="N20" s="8"/>
      <c r="O20" s="11">
        <v>0</v>
      </c>
      <c r="P20" s="6"/>
      <c r="Q20" s="8"/>
      <c r="R20" s="9">
        <f t="shared" si="1"/>
        <v>88</v>
      </c>
      <c r="S20" s="6">
        <f t="shared" si="0"/>
        <v>0</v>
      </c>
    </row>
    <row r="21" spans="2:19" ht="18.75" hidden="1" customHeight="1" x14ac:dyDescent="0.35">
      <c r="B21" s="6"/>
      <c r="C21" s="7" t="s">
        <v>33</v>
      </c>
      <c r="D21" s="6" t="s">
        <v>47</v>
      </c>
      <c r="E21" s="6">
        <v>1792</v>
      </c>
      <c r="F21" s="6">
        <v>230</v>
      </c>
      <c r="G21" s="6" t="s">
        <v>27</v>
      </c>
      <c r="H21" s="6" t="s">
        <v>41</v>
      </c>
      <c r="I21" s="11"/>
      <c r="J21" s="6"/>
      <c r="K21" s="8"/>
      <c r="L21" s="11"/>
      <c r="M21" s="6"/>
      <c r="N21" s="8"/>
      <c r="O21" s="11">
        <v>0</v>
      </c>
      <c r="P21" s="6"/>
      <c r="Q21" s="8"/>
      <c r="R21" s="9">
        <f t="shared" si="1"/>
        <v>0</v>
      </c>
      <c r="S21" s="6">
        <f t="shared" si="0"/>
        <v>0</v>
      </c>
    </row>
    <row r="22" spans="2:19" ht="18" x14ac:dyDescent="0.35">
      <c r="B22" s="6">
        <v>8</v>
      </c>
      <c r="C22" s="7" t="s">
        <v>31</v>
      </c>
      <c r="D22" s="6" t="s">
        <v>47</v>
      </c>
      <c r="E22" s="6">
        <v>1792</v>
      </c>
      <c r="F22" s="6">
        <v>230</v>
      </c>
      <c r="G22" s="6" t="s">
        <v>27</v>
      </c>
      <c r="H22" s="6" t="s">
        <v>41</v>
      </c>
      <c r="I22" s="11"/>
      <c r="J22" s="6"/>
      <c r="K22" s="8"/>
      <c r="L22" s="11"/>
      <c r="M22" s="6"/>
      <c r="N22" s="8"/>
      <c r="O22" s="11">
        <v>85</v>
      </c>
      <c r="P22" s="6">
        <v>85</v>
      </c>
      <c r="Q22" s="8" t="s">
        <v>73</v>
      </c>
      <c r="R22" s="9">
        <f t="shared" si="1"/>
        <v>85</v>
      </c>
      <c r="S22" s="6">
        <f t="shared" si="0"/>
        <v>85</v>
      </c>
    </row>
    <row r="23" spans="2:19" ht="18" x14ac:dyDescent="0.35">
      <c r="B23" s="6">
        <v>9</v>
      </c>
      <c r="C23" s="7" t="s">
        <v>33</v>
      </c>
      <c r="D23" s="6" t="s">
        <v>47</v>
      </c>
      <c r="E23" s="6">
        <v>1755</v>
      </c>
      <c r="F23" s="6">
        <v>5000</v>
      </c>
      <c r="G23" s="6" t="s">
        <v>27</v>
      </c>
      <c r="H23" s="6" t="s">
        <v>38</v>
      </c>
      <c r="I23" s="11">
        <v>31</v>
      </c>
      <c r="J23" s="6">
        <v>22</v>
      </c>
      <c r="K23" s="8" t="s">
        <v>57</v>
      </c>
      <c r="L23" s="11">
        <v>10</v>
      </c>
      <c r="M23" s="6">
        <v>10</v>
      </c>
      <c r="N23" s="8" t="s">
        <v>57</v>
      </c>
      <c r="O23" s="11">
        <v>15</v>
      </c>
      <c r="P23" s="6">
        <v>15</v>
      </c>
      <c r="Q23" s="8" t="s">
        <v>145</v>
      </c>
      <c r="R23" s="9">
        <f t="shared" si="1"/>
        <v>56</v>
      </c>
      <c r="S23" s="6">
        <f t="shared" si="0"/>
        <v>47</v>
      </c>
    </row>
    <row r="24" spans="2:19" ht="18" x14ac:dyDescent="0.3">
      <c r="B24" s="6">
        <v>10</v>
      </c>
      <c r="C24" s="7" t="s">
        <v>34</v>
      </c>
      <c r="D24" s="6" t="s">
        <v>64</v>
      </c>
      <c r="E24" s="6">
        <v>90129</v>
      </c>
      <c r="F24" s="6">
        <v>2540</v>
      </c>
      <c r="G24" s="6" t="s">
        <v>49</v>
      </c>
      <c r="H24" s="6" t="s">
        <v>37</v>
      </c>
      <c r="I24" s="6">
        <v>110</v>
      </c>
      <c r="J24" s="6">
        <v>42</v>
      </c>
      <c r="K24" s="8" t="s">
        <v>142</v>
      </c>
      <c r="L24" s="6">
        <v>16</v>
      </c>
      <c r="M24" s="6">
        <v>8</v>
      </c>
      <c r="N24" s="8" t="s">
        <v>142</v>
      </c>
      <c r="O24" s="6">
        <v>110</v>
      </c>
      <c r="P24" s="6">
        <v>48</v>
      </c>
      <c r="Q24" s="8" t="s">
        <v>146</v>
      </c>
      <c r="R24" s="9">
        <f t="shared" si="1"/>
        <v>236</v>
      </c>
      <c r="S24" s="6">
        <f t="shared" si="0"/>
        <v>98</v>
      </c>
    </row>
    <row r="25" spans="2:19" ht="18" x14ac:dyDescent="0.35">
      <c r="B25" s="6">
        <v>11</v>
      </c>
      <c r="C25" s="7" t="s">
        <v>35</v>
      </c>
      <c r="D25" s="6" t="s">
        <v>19</v>
      </c>
      <c r="E25" s="6">
        <v>2122</v>
      </c>
      <c r="F25" s="6">
        <v>796.5</v>
      </c>
      <c r="G25" s="6" t="s">
        <v>138</v>
      </c>
      <c r="H25" s="6" t="s">
        <v>37</v>
      </c>
      <c r="I25" s="11">
        <v>73</v>
      </c>
      <c r="J25" s="6">
        <v>0</v>
      </c>
      <c r="K25" s="8" t="s">
        <v>57</v>
      </c>
      <c r="L25" s="6">
        <v>73</v>
      </c>
      <c r="M25" s="6">
        <v>0</v>
      </c>
      <c r="N25" s="8" t="s">
        <v>57</v>
      </c>
      <c r="O25" s="11">
        <v>73</v>
      </c>
      <c r="P25" s="6">
        <v>50</v>
      </c>
      <c r="Q25" s="8" t="s">
        <v>147</v>
      </c>
      <c r="R25" s="9">
        <f t="shared" si="1"/>
        <v>219</v>
      </c>
      <c r="S25" s="6">
        <f t="shared" si="0"/>
        <v>50</v>
      </c>
    </row>
    <row r="35" spans="11:11" x14ac:dyDescent="0.3">
      <c r="K35" t="s">
        <v>50</v>
      </c>
    </row>
  </sheetData>
  <mergeCells count="14">
    <mergeCell ref="B19:B20"/>
    <mergeCell ref="C19:C20"/>
    <mergeCell ref="B2:N2"/>
    <mergeCell ref="R2:S2"/>
    <mergeCell ref="I3:K3"/>
    <mergeCell ref="L3:N3"/>
    <mergeCell ref="O3:Q3"/>
    <mergeCell ref="C12:C13"/>
    <mergeCell ref="C6:C7"/>
    <mergeCell ref="B14:B17"/>
    <mergeCell ref="C14:C17"/>
    <mergeCell ref="D14:D17"/>
    <mergeCell ref="E14:E17"/>
    <mergeCell ref="F14:F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S34"/>
  <sheetViews>
    <sheetView zoomScale="70" zoomScaleNormal="70" workbookViewId="0">
      <selection activeCell="Q13" sqref="Q13"/>
    </sheetView>
  </sheetViews>
  <sheetFormatPr defaultRowHeight="14.4" x14ac:dyDescent="0.3"/>
  <cols>
    <col min="1" max="1" width="3.6640625" customWidth="1"/>
    <col min="4" max="4" width="16.33203125" customWidth="1"/>
    <col min="7" max="7" width="16.33203125" customWidth="1"/>
    <col min="8" max="8" width="11.44140625" customWidth="1"/>
    <col min="11" max="11" width="38.88671875" customWidth="1"/>
    <col min="14" max="14" width="32.6640625" customWidth="1"/>
    <col min="16" max="16" width="16.88671875" bestFit="1" customWidth="1"/>
    <col min="17" max="17" width="42" bestFit="1" customWidth="1"/>
    <col min="20" max="20" width="3.5546875" customWidth="1"/>
  </cols>
  <sheetData>
    <row r="2" spans="2:19" ht="18" x14ac:dyDescent="0.35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  <c r="O2" s="1" t="s">
        <v>1</v>
      </c>
      <c r="P2" s="2" t="s">
        <v>155</v>
      </c>
      <c r="Q2" s="1" t="s">
        <v>2</v>
      </c>
      <c r="R2" s="47"/>
      <c r="S2" s="48"/>
    </row>
    <row r="3" spans="2:19" ht="72" x14ac:dyDescent="0.3">
      <c r="B3" s="3" t="s">
        <v>3</v>
      </c>
      <c r="C3" s="4" t="s">
        <v>4</v>
      </c>
      <c r="D3" s="4" t="s">
        <v>5</v>
      </c>
      <c r="E3" s="5" t="s">
        <v>6</v>
      </c>
      <c r="F3" s="4" t="s">
        <v>7</v>
      </c>
      <c r="G3" s="4" t="s">
        <v>8</v>
      </c>
      <c r="H3" s="5"/>
      <c r="I3" s="49" t="s">
        <v>9</v>
      </c>
      <c r="J3" s="50"/>
      <c r="K3" s="51"/>
      <c r="L3" s="49" t="s">
        <v>10</v>
      </c>
      <c r="M3" s="50"/>
      <c r="N3" s="51"/>
      <c r="O3" s="49" t="s">
        <v>11</v>
      </c>
      <c r="P3" s="50"/>
      <c r="Q3" s="51"/>
      <c r="R3" s="4" t="s">
        <v>12</v>
      </c>
      <c r="S3" s="4" t="s">
        <v>13</v>
      </c>
    </row>
    <row r="4" spans="2:19" ht="18" x14ac:dyDescent="0.3">
      <c r="B4" s="3"/>
      <c r="C4" s="4"/>
      <c r="D4" s="4"/>
      <c r="E4" s="5"/>
      <c r="F4" s="4"/>
      <c r="G4" s="4"/>
      <c r="H4" s="5" t="s">
        <v>14</v>
      </c>
      <c r="I4" s="5" t="s">
        <v>15</v>
      </c>
      <c r="J4" s="5" t="s">
        <v>16</v>
      </c>
      <c r="K4" s="5" t="s">
        <v>17</v>
      </c>
      <c r="L4" s="5" t="s">
        <v>15</v>
      </c>
      <c r="M4" s="5" t="s">
        <v>16</v>
      </c>
      <c r="N4" s="5" t="s">
        <v>17</v>
      </c>
      <c r="O4" s="5" t="s">
        <v>15</v>
      </c>
      <c r="P4" s="5" t="s">
        <v>16</v>
      </c>
      <c r="Q4" s="5" t="s">
        <v>17</v>
      </c>
      <c r="R4" s="6"/>
      <c r="S4" s="6"/>
    </row>
    <row r="5" spans="2:19" ht="18" x14ac:dyDescent="0.3">
      <c r="B5" s="6">
        <v>1</v>
      </c>
      <c r="C5" s="7" t="s">
        <v>18</v>
      </c>
      <c r="D5" s="6" t="s">
        <v>19</v>
      </c>
      <c r="E5" s="6">
        <v>2191</v>
      </c>
      <c r="F5" s="6">
        <v>489.7</v>
      </c>
      <c r="G5" s="6" t="s">
        <v>20</v>
      </c>
      <c r="H5" s="6" t="s">
        <v>37</v>
      </c>
      <c r="I5" s="6">
        <v>0</v>
      </c>
      <c r="J5" s="6">
        <v>0</v>
      </c>
      <c r="K5" s="8" t="s">
        <v>148</v>
      </c>
      <c r="L5" s="6">
        <v>73</v>
      </c>
      <c r="M5" s="6">
        <v>0</v>
      </c>
      <c r="N5" s="8" t="s">
        <v>148</v>
      </c>
      <c r="O5" s="6">
        <v>73</v>
      </c>
      <c r="P5" s="6">
        <v>45</v>
      </c>
      <c r="Q5" s="8" t="s">
        <v>159</v>
      </c>
      <c r="R5" s="9">
        <f>I5+L5+O5</f>
        <v>146</v>
      </c>
      <c r="S5" s="6">
        <f t="shared" ref="S5:S24" si="0">J5+M5+P5</f>
        <v>45</v>
      </c>
    </row>
    <row r="6" spans="2:19" ht="18" x14ac:dyDescent="0.35">
      <c r="B6" s="6"/>
      <c r="C6" s="42" t="s">
        <v>21</v>
      </c>
      <c r="D6" s="6" t="s">
        <v>23</v>
      </c>
      <c r="E6" s="6">
        <v>86292</v>
      </c>
      <c r="F6" s="6">
        <v>914.4</v>
      </c>
      <c r="G6" s="6" t="s">
        <v>89</v>
      </c>
      <c r="H6" s="6" t="s">
        <v>65</v>
      </c>
      <c r="I6" s="11">
        <v>44</v>
      </c>
      <c r="J6" s="6">
        <v>44</v>
      </c>
      <c r="K6" s="8"/>
      <c r="L6" s="6">
        <v>44</v>
      </c>
      <c r="M6" s="6">
        <v>0</v>
      </c>
      <c r="N6" s="8" t="s">
        <v>148</v>
      </c>
      <c r="O6" s="6">
        <v>44</v>
      </c>
      <c r="P6" s="6">
        <v>44</v>
      </c>
      <c r="Q6" s="8"/>
      <c r="R6" s="9">
        <f t="shared" ref="R6:R24" si="1">I6+L6+O6</f>
        <v>132</v>
      </c>
      <c r="S6" s="6">
        <f t="shared" si="0"/>
        <v>88</v>
      </c>
    </row>
    <row r="7" spans="2:19" ht="18" x14ac:dyDescent="0.35">
      <c r="B7" s="6">
        <v>2</v>
      </c>
      <c r="C7" s="43"/>
      <c r="D7" s="6" t="s">
        <v>23</v>
      </c>
      <c r="E7" s="6">
        <v>86292</v>
      </c>
      <c r="F7" s="6">
        <v>914.4</v>
      </c>
      <c r="G7" s="6" t="s">
        <v>80</v>
      </c>
      <c r="H7" s="6" t="s">
        <v>65</v>
      </c>
      <c r="I7" s="11">
        <v>44</v>
      </c>
      <c r="J7" s="6">
        <v>44</v>
      </c>
      <c r="K7" s="8"/>
      <c r="L7" s="6">
        <v>44</v>
      </c>
      <c r="M7" s="6">
        <v>0</v>
      </c>
      <c r="N7" s="8" t="s">
        <v>148</v>
      </c>
      <c r="O7" s="6">
        <v>44</v>
      </c>
      <c r="P7" s="6">
        <v>44</v>
      </c>
      <c r="Q7" s="8"/>
      <c r="R7" s="9">
        <f t="shared" si="1"/>
        <v>132</v>
      </c>
      <c r="S7" s="6">
        <f t="shared" si="0"/>
        <v>88</v>
      </c>
    </row>
    <row r="8" spans="2:19" ht="18" hidden="1" x14ac:dyDescent="0.35">
      <c r="B8" s="6"/>
      <c r="C8" s="17"/>
      <c r="D8" s="6"/>
      <c r="E8" s="6"/>
      <c r="F8" s="6"/>
      <c r="G8" s="6"/>
      <c r="H8" s="6"/>
      <c r="I8" s="11"/>
      <c r="J8" s="6"/>
      <c r="K8" s="8"/>
      <c r="L8" s="6"/>
      <c r="M8" s="6"/>
      <c r="N8" s="8"/>
      <c r="O8" s="6"/>
      <c r="P8" s="6"/>
      <c r="Q8" s="8"/>
      <c r="R8" s="9">
        <f t="shared" si="1"/>
        <v>0</v>
      </c>
      <c r="S8" s="6">
        <f t="shared" si="0"/>
        <v>0</v>
      </c>
    </row>
    <row r="9" spans="2:19" ht="18" x14ac:dyDescent="0.3">
      <c r="B9" s="6">
        <v>3</v>
      </c>
      <c r="C9" s="17" t="s">
        <v>77</v>
      </c>
      <c r="D9" s="6" t="s">
        <v>23</v>
      </c>
      <c r="E9" s="6">
        <v>86292</v>
      </c>
      <c r="F9" s="6">
        <v>914.4</v>
      </c>
      <c r="G9" s="6" t="s">
        <v>24</v>
      </c>
      <c r="H9" s="6" t="s">
        <v>84</v>
      </c>
      <c r="I9" s="6">
        <v>36</v>
      </c>
      <c r="J9" s="6">
        <v>32</v>
      </c>
      <c r="K9" s="8" t="s">
        <v>154</v>
      </c>
      <c r="L9" s="6">
        <v>36</v>
      </c>
      <c r="M9" s="6">
        <v>35</v>
      </c>
      <c r="N9" s="8"/>
      <c r="O9" s="6">
        <v>36</v>
      </c>
      <c r="P9" s="6">
        <v>11</v>
      </c>
      <c r="Q9" s="8" t="s">
        <v>161</v>
      </c>
      <c r="R9" s="9">
        <f t="shared" si="1"/>
        <v>108</v>
      </c>
      <c r="S9" s="6">
        <f t="shared" si="0"/>
        <v>78</v>
      </c>
    </row>
    <row r="10" spans="2:19" ht="18" x14ac:dyDescent="0.3">
      <c r="B10" s="6">
        <v>4</v>
      </c>
      <c r="C10" s="7" t="s">
        <v>25</v>
      </c>
      <c r="D10" s="6" t="s">
        <v>19</v>
      </c>
      <c r="E10" s="10">
        <v>2123</v>
      </c>
      <c r="F10" s="6">
        <v>418.2</v>
      </c>
      <c r="G10" s="6" t="s">
        <v>24</v>
      </c>
      <c r="H10" s="6" t="s">
        <v>37</v>
      </c>
      <c r="I10" s="6">
        <v>0</v>
      </c>
      <c r="J10" s="6">
        <v>0</v>
      </c>
      <c r="K10" s="8" t="s">
        <v>148</v>
      </c>
      <c r="L10" s="6">
        <v>73</v>
      </c>
      <c r="M10" s="6">
        <v>0</v>
      </c>
      <c r="N10" s="8" t="s">
        <v>148</v>
      </c>
      <c r="O10" s="6">
        <v>73</v>
      </c>
      <c r="P10" s="6">
        <v>44</v>
      </c>
      <c r="Q10" s="8" t="s">
        <v>160</v>
      </c>
      <c r="R10" s="9">
        <f t="shared" si="1"/>
        <v>146</v>
      </c>
      <c r="S10" s="6">
        <f t="shared" si="0"/>
        <v>44</v>
      </c>
    </row>
    <row r="11" spans="2:19" ht="18" x14ac:dyDescent="0.3">
      <c r="B11" s="6">
        <v>5</v>
      </c>
      <c r="C11" s="7" t="s">
        <v>28</v>
      </c>
      <c r="D11" s="6" t="s">
        <v>19</v>
      </c>
      <c r="E11" s="10">
        <v>2123</v>
      </c>
      <c r="F11" s="6">
        <v>428.75</v>
      </c>
      <c r="G11" s="6" t="s">
        <v>24</v>
      </c>
      <c r="H11" s="6" t="s">
        <v>104</v>
      </c>
      <c r="I11" s="6">
        <v>24</v>
      </c>
      <c r="J11" s="6">
        <v>22</v>
      </c>
      <c r="K11" s="8" t="s">
        <v>150</v>
      </c>
      <c r="L11" s="6">
        <v>24</v>
      </c>
      <c r="M11" s="6">
        <v>0</v>
      </c>
      <c r="N11" s="8" t="s">
        <v>148</v>
      </c>
      <c r="O11" s="6">
        <v>24</v>
      </c>
      <c r="P11" s="6">
        <v>22</v>
      </c>
      <c r="Q11" s="8"/>
      <c r="R11" s="9">
        <f t="shared" si="1"/>
        <v>72</v>
      </c>
      <c r="S11" s="6">
        <f t="shared" si="0"/>
        <v>44</v>
      </c>
    </row>
    <row r="12" spans="2:19" ht="18" hidden="1" x14ac:dyDescent="0.35">
      <c r="B12" s="6">
        <v>7</v>
      </c>
      <c r="C12" s="42" t="s">
        <v>30</v>
      </c>
      <c r="D12" s="6" t="s">
        <v>75</v>
      </c>
      <c r="E12" s="10">
        <v>98007</v>
      </c>
      <c r="F12" s="6">
        <v>3100</v>
      </c>
      <c r="G12" s="6" t="s">
        <v>27</v>
      </c>
      <c r="H12" s="11" t="s">
        <v>40</v>
      </c>
      <c r="I12" s="11"/>
      <c r="J12" s="6"/>
      <c r="K12" s="8"/>
      <c r="L12" s="11"/>
      <c r="M12" s="6"/>
      <c r="N12" s="8"/>
      <c r="O12" s="11"/>
      <c r="P12" s="6"/>
      <c r="Q12" s="8"/>
      <c r="R12" s="9">
        <f t="shared" si="1"/>
        <v>0</v>
      </c>
      <c r="S12" s="6">
        <f t="shared" si="0"/>
        <v>0</v>
      </c>
    </row>
    <row r="13" spans="2:19" ht="18" x14ac:dyDescent="0.35">
      <c r="B13" s="6">
        <v>6</v>
      </c>
      <c r="C13" s="43"/>
      <c r="D13" s="6" t="s">
        <v>47</v>
      </c>
      <c r="E13" s="10">
        <v>99719</v>
      </c>
      <c r="F13" s="6">
        <v>1107</v>
      </c>
      <c r="G13" s="6" t="s">
        <v>27</v>
      </c>
      <c r="H13" s="11" t="s">
        <v>65</v>
      </c>
      <c r="I13" s="11">
        <v>88</v>
      </c>
      <c r="J13" s="6">
        <v>23</v>
      </c>
      <c r="K13" s="8" t="s">
        <v>151</v>
      </c>
      <c r="L13" s="11">
        <v>88</v>
      </c>
      <c r="M13" s="6">
        <v>0</v>
      </c>
      <c r="N13" s="8" t="s">
        <v>148</v>
      </c>
      <c r="O13" s="11">
        <v>0</v>
      </c>
      <c r="P13" s="6">
        <v>0</v>
      </c>
      <c r="Q13" s="8" t="s">
        <v>148</v>
      </c>
      <c r="R13" s="9">
        <f t="shared" si="1"/>
        <v>176</v>
      </c>
      <c r="S13" s="6">
        <f t="shared" si="0"/>
        <v>23</v>
      </c>
    </row>
    <row r="14" spans="2:19" ht="18.75" hidden="1" customHeight="1" x14ac:dyDescent="0.35">
      <c r="B14" s="54"/>
      <c r="C14" s="55"/>
      <c r="D14" s="52"/>
      <c r="E14" s="52"/>
      <c r="F14" s="52"/>
      <c r="G14" s="6"/>
      <c r="H14" s="6"/>
      <c r="I14" s="11"/>
      <c r="J14" s="6"/>
      <c r="K14" s="8"/>
      <c r="L14" s="11"/>
      <c r="M14" s="6"/>
      <c r="N14" s="8"/>
      <c r="O14" s="11"/>
      <c r="P14" s="6"/>
      <c r="Q14" s="8"/>
      <c r="R14" s="9">
        <f t="shared" si="1"/>
        <v>0</v>
      </c>
      <c r="S14" s="6">
        <f t="shared" si="0"/>
        <v>0</v>
      </c>
    </row>
    <row r="15" spans="2:19" ht="18.75" hidden="1" customHeight="1" x14ac:dyDescent="0.35">
      <c r="B15" s="54"/>
      <c r="C15" s="55"/>
      <c r="D15" s="52"/>
      <c r="E15" s="52"/>
      <c r="F15" s="52"/>
      <c r="G15" s="6"/>
      <c r="H15" s="6"/>
      <c r="I15" s="11"/>
      <c r="J15" s="6"/>
      <c r="K15" s="8"/>
      <c r="L15" s="11"/>
      <c r="M15" s="6"/>
      <c r="N15" s="8"/>
      <c r="O15" s="11"/>
      <c r="P15" s="6"/>
      <c r="Q15" s="8"/>
      <c r="R15" s="9">
        <f t="shared" si="1"/>
        <v>0</v>
      </c>
      <c r="S15" s="6">
        <f t="shared" si="0"/>
        <v>0</v>
      </c>
    </row>
    <row r="16" spans="2:19" ht="18.75" hidden="1" customHeight="1" x14ac:dyDescent="0.35">
      <c r="B16" s="54"/>
      <c r="C16" s="55"/>
      <c r="D16" s="52"/>
      <c r="E16" s="52"/>
      <c r="F16" s="52"/>
      <c r="G16" s="6"/>
      <c r="H16" s="6"/>
      <c r="I16" s="11"/>
      <c r="J16" s="6"/>
      <c r="K16" s="8"/>
      <c r="L16" s="11"/>
      <c r="M16" s="6"/>
      <c r="N16" s="8"/>
      <c r="O16" s="11"/>
      <c r="P16" s="6"/>
      <c r="Q16" s="8"/>
      <c r="R16" s="9">
        <f t="shared" si="1"/>
        <v>0</v>
      </c>
      <c r="S16" s="6">
        <f t="shared" si="0"/>
        <v>0</v>
      </c>
    </row>
    <row r="17" spans="2:19" ht="18.75" hidden="1" customHeight="1" x14ac:dyDescent="0.35">
      <c r="B17" s="6"/>
      <c r="C17" s="6" t="s">
        <v>33</v>
      </c>
      <c r="D17" s="6" t="s">
        <v>47</v>
      </c>
      <c r="E17" s="6">
        <v>1792</v>
      </c>
      <c r="F17" s="6">
        <v>230</v>
      </c>
      <c r="G17" s="6" t="s">
        <v>27</v>
      </c>
      <c r="H17" s="6" t="s">
        <v>41</v>
      </c>
      <c r="I17" s="11"/>
      <c r="J17" s="6"/>
      <c r="K17" s="8"/>
      <c r="L17" s="11"/>
      <c r="M17" s="6"/>
      <c r="N17" s="8"/>
      <c r="O17" s="11"/>
      <c r="P17" s="6"/>
      <c r="Q17" s="8"/>
      <c r="R17" s="9">
        <f t="shared" si="1"/>
        <v>0</v>
      </c>
      <c r="S17" s="6">
        <f t="shared" si="0"/>
        <v>0</v>
      </c>
    </row>
    <row r="18" spans="2:19" ht="18" hidden="1" x14ac:dyDescent="0.35">
      <c r="B18" s="54"/>
      <c r="C18" s="55" t="s">
        <v>33</v>
      </c>
      <c r="D18" s="6" t="s">
        <v>23</v>
      </c>
      <c r="E18" s="6">
        <v>86292</v>
      </c>
      <c r="F18" s="6">
        <v>914.4</v>
      </c>
      <c r="G18" s="6" t="s">
        <v>89</v>
      </c>
      <c r="H18" s="6" t="s">
        <v>65</v>
      </c>
      <c r="I18" s="11"/>
      <c r="J18" s="6"/>
      <c r="K18" s="8"/>
      <c r="L18" s="11"/>
      <c r="M18" s="6"/>
      <c r="N18" s="8"/>
      <c r="O18" s="11"/>
      <c r="P18" s="6"/>
      <c r="Q18" s="8"/>
      <c r="R18" s="9">
        <f t="shared" si="1"/>
        <v>0</v>
      </c>
      <c r="S18" s="6">
        <f t="shared" si="0"/>
        <v>0</v>
      </c>
    </row>
    <row r="19" spans="2:19" ht="18" hidden="1" x14ac:dyDescent="0.35">
      <c r="B19" s="54"/>
      <c r="C19" s="55"/>
      <c r="D19" s="6" t="s">
        <v>23</v>
      </c>
      <c r="E19" s="6">
        <v>86292</v>
      </c>
      <c r="F19" s="6">
        <v>914.4</v>
      </c>
      <c r="G19" s="6" t="s">
        <v>80</v>
      </c>
      <c r="H19" s="6" t="s">
        <v>65</v>
      </c>
      <c r="I19" s="11"/>
      <c r="J19" s="6"/>
      <c r="K19" s="8"/>
      <c r="L19" s="11"/>
      <c r="M19" s="6"/>
      <c r="N19" s="8"/>
      <c r="O19" s="11"/>
      <c r="P19" s="6"/>
      <c r="Q19" s="8"/>
      <c r="R19" s="9">
        <f t="shared" si="1"/>
        <v>0</v>
      </c>
      <c r="S19" s="6">
        <f t="shared" si="0"/>
        <v>0</v>
      </c>
    </row>
    <row r="20" spans="2:19" ht="18.75" hidden="1" customHeight="1" x14ac:dyDescent="0.35">
      <c r="B20" s="6"/>
      <c r="C20" s="7" t="s">
        <v>33</v>
      </c>
      <c r="D20" s="6" t="s">
        <v>47</v>
      </c>
      <c r="E20" s="6">
        <v>1792</v>
      </c>
      <c r="F20" s="6">
        <v>230</v>
      </c>
      <c r="G20" s="6" t="s">
        <v>27</v>
      </c>
      <c r="H20" s="6" t="s">
        <v>41</v>
      </c>
      <c r="I20" s="11"/>
      <c r="J20" s="6"/>
      <c r="K20" s="8"/>
      <c r="L20" s="11"/>
      <c r="M20" s="6"/>
      <c r="N20" s="8"/>
      <c r="O20" s="11"/>
      <c r="P20" s="6"/>
      <c r="Q20" s="8"/>
      <c r="R20" s="9">
        <f t="shared" si="1"/>
        <v>0</v>
      </c>
      <c r="S20" s="6">
        <f t="shared" si="0"/>
        <v>0</v>
      </c>
    </row>
    <row r="21" spans="2:19" ht="18" x14ac:dyDescent="0.35">
      <c r="B21" s="6">
        <v>8</v>
      </c>
      <c r="C21" s="7" t="s">
        <v>31</v>
      </c>
      <c r="D21" s="6" t="s">
        <v>47</v>
      </c>
      <c r="E21" s="6">
        <v>1792</v>
      </c>
      <c r="F21" s="6">
        <v>230</v>
      </c>
      <c r="G21" s="6" t="s">
        <v>27</v>
      </c>
      <c r="H21" s="6" t="s">
        <v>41</v>
      </c>
      <c r="I21" s="11">
        <v>146</v>
      </c>
      <c r="J21" s="6">
        <v>109</v>
      </c>
      <c r="K21" s="8" t="s">
        <v>149</v>
      </c>
      <c r="L21" s="11">
        <v>146</v>
      </c>
      <c r="M21" s="6">
        <v>120</v>
      </c>
      <c r="N21" s="8" t="s">
        <v>156</v>
      </c>
      <c r="O21" s="11">
        <v>0</v>
      </c>
      <c r="P21" s="6">
        <v>0</v>
      </c>
      <c r="Q21" s="8" t="s">
        <v>148</v>
      </c>
      <c r="R21" s="9">
        <f t="shared" si="1"/>
        <v>292</v>
      </c>
      <c r="S21" s="6">
        <f t="shared" si="0"/>
        <v>229</v>
      </c>
    </row>
    <row r="22" spans="2:19" ht="18" x14ac:dyDescent="0.35">
      <c r="B22" s="6">
        <v>9</v>
      </c>
      <c r="C22" s="7" t="s">
        <v>33</v>
      </c>
      <c r="D22" s="6" t="s">
        <v>47</v>
      </c>
      <c r="E22" s="6">
        <v>1755</v>
      </c>
      <c r="F22" s="6">
        <v>5000</v>
      </c>
      <c r="G22" s="6" t="s">
        <v>27</v>
      </c>
      <c r="H22" s="6" t="s">
        <v>38</v>
      </c>
      <c r="I22" s="11">
        <v>0</v>
      </c>
      <c r="J22" s="6">
        <v>0</v>
      </c>
      <c r="K22" s="8" t="s">
        <v>152</v>
      </c>
      <c r="L22" s="11">
        <v>0</v>
      </c>
      <c r="M22" s="6">
        <v>0</v>
      </c>
      <c r="N22" s="8" t="s">
        <v>148</v>
      </c>
      <c r="O22" s="11">
        <v>0</v>
      </c>
      <c r="P22" s="6">
        <v>0</v>
      </c>
      <c r="Q22" s="8" t="s">
        <v>148</v>
      </c>
      <c r="R22" s="9">
        <f t="shared" si="1"/>
        <v>0</v>
      </c>
      <c r="S22" s="6">
        <f t="shared" si="0"/>
        <v>0</v>
      </c>
    </row>
    <row r="23" spans="2:19" ht="18" x14ac:dyDescent="0.3">
      <c r="B23" s="6">
        <v>10</v>
      </c>
      <c r="C23" s="7" t="s">
        <v>34</v>
      </c>
      <c r="D23" s="6" t="s">
        <v>64</v>
      </c>
      <c r="E23" s="6">
        <v>90129</v>
      </c>
      <c r="F23" s="6">
        <v>2540</v>
      </c>
      <c r="G23" s="6" t="s">
        <v>49</v>
      </c>
      <c r="H23" s="6" t="s">
        <v>37</v>
      </c>
      <c r="I23" s="6">
        <v>110</v>
      </c>
      <c r="J23" s="6">
        <v>72</v>
      </c>
      <c r="K23" s="8" t="s">
        <v>153</v>
      </c>
      <c r="L23" s="6">
        <v>110</v>
      </c>
      <c r="M23" s="6">
        <v>84</v>
      </c>
      <c r="N23" s="8" t="s">
        <v>157</v>
      </c>
      <c r="O23" s="6">
        <v>110</v>
      </c>
      <c r="P23" s="6">
        <v>12</v>
      </c>
      <c r="Q23" s="8" t="s">
        <v>162</v>
      </c>
      <c r="R23" s="9">
        <f t="shared" si="1"/>
        <v>330</v>
      </c>
      <c r="S23" s="6">
        <f t="shared" si="0"/>
        <v>168</v>
      </c>
    </row>
    <row r="24" spans="2:19" ht="18" x14ac:dyDescent="0.35">
      <c r="B24" s="6">
        <v>11</v>
      </c>
      <c r="C24" s="7" t="s">
        <v>35</v>
      </c>
      <c r="D24" s="6" t="s">
        <v>19</v>
      </c>
      <c r="E24" s="6">
        <v>2122</v>
      </c>
      <c r="F24" s="6">
        <v>796.5</v>
      </c>
      <c r="G24" s="6" t="s">
        <v>138</v>
      </c>
      <c r="H24" s="6" t="s">
        <v>37</v>
      </c>
      <c r="I24" s="11">
        <v>73</v>
      </c>
      <c r="J24" s="6">
        <v>54</v>
      </c>
      <c r="K24" s="8" t="s">
        <v>149</v>
      </c>
      <c r="L24" s="6">
        <v>73</v>
      </c>
      <c r="M24" s="6">
        <v>0</v>
      </c>
      <c r="N24" s="8" t="s">
        <v>148</v>
      </c>
      <c r="O24" s="11">
        <v>73</v>
      </c>
      <c r="P24" s="6">
        <v>0</v>
      </c>
      <c r="Q24" s="8" t="s">
        <v>148</v>
      </c>
      <c r="R24" s="9">
        <f t="shared" si="1"/>
        <v>219</v>
      </c>
      <c r="S24" s="6">
        <f t="shared" si="0"/>
        <v>54</v>
      </c>
    </row>
    <row r="34" spans="11:11" x14ac:dyDescent="0.3">
      <c r="K34" t="s">
        <v>50</v>
      </c>
    </row>
  </sheetData>
  <mergeCells count="14">
    <mergeCell ref="D14:D16"/>
    <mergeCell ref="E14:E16"/>
    <mergeCell ref="F14:F16"/>
    <mergeCell ref="B2:N2"/>
    <mergeCell ref="R2:S2"/>
    <mergeCell ref="I3:K3"/>
    <mergeCell ref="L3:N3"/>
    <mergeCell ref="O3:Q3"/>
    <mergeCell ref="C6:C7"/>
    <mergeCell ref="B18:B19"/>
    <mergeCell ref="C18:C19"/>
    <mergeCell ref="C12:C13"/>
    <mergeCell ref="B14:B16"/>
    <mergeCell ref="C14:C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S36"/>
  <sheetViews>
    <sheetView zoomScale="70" zoomScaleNormal="70" workbookViewId="0">
      <selection activeCell="L42" sqref="L42"/>
    </sheetView>
  </sheetViews>
  <sheetFormatPr defaultRowHeight="14.4" x14ac:dyDescent="0.3"/>
  <cols>
    <col min="1" max="1" width="3.6640625" customWidth="1"/>
    <col min="4" max="4" width="16.33203125" customWidth="1"/>
    <col min="7" max="7" width="16.33203125" customWidth="1"/>
    <col min="8" max="8" width="11.44140625" customWidth="1"/>
    <col min="11" max="11" width="38.88671875" customWidth="1"/>
    <col min="14" max="14" width="32.6640625" customWidth="1"/>
    <col min="16" max="16" width="11.44140625" bestFit="1" customWidth="1"/>
    <col min="17" max="17" width="37.6640625" customWidth="1"/>
    <col min="20" max="20" width="3.5546875" customWidth="1"/>
  </cols>
  <sheetData>
    <row r="2" spans="2:19" ht="18" x14ac:dyDescent="0.35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  <c r="O2" s="1" t="s">
        <v>1</v>
      </c>
      <c r="P2" s="2" t="s">
        <v>158</v>
      </c>
      <c r="Q2" s="1" t="s">
        <v>2</v>
      </c>
      <c r="R2" s="47"/>
      <c r="S2" s="48"/>
    </row>
    <row r="3" spans="2:19" ht="72" x14ac:dyDescent="0.3">
      <c r="B3" s="3" t="s">
        <v>3</v>
      </c>
      <c r="C3" s="4" t="s">
        <v>4</v>
      </c>
      <c r="D3" s="4" t="s">
        <v>5</v>
      </c>
      <c r="E3" s="5" t="s">
        <v>6</v>
      </c>
      <c r="F3" s="4" t="s">
        <v>7</v>
      </c>
      <c r="G3" s="4" t="s">
        <v>8</v>
      </c>
      <c r="H3" s="5"/>
      <c r="I3" s="49" t="s">
        <v>9</v>
      </c>
      <c r="J3" s="50"/>
      <c r="K3" s="51"/>
      <c r="L3" s="49" t="s">
        <v>10</v>
      </c>
      <c r="M3" s="50"/>
      <c r="N3" s="51"/>
      <c r="O3" s="49" t="s">
        <v>11</v>
      </c>
      <c r="P3" s="50"/>
      <c r="Q3" s="51"/>
      <c r="R3" s="4" t="s">
        <v>12</v>
      </c>
      <c r="S3" s="4" t="s">
        <v>13</v>
      </c>
    </row>
    <row r="4" spans="2:19" ht="18" x14ac:dyDescent="0.3">
      <c r="B4" s="3"/>
      <c r="C4" s="4"/>
      <c r="D4" s="4"/>
      <c r="E4" s="5"/>
      <c r="F4" s="4"/>
      <c r="G4" s="4"/>
      <c r="H4" s="5" t="s">
        <v>14</v>
      </c>
      <c r="I4" s="5" t="s">
        <v>15</v>
      </c>
      <c r="J4" s="5" t="s">
        <v>16</v>
      </c>
      <c r="K4" s="5" t="s">
        <v>17</v>
      </c>
      <c r="L4" s="5" t="s">
        <v>15</v>
      </c>
      <c r="M4" s="5" t="s">
        <v>16</v>
      </c>
      <c r="N4" s="5" t="s">
        <v>17</v>
      </c>
      <c r="O4" s="5" t="s">
        <v>15</v>
      </c>
      <c r="P4" s="5" t="s">
        <v>16</v>
      </c>
      <c r="Q4" s="5" t="s">
        <v>17</v>
      </c>
      <c r="R4" s="6"/>
      <c r="S4" s="6"/>
    </row>
    <row r="5" spans="2:19" ht="18" x14ac:dyDescent="0.3">
      <c r="B5" s="6">
        <v>1</v>
      </c>
      <c r="C5" s="7" t="s">
        <v>18</v>
      </c>
      <c r="D5" s="6" t="s">
        <v>19</v>
      </c>
      <c r="E5" s="6">
        <v>2191</v>
      </c>
      <c r="F5" s="6">
        <v>489.7</v>
      </c>
      <c r="G5" s="6" t="s">
        <v>20</v>
      </c>
      <c r="H5" s="6" t="s">
        <v>37</v>
      </c>
      <c r="I5" s="6">
        <v>73</v>
      </c>
      <c r="J5" s="6">
        <v>73</v>
      </c>
      <c r="K5" s="8"/>
      <c r="L5" s="6">
        <v>73</v>
      </c>
      <c r="M5" s="6">
        <v>73</v>
      </c>
      <c r="N5" s="8"/>
      <c r="O5" s="6">
        <v>73</v>
      </c>
      <c r="P5" s="6">
        <v>35</v>
      </c>
      <c r="Q5" s="8" t="s">
        <v>166</v>
      </c>
      <c r="R5" s="9">
        <f>I5+L5+O5</f>
        <v>219</v>
      </c>
      <c r="S5" s="6">
        <f t="shared" ref="S5:S26" si="0">J5+M5+P5</f>
        <v>181</v>
      </c>
    </row>
    <row r="6" spans="2:19" ht="18" x14ac:dyDescent="0.35">
      <c r="B6" s="6">
        <v>2</v>
      </c>
      <c r="C6" s="42" t="s">
        <v>21</v>
      </c>
      <c r="D6" s="6" t="s">
        <v>23</v>
      </c>
      <c r="E6" s="6">
        <v>86292</v>
      </c>
      <c r="F6" s="6">
        <v>914.4</v>
      </c>
      <c r="G6" s="6" t="s">
        <v>89</v>
      </c>
      <c r="H6" s="6" t="s">
        <v>65</v>
      </c>
      <c r="I6" s="11">
        <v>0</v>
      </c>
      <c r="J6" s="6">
        <v>0</v>
      </c>
      <c r="K6" s="8" t="s">
        <v>163</v>
      </c>
      <c r="L6" s="6">
        <v>0</v>
      </c>
      <c r="M6" s="6">
        <v>0</v>
      </c>
      <c r="N6" s="8"/>
      <c r="O6" s="6"/>
      <c r="P6" s="6"/>
      <c r="Q6" s="8"/>
      <c r="R6" s="9">
        <f t="shared" ref="R6:R26" si="1">I6+L6+O6</f>
        <v>0</v>
      </c>
      <c r="S6" s="6">
        <f t="shared" si="0"/>
        <v>0</v>
      </c>
    </row>
    <row r="7" spans="2:19" ht="18" x14ac:dyDescent="0.35">
      <c r="B7" s="6">
        <v>3</v>
      </c>
      <c r="C7" s="43"/>
      <c r="D7" s="6" t="s">
        <v>23</v>
      </c>
      <c r="E7" s="6">
        <v>86292</v>
      </c>
      <c r="F7" s="6">
        <v>914.4</v>
      </c>
      <c r="G7" s="6" t="s">
        <v>80</v>
      </c>
      <c r="H7" s="6" t="s">
        <v>65</v>
      </c>
      <c r="I7" s="11">
        <v>0</v>
      </c>
      <c r="J7" s="6">
        <v>0</v>
      </c>
      <c r="K7" s="8"/>
      <c r="L7" s="6">
        <v>0</v>
      </c>
      <c r="M7" s="6">
        <v>0</v>
      </c>
      <c r="N7" s="8"/>
      <c r="O7" s="6"/>
      <c r="P7" s="6"/>
      <c r="Q7" s="8"/>
      <c r="R7" s="9">
        <f t="shared" si="1"/>
        <v>0</v>
      </c>
      <c r="S7" s="6">
        <f t="shared" si="0"/>
        <v>0</v>
      </c>
    </row>
    <row r="8" spans="2:19" ht="18" hidden="1" x14ac:dyDescent="0.35">
      <c r="B8" s="6"/>
      <c r="C8" s="17"/>
      <c r="D8" s="6"/>
      <c r="E8" s="6"/>
      <c r="F8" s="6"/>
      <c r="G8" s="6"/>
      <c r="H8" s="6"/>
      <c r="I8" s="11"/>
      <c r="J8" s="6"/>
      <c r="K8" s="8"/>
      <c r="L8" s="6"/>
      <c r="M8" s="6"/>
      <c r="N8" s="8"/>
      <c r="O8" s="6"/>
      <c r="P8" s="6"/>
      <c r="Q8" s="8"/>
      <c r="R8" s="9">
        <f t="shared" si="1"/>
        <v>0</v>
      </c>
      <c r="S8" s="6">
        <f t="shared" si="0"/>
        <v>0</v>
      </c>
    </row>
    <row r="9" spans="2:19" ht="18" x14ac:dyDescent="0.35">
      <c r="B9" s="6">
        <v>4</v>
      </c>
      <c r="C9" s="17" t="s">
        <v>167</v>
      </c>
      <c r="D9" s="6" t="s">
        <v>19</v>
      </c>
      <c r="E9" s="6">
        <v>2191</v>
      </c>
      <c r="F9" s="6">
        <v>489.7</v>
      </c>
      <c r="G9" s="6" t="s">
        <v>20</v>
      </c>
      <c r="H9" s="6" t="s">
        <v>37</v>
      </c>
      <c r="I9" s="11"/>
      <c r="J9" s="6"/>
      <c r="K9" s="8"/>
      <c r="L9" s="6"/>
      <c r="M9" s="6"/>
      <c r="N9" s="8"/>
      <c r="O9" s="6">
        <v>73</v>
      </c>
      <c r="P9" s="6">
        <v>50</v>
      </c>
      <c r="Q9" s="8" t="s">
        <v>168</v>
      </c>
      <c r="R9" s="9"/>
      <c r="S9" s="6"/>
    </row>
    <row r="10" spans="2:19" ht="18" x14ac:dyDescent="0.3">
      <c r="B10" s="6">
        <v>5</v>
      </c>
      <c r="C10" s="17" t="s">
        <v>77</v>
      </c>
      <c r="D10" s="6" t="s">
        <v>23</v>
      </c>
      <c r="E10" s="6">
        <v>86292</v>
      </c>
      <c r="F10" s="6">
        <v>914.4</v>
      </c>
      <c r="G10" s="6" t="s">
        <v>24</v>
      </c>
      <c r="H10" s="6" t="s">
        <v>84</v>
      </c>
      <c r="I10" s="6">
        <v>36</v>
      </c>
      <c r="J10" s="6">
        <v>33</v>
      </c>
      <c r="K10" s="8"/>
      <c r="L10" s="6">
        <v>36</v>
      </c>
      <c r="M10" s="6">
        <v>34</v>
      </c>
      <c r="N10" s="8"/>
      <c r="O10" s="6">
        <v>36</v>
      </c>
      <c r="P10" s="6">
        <v>35</v>
      </c>
      <c r="Q10" s="8"/>
      <c r="R10" s="9">
        <f t="shared" si="1"/>
        <v>108</v>
      </c>
      <c r="S10" s="6">
        <f t="shared" si="0"/>
        <v>102</v>
      </c>
    </row>
    <row r="11" spans="2:19" ht="18" x14ac:dyDescent="0.3">
      <c r="B11" s="6">
        <v>6</v>
      </c>
      <c r="C11" s="7" t="s">
        <v>25</v>
      </c>
      <c r="D11" s="6" t="s">
        <v>164</v>
      </c>
      <c r="E11" s="10">
        <v>83831</v>
      </c>
      <c r="F11" s="6">
        <v>899</v>
      </c>
      <c r="G11" s="6" t="s">
        <v>27</v>
      </c>
      <c r="H11" s="6" t="s">
        <v>40</v>
      </c>
      <c r="I11" s="6">
        <v>110</v>
      </c>
      <c r="J11" s="6">
        <v>110</v>
      </c>
      <c r="K11" s="8"/>
      <c r="L11" s="6">
        <v>110</v>
      </c>
      <c r="M11" s="6">
        <v>110</v>
      </c>
      <c r="N11" s="8"/>
      <c r="O11" s="6">
        <v>110</v>
      </c>
      <c r="P11" s="6">
        <v>110</v>
      </c>
      <c r="Q11" s="8"/>
      <c r="R11" s="9">
        <f t="shared" si="1"/>
        <v>330</v>
      </c>
      <c r="S11" s="6">
        <f t="shared" si="0"/>
        <v>330</v>
      </c>
    </row>
    <row r="12" spans="2:19" ht="18" x14ac:dyDescent="0.3">
      <c r="B12" s="6">
        <v>7</v>
      </c>
      <c r="C12" s="7" t="s">
        <v>28</v>
      </c>
      <c r="D12" s="6" t="s">
        <v>19</v>
      </c>
      <c r="E12" s="10">
        <v>2123</v>
      </c>
      <c r="F12" s="6">
        <v>428.75</v>
      </c>
      <c r="G12" s="6" t="s">
        <v>24</v>
      </c>
      <c r="H12" s="6" t="s">
        <v>104</v>
      </c>
      <c r="I12" s="6">
        <v>24</v>
      </c>
      <c r="J12" s="6">
        <v>24</v>
      </c>
      <c r="K12" s="8"/>
      <c r="L12" s="6">
        <v>24</v>
      </c>
      <c r="M12" s="6">
        <v>16</v>
      </c>
      <c r="N12" s="8"/>
      <c r="O12" s="6">
        <v>24</v>
      </c>
      <c r="P12" s="6">
        <v>20</v>
      </c>
      <c r="Q12" s="8"/>
      <c r="R12" s="9">
        <f t="shared" si="1"/>
        <v>72</v>
      </c>
      <c r="S12" s="6">
        <f t="shared" si="0"/>
        <v>60</v>
      </c>
    </row>
    <row r="13" spans="2:19" ht="18" hidden="1" x14ac:dyDescent="0.35">
      <c r="B13" s="6">
        <v>7</v>
      </c>
      <c r="C13" s="42" t="s">
        <v>30</v>
      </c>
      <c r="D13" s="6" t="s">
        <v>75</v>
      </c>
      <c r="E13" s="10">
        <v>98007</v>
      </c>
      <c r="F13" s="6">
        <v>3100</v>
      </c>
      <c r="G13" s="6" t="s">
        <v>27</v>
      </c>
      <c r="H13" s="11" t="s">
        <v>40</v>
      </c>
      <c r="I13" s="11"/>
      <c r="J13" s="6"/>
      <c r="K13" s="8"/>
      <c r="L13" s="11"/>
      <c r="M13" s="6"/>
      <c r="N13" s="8"/>
      <c r="O13" s="11"/>
      <c r="P13" s="6"/>
      <c r="Q13" s="8"/>
      <c r="R13" s="9">
        <f t="shared" si="1"/>
        <v>0</v>
      </c>
      <c r="S13" s="6">
        <f t="shared" si="0"/>
        <v>0</v>
      </c>
    </row>
    <row r="14" spans="2:19" ht="18" x14ac:dyDescent="0.35">
      <c r="B14" s="6">
        <v>8</v>
      </c>
      <c r="C14" s="43"/>
      <c r="D14" s="6" t="s">
        <v>47</v>
      </c>
      <c r="E14" s="10">
        <v>99719</v>
      </c>
      <c r="F14" s="6">
        <v>1107</v>
      </c>
      <c r="G14" s="6" t="s">
        <v>27</v>
      </c>
      <c r="H14" s="11" t="s">
        <v>65</v>
      </c>
      <c r="I14" s="11">
        <v>88</v>
      </c>
      <c r="J14" s="6">
        <v>0</v>
      </c>
      <c r="K14" s="8"/>
      <c r="L14" s="11">
        <v>88</v>
      </c>
      <c r="M14" s="6">
        <v>0</v>
      </c>
      <c r="N14" s="8" t="s">
        <v>165</v>
      </c>
      <c r="O14" s="11">
        <v>88</v>
      </c>
      <c r="P14" s="6">
        <v>44</v>
      </c>
      <c r="Q14" s="8" t="s">
        <v>166</v>
      </c>
      <c r="R14" s="9">
        <f t="shared" si="1"/>
        <v>264</v>
      </c>
      <c r="S14" s="6">
        <f t="shared" si="0"/>
        <v>44</v>
      </c>
    </row>
    <row r="15" spans="2:19" ht="18.75" hidden="1" customHeight="1" x14ac:dyDescent="0.35">
      <c r="B15" s="54"/>
      <c r="C15" s="55"/>
      <c r="D15" s="52"/>
      <c r="E15" s="52"/>
      <c r="F15" s="52"/>
      <c r="G15" s="6"/>
      <c r="H15" s="6"/>
      <c r="I15" s="11"/>
      <c r="J15" s="6"/>
      <c r="K15" s="8"/>
      <c r="L15" s="11"/>
      <c r="M15" s="6"/>
      <c r="N15" s="8"/>
      <c r="O15" s="11"/>
      <c r="P15" s="6"/>
      <c r="Q15" s="8"/>
      <c r="R15" s="9">
        <f t="shared" si="1"/>
        <v>0</v>
      </c>
      <c r="S15" s="6">
        <f t="shared" si="0"/>
        <v>0</v>
      </c>
    </row>
    <row r="16" spans="2:19" ht="18.75" hidden="1" customHeight="1" x14ac:dyDescent="0.35">
      <c r="B16" s="54"/>
      <c r="C16" s="55"/>
      <c r="D16" s="52"/>
      <c r="E16" s="52"/>
      <c r="F16" s="52"/>
      <c r="G16" s="6"/>
      <c r="H16" s="6"/>
      <c r="I16" s="11"/>
      <c r="J16" s="6"/>
      <c r="K16" s="8"/>
      <c r="L16" s="11"/>
      <c r="M16" s="6"/>
      <c r="N16" s="8"/>
      <c r="O16" s="11"/>
      <c r="P16" s="6"/>
      <c r="Q16" s="8"/>
      <c r="R16" s="9">
        <f t="shared" si="1"/>
        <v>0</v>
      </c>
      <c r="S16" s="6">
        <f t="shared" si="0"/>
        <v>0</v>
      </c>
    </row>
    <row r="17" spans="2:19" ht="18.75" hidden="1" customHeight="1" x14ac:dyDescent="0.35">
      <c r="B17" s="54"/>
      <c r="C17" s="55"/>
      <c r="D17" s="52"/>
      <c r="E17" s="52"/>
      <c r="F17" s="52"/>
      <c r="G17" s="6"/>
      <c r="H17" s="6"/>
      <c r="I17" s="11"/>
      <c r="J17" s="6"/>
      <c r="K17" s="8"/>
      <c r="L17" s="11"/>
      <c r="M17" s="6"/>
      <c r="N17" s="8"/>
      <c r="O17" s="11"/>
      <c r="P17" s="6"/>
      <c r="Q17" s="8"/>
      <c r="R17" s="9">
        <f t="shared" si="1"/>
        <v>0</v>
      </c>
      <c r="S17" s="6">
        <f t="shared" si="0"/>
        <v>0</v>
      </c>
    </row>
    <row r="18" spans="2:19" ht="18.75" hidden="1" customHeight="1" x14ac:dyDescent="0.35">
      <c r="B18" s="6"/>
      <c r="C18" s="6" t="s">
        <v>33</v>
      </c>
      <c r="D18" s="6" t="s">
        <v>47</v>
      </c>
      <c r="E18" s="6">
        <v>1792</v>
      </c>
      <c r="F18" s="6">
        <v>230</v>
      </c>
      <c r="G18" s="6" t="s">
        <v>27</v>
      </c>
      <c r="H18" s="6" t="s">
        <v>41</v>
      </c>
      <c r="I18" s="11"/>
      <c r="J18" s="6"/>
      <c r="K18" s="8"/>
      <c r="L18" s="11"/>
      <c r="M18" s="6"/>
      <c r="N18" s="8"/>
      <c r="O18" s="11"/>
      <c r="P18" s="6"/>
      <c r="Q18" s="8"/>
      <c r="R18" s="9">
        <f t="shared" si="1"/>
        <v>0</v>
      </c>
      <c r="S18" s="6">
        <f t="shared" si="0"/>
        <v>0</v>
      </c>
    </row>
    <row r="19" spans="2:19" ht="18" hidden="1" x14ac:dyDescent="0.35">
      <c r="B19" s="54"/>
      <c r="C19" s="55" t="s">
        <v>33</v>
      </c>
      <c r="D19" s="6" t="s">
        <v>23</v>
      </c>
      <c r="E19" s="6">
        <v>86292</v>
      </c>
      <c r="F19" s="6">
        <v>914.4</v>
      </c>
      <c r="G19" s="6" t="s">
        <v>89</v>
      </c>
      <c r="H19" s="6" t="s">
        <v>65</v>
      </c>
      <c r="I19" s="11"/>
      <c r="J19" s="6"/>
      <c r="K19" s="8"/>
      <c r="L19" s="11"/>
      <c r="M19" s="6"/>
      <c r="N19" s="8"/>
      <c r="O19" s="11"/>
      <c r="P19" s="6"/>
      <c r="Q19" s="8"/>
      <c r="R19" s="9">
        <f t="shared" si="1"/>
        <v>0</v>
      </c>
      <c r="S19" s="6">
        <f t="shared" si="0"/>
        <v>0</v>
      </c>
    </row>
    <row r="20" spans="2:19" ht="18" hidden="1" x14ac:dyDescent="0.35">
      <c r="B20" s="54"/>
      <c r="C20" s="55"/>
      <c r="D20" s="6" t="s">
        <v>23</v>
      </c>
      <c r="E20" s="6">
        <v>86292</v>
      </c>
      <c r="F20" s="6">
        <v>914.4</v>
      </c>
      <c r="G20" s="6" t="s">
        <v>80</v>
      </c>
      <c r="H20" s="6" t="s">
        <v>65</v>
      </c>
      <c r="I20" s="11"/>
      <c r="J20" s="6"/>
      <c r="K20" s="8"/>
      <c r="L20" s="11"/>
      <c r="M20" s="6"/>
      <c r="N20" s="8"/>
      <c r="O20" s="11"/>
      <c r="P20" s="6"/>
      <c r="Q20" s="8"/>
      <c r="R20" s="9">
        <f t="shared" si="1"/>
        <v>0</v>
      </c>
      <c r="S20" s="6">
        <f t="shared" si="0"/>
        <v>0</v>
      </c>
    </row>
    <row r="21" spans="2:19" ht="18.75" hidden="1" customHeight="1" x14ac:dyDescent="0.35">
      <c r="B21" s="6"/>
      <c r="C21" s="7" t="s">
        <v>33</v>
      </c>
      <c r="D21" s="6" t="s">
        <v>47</v>
      </c>
      <c r="E21" s="6">
        <v>1792</v>
      </c>
      <c r="F21" s="6">
        <v>230</v>
      </c>
      <c r="G21" s="6" t="s">
        <v>27</v>
      </c>
      <c r="H21" s="6" t="s">
        <v>41</v>
      </c>
      <c r="I21" s="11"/>
      <c r="J21" s="6"/>
      <c r="K21" s="8"/>
      <c r="L21" s="11"/>
      <c r="M21" s="6"/>
      <c r="N21" s="8"/>
      <c r="O21" s="11"/>
      <c r="P21" s="6"/>
      <c r="Q21" s="8"/>
      <c r="R21" s="9">
        <f t="shared" si="1"/>
        <v>0</v>
      </c>
      <c r="S21" s="6">
        <f t="shared" si="0"/>
        <v>0</v>
      </c>
    </row>
    <row r="22" spans="2:19" ht="18" x14ac:dyDescent="0.35">
      <c r="B22" s="6">
        <v>9</v>
      </c>
      <c r="C22" s="7" t="s">
        <v>31</v>
      </c>
      <c r="D22" s="6" t="s">
        <v>47</v>
      </c>
      <c r="E22" s="6">
        <v>1792</v>
      </c>
      <c r="F22" s="6">
        <v>230</v>
      </c>
      <c r="G22" s="6" t="s">
        <v>27</v>
      </c>
      <c r="H22" s="6" t="s">
        <v>41</v>
      </c>
      <c r="I22" s="11">
        <v>0</v>
      </c>
      <c r="J22" s="6">
        <v>0</v>
      </c>
      <c r="K22" s="8" t="s">
        <v>113</v>
      </c>
      <c r="L22" s="11">
        <v>0</v>
      </c>
      <c r="M22" s="6">
        <v>0</v>
      </c>
      <c r="N22" s="8" t="s">
        <v>165</v>
      </c>
      <c r="O22" s="11">
        <v>0</v>
      </c>
      <c r="P22" s="6">
        <v>0</v>
      </c>
      <c r="Q22" s="8" t="s">
        <v>169</v>
      </c>
      <c r="R22" s="9">
        <f t="shared" si="1"/>
        <v>0</v>
      </c>
      <c r="S22" s="6">
        <f t="shared" si="0"/>
        <v>0</v>
      </c>
    </row>
    <row r="23" spans="2:19" ht="18" x14ac:dyDescent="0.35">
      <c r="B23" s="6">
        <v>10</v>
      </c>
      <c r="C23" s="7" t="s">
        <v>33</v>
      </c>
      <c r="D23" s="6" t="s">
        <v>47</v>
      </c>
      <c r="E23" s="6">
        <v>1755</v>
      </c>
      <c r="F23" s="6">
        <v>5000</v>
      </c>
      <c r="G23" s="6" t="s">
        <v>27</v>
      </c>
      <c r="H23" s="6" t="s">
        <v>38</v>
      </c>
      <c r="I23" s="11">
        <v>56</v>
      </c>
      <c r="J23" s="6">
        <v>56</v>
      </c>
      <c r="K23" s="8"/>
      <c r="L23" s="11">
        <v>0</v>
      </c>
      <c r="M23" s="6">
        <v>0</v>
      </c>
      <c r="N23" s="8" t="s">
        <v>165</v>
      </c>
      <c r="O23" s="11"/>
      <c r="P23" s="6"/>
      <c r="Q23" s="8"/>
      <c r="R23" s="9">
        <f t="shared" si="1"/>
        <v>56</v>
      </c>
      <c r="S23" s="6">
        <f t="shared" si="0"/>
        <v>56</v>
      </c>
    </row>
    <row r="24" spans="2:19" ht="18" x14ac:dyDescent="0.35">
      <c r="B24" s="6">
        <v>11</v>
      </c>
      <c r="C24" s="7" t="s">
        <v>33</v>
      </c>
      <c r="D24" s="6" t="s">
        <v>47</v>
      </c>
      <c r="E24" s="6">
        <v>1755</v>
      </c>
      <c r="F24" s="6">
        <v>5000</v>
      </c>
      <c r="G24" s="6" t="s">
        <v>170</v>
      </c>
      <c r="H24" s="6" t="s">
        <v>171</v>
      </c>
      <c r="I24" s="11"/>
      <c r="J24" s="6"/>
      <c r="K24" s="8"/>
      <c r="L24" s="11"/>
      <c r="M24" s="6"/>
      <c r="N24" s="8"/>
      <c r="O24" s="11">
        <v>44</v>
      </c>
      <c r="P24" s="6">
        <v>33</v>
      </c>
      <c r="Q24" s="8" t="s">
        <v>172</v>
      </c>
      <c r="R24" s="9"/>
      <c r="S24" s="6"/>
    </row>
    <row r="25" spans="2:19" ht="18" x14ac:dyDescent="0.3">
      <c r="B25" s="6">
        <v>12</v>
      </c>
      <c r="C25" s="7" t="s">
        <v>34</v>
      </c>
      <c r="D25" s="6" t="s">
        <v>64</v>
      </c>
      <c r="E25" s="6">
        <v>90129</v>
      </c>
      <c r="F25" s="6">
        <v>2540</v>
      </c>
      <c r="G25" s="6" t="s">
        <v>49</v>
      </c>
      <c r="H25" s="6" t="s">
        <v>37</v>
      </c>
      <c r="I25" s="6">
        <v>110</v>
      </c>
      <c r="J25" s="6">
        <v>44</v>
      </c>
      <c r="K25" s="8"/>
      <c r="L25" s="6">
        <v>110</v>
      </c>
      <c r="M25" s="6">
        <v>100</v>
      </c>
      <c r="N25" s="8" t="s">
        <v>50</v>
      </c>
      <c r="O25" s="6">
        <v>110</v>
      </c>
      <c r="P25" s="6">
        <v>62</v>
      </c>
      <c r="Q25" s="8" t="s">
        <v>172</v>
      </c>
      <c r="R25" s="9">
        <f t="shared" si="1"/>
        <v>330</v>
      </c>
      <c r="S25" s="6">
        <f t="shared" si="0"/>
        <v>206</v>
      </c>
    </row>
    <row r="26" spans="2:19" ht="18" x14ac:dyDescent="0.35">
      <c r="B26" s="6">
        <v>13</v>
      </c>
      <c r="C26" s="7" t="s">
        <v>35</v>
      </c>
      <c r="D26" s="6" t="s">
        <v>19</v>
      </c>
      <c r="E26" s="6">
        <v>2122</v>
      </c>
      <c r="F26" s="6">
        <v>796.5</v>
      </c>
      <c r="G26" s="6" t="s">
        <v>138</v>
      </c>
      <c r="H26" s="6" t="s">
        <v>37</v>
      </c>
      <c r="I26" s="11">
        <v>0</v>
      </c>
      <c r="J26" s="6">
        <v>0</v>
      </c>
      <c r="K26" s="8" t="s">
        <v>165</v>
      </c>
      <c r="L26" s="6">
        <v>146</v>
      </c>
      <c r="M26" s="6">
        <v>136</v>
      </c>
      <c r="N26" s="8"/>
      <c r="O26" s="11">
        <v>73</v>
      </c>
      <c r="P26" s="6">
        <v>73</v>
      </c>
      <c r="Q26" s="8"/>
      <c r="R26" s="9">
        <f t="shared" si="1"/>
        <v>219</v>
      </c>
      <c r="S26" s="6">
        <f t="shared" si="0"/>
        <v>209</v>
      </c>
    </row>
    <row r="36" spans="11:11" x14ac:dyDescent="0.3">
      <c r="K36" t="s">
        <v>50</v>
      </c>
    </row>
  </sheetData>
  <mergeCells count="14">
    <mergeCell ref="D15:D17"/>
    <mergeCell ref="E15:E17"/>
    <mergeCell ref="F15:F17"/>
    <mergeCell ref="B2:N2"/>
    <mergeCell ref="R2:S2"/>
    <mergeCell ref="I3:K3"/>
    <mergeCell ref="L3:N3"/>
    <mergeCell ref="O3:Q3"/>
    <mergeCell ref="C6:C7"/>
    <mergeCell ref="B19:B20"/>
    <mergeCell ref="C19:C20"/>
    <mergeCell ref="C13:C14"/>
    <mergeCell ref="B15:B17"/>
    <mergeCell ref="C15:C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S39"/>
  <sheetViews>
    <sheetView zoomScale="70" zoomScaleNormal="70" workbookViewId="0">
      <selection activeCell="K43" sqref="K43"/>
    </sheetView>
  </sheetViews>
  <sheetFormatPr defaultRowHeight="14.4" x14ac:dyDescent="0.3"/>
  <cols>
    <col min="1" max="1" width="3.6640625" customWidth="1"/>
    <col min="4" max="4" width="16.33203125" customWidth="1"/>
    <col min="7" max="7" width="16.33203125" customWidth="1"/>
    <col min="8" max="8" width="11.44140625" customWidth="1"/>
    <col min="11" max="11" width="38.88671875" customWidth="1"/>
    <col min="14" max="14" width="32.6640625" customWidth="1"/>
    <col min="16" max="16" width="11.44140625" bestFit="1" customWidth="1"/>
    <col min="17" max="17" width="37.6640625" customWidth="1"/>
    <col min="20" max="20" width="3.5546875" customWidth="1"/>
  </cols>
  <sheetData>
    <row r="2" spans="2:19" ht="18" x14ac:dyDescent="0.35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  <c r="O2" s="1" t="s">
        <v>1</v>
      </c>
      <c r="P2" s="2" t="s">
        <v>173</v>
      </c>
      <c r="Q2" s="1" t="s">
        <v>2</v>
      </c>
      <c r="R2" s="47"/>
      <c r="S2" s="48"/>
    </row>
    <row r="3" spans="2:19" ht="72" x14ac:dyDescent="0.3">
      <c r="B3" s="3" t="s">
        <v>3</v>
      </c>
      <c r="C3" s="4" t="s">
        <v>4</v>
      </c>
      <c r="D3" s="4" t="s">
        <v>5</v>
      </c>
      <c r="E3" s="5" t="s">
        <v>6</v>
      </c>
      <c r="F3" s="4" t="s">
        <v>7</v>
      </c>
      <c r="G3" s="4" t="s">
        <v>8</v>
      </c>
      <c r="H3" s="5"/>
      <c r="I3" s="49" t="s">
        <v>9</v>
      </c>
      <c r="J3" s="50"/>
      <c r="K3" s="51"/>
      <c r="L3" s="49" t="s">
        <v>10</v>
      </c>
      <c r="M3" s="50"/>
      <c r="N3" s="51"/>
      <c r="O3" s="49" t="s">
        <v>11</v>
      </c>
      <c r="P3" s="50"/>
      <c r="Q3" s="51"/>
      <c r="R3" s="4" t="s">
        <v>12</v>
      </c>
      <c r="S3" s="4" t="s">
        <v>13</v>
      </c>
    </row>
    <row r="4" spans="2:19" ht="18" x14ac:dyDescent="0.3">
      <c r="B4" s="3"/>
      <c r="C4" s="4"/>
      <c r="D4" s="4"/>
      <c r="E4" s="5"/>
      <c r="F4" s="4"/>
      <c r="G4" s="4"/>
      <c r="H4" s="5" t="s">
        <v>14</v>
      </c>
      <c r="I4" s="5" t="s">
        <v>15</v>
      </c>
      <c r="J4" s="5" t="s">
        <v>16</v>
      </c>
      <c r="K4" s="5" t="s">
        <v>17</v>
      </c>
      <c r="L4" s="5" t="s">
        <v>15</v>
      </c>
      <c r="M4" s="5" t="s">
        <v>16</v>
      </c>
      <c r="N4" s="5" t="s">
        <v>17</v>
      </c>
      <c r="O4" s="5" t="s">
        <v>15</v>
      </c>
      <c r="P4" s="5" t="s">
        <v>16</v>
      </c>
      <c r="Q4" s="5" t="s">
        <v>17</v>
      </c>
      <c r="R4" s="6"/>
      <c r="S4" s="6"/>
    </row>
    <row r="5" spans="2:19" ht="18" x14ac:dyDescent="0.3">
      <c r="B5" s="6">
        <v>1</v>
      </c>
      <c r="C5" s="7" t="s">
        <v>18</v>
      </c>
      <c r="D5" s="6" t="s">
        <v>19</v>
      </c>
      <c r="E5" s="6">
        <v>2191</v>
      </c>
      <c r="F5" s="6">
        <v>489.7</v>
      </c>
      <c r="G5" s="6" t="s">
        <v>20</v>
      </c>
      <c r="H5" s="6" t="s">
        <v>37</v>
      </c>
      <c r="I5" s="6">
        <v>73</v>
      </c>
      <c r="J5" s="6">
        <v>73</v>
      </c>
      <c r="K5" s="8"/>
      <c r="L5" s="6">
        <v>73</v>
      </c>
      <c r="M5" s="6">
        <v>73</v>
      </c>
      <c r="N5" s="8"/>
      <c r="O5" s="6">
        <v>73</v>
      </c>
      <c r="P5" s="6">
        <v>70</v>
      </c>
      <c r="Q5" s="8"/>
      <c r="R5" s="9">
        <f>I5+L5+O5</f>
        <v>219</v>
      </c>
      <c r="S5" s="6">
        <f t="shared" ref="S5:S28" si="0">J5+M5+P5</f>
        <v>216</v>
      </c>
    </row>
    <row r="6" spans="2:19" ht="18" hidden="1" x14ac:dyDescent="0.35">
      <c r="B6" s="6">
        <v>2</v>
      </c>
      <c r="C6" s="42" t="s">
        <v>21</v>
      </c>
      <c r="D6" s="6" t="s">
        <v>23</v>
      </c>
      <c r="E6" s="6">
        <v>86292</v>
      </c>
      <c r="F6" s="6">
        <v>914.4</v>
      </c>
      <c r="G6" s="6" t="s">
        <v>89</v>
      </c>
      <c r="H6" s="6" t="s">
        <v>65</v>
      </c>
      <c r="I6" s="11">
        <v>0</v>
      </c>
      <c r="J6" s="6">
        <v>0</v>
      </c>
      <c r="K6" s="8"/>
      <c r="L6" s="6">
        <v>0</v>
      </c>
      <c r="M6" s="6"/>
      <c r="N6" s="8"/>
      <c r="O6" s="6"/>
      <c r="P6" s="6"/>
      <c r="Q6" s="8"/>
      <c r="R6" s="9">
        <f t="shared" ref="R6:R28" si="1">I6+L6+O6</f>
        <v>0</v>
      </c>
      <c r="S6" s="6">
        <f t="shared" si="0"/>
        <v>0</v>
      </c>
    </row>
    <row r="7" spans="2:19" ht="18" hidden="1" x14ac:dyDescent="0.35">
      <c r="B7" s="6">
        <v>3</v>
      </c>
      <c r="C7" s="43"/>
      <c r="D7" s="6" t="s">
        <v>23</v>
      </c>
      <c r="E7" s="6">
        <v>86292</v>
      </c>
      <c r="F7" s="6">
        <v>914.4</v>
      </c>
      <c r="G7" s="6" t="s">
        <v>80</v>
      </c>
      <c r="H7" s="6" t="s">
        <v>65</v>
      </c>
      <c r="I7" s="11">
        <v>0</v>
      </c>
      <c r="J7" s="6">
        <v>0</v>
      </c>
      <c r="K7" s="8"/>
      <c r="L7" s="6">
        <v>0</v>
      </c>
      <c r="M7" s="6"/>
      <c r="N7" s="8"/>
      <c r="O7" s="6"/>
      <c r="P7" s="6"/>
      <c r="Q7" s="8"/>
      <c r="R7" s="9">
        <f t="shared" si="1"/>
        <v>0</v>
      </c>
      <c r="S7" s="6">
        <f t="shared" si="0"/>
        <v>0</v>
      </c>
    </row>
    <row r="8" spans="2:19" ht="18" hidden="1" x14ac:dyDescent="0.35">
      <c r="B8" s="6"/>
      <c r="C8" s="17"/>
      <c r="D8" s="6"/>
      <c r="E8" s="6"/>
      <c r="F8" s="6"/>
      <c r="G8" s="6"/>
      <c r="H8" s="6"/>
      <c r="I8" s="11"/>
      <c r="J8" s="6"/>
      <c r="K8" s="8"/>
      <c r="L8" s="6"/>
      <c r="M8" s="6"/>
      <c r="N8" s="8"/>
      <c r="O8" s="6"/>
      <c r="P8" s="6"/>
      <c r="Q8" s="8"/>
      <c r="R8" s="9">
        <f t="shared" si="1"/>
        <v>0</v>
      </c>
      <c r="S8" s="6">
        <f t="shared" si="0"/>
        <v>0</v>
      </c>
    </row>
    <row r="9" spans="2:19" ht="18" x14ac:dyDescent="0.35">
      <c r="B9" s="6">
        <v>4</v>
      </c>
      <c r="C9" s="42" t="s">
        <v>167</v>
      </c>
      <c r="D9" s="40" t="s">
        <v>19</v>
      </c>
      <c r="E9" s="6">
        <v>2191</v>
      </c>
      <c r="F9" s="6">
        <v>489.7</v>
      </c>
      <c r="G9" s="6" t="s">
        <v>20</v>
      </c>
      <c r="H9" s="6" t="s">
        <v>37</v>
      </c>
      <c r="I9" s="11">
        <v>0</v>
      </c>
      <c r="J9" s="6">
        <v>0</v>
      </c>
      <c r="K9" s="8" t="s">
        <v>113</v>
      </c>
      <c r="L9" s="6">
        <v>0</v>
      </c>
      <c r="M9" s="6">
        <v>0</v>
      </c>
      <c r="N9" s="8" t="s">
        <v>175</v>
      </c>
      <c r="O9" s="6">
        <v>14</v>
      </c>
      <c r="P9" s="6">
        <v>14</v>
      </c>
      <c r="Q9" s="8" t="s">
        <v>177</v>
      </c>
      <c r="R9" s="9"/>
      <c r="S9" s="6"/>
    </row>
    <row r="10" spans="2:19" ht="18" x14ac:dyDescent="0.35">
      <c r="B10" s="6"/>
      <c r="C10" s="43"/>
      <c r="D10" s="41"/>
      <c r="E10" s="6">
        <v>2123</v>
      </c>
      <c r="F10" s="6">
        <v>418</v>
      </c>
      <c r="G10" s="6" t="s">
        <v>24</v>
      </c>
      <c r="H10" s="6" t="s">
        <v>65</v>
      </c>
      <c r="I10" s="11"/>
      <c r="J10" s="6"/>
      <c r="K10" s="8"/>
      <c r="L10" s="6"/>
      <c r="M10" s="6"/>
      <c r="N10" s="8"/>
      <c r="O10" s="6">
        <v>38</v>
      </c>
      <c r="P10" s="6">
        <v>35</v>
      </c>
      <c r="Q10" s="8" t="s">
        <v>178</v>
      </c>
      <c r="R10" s="9"/>
      <c r="S10" s="6"/>
    </row>
    <row r="11" spans="2:19" ht="18" x14ac:dyDescent="0.3">
      <c r="B11" s="6">
        <v>5</v>
      </c>
      <c r="C11" s="17" t="s">
        <v>77</v>
      </c>
      <c r="D11" s="6" t="s">
        <v>23</v>
      </c>
      <c r="E11" s="6">
        <v>86292</v>
      </c>
      <c r="F11" s="6">
        <v>914.4</v>
      </c>
      <c r="G11" s="6" t="s">
        <v>24</v>
      </c>
      <c r="H11" s="6" t="s">
        <v>84</v>
      </c>
      <c r="I11" s="6">
        <v>36</v>
      </c>
      <c r="J11" s="6">
        <v>34</v>
      </c>
      <c r="K11" s="8"/>
      <c r="L11" s="6">
        <v>36</v>
      </c>
      <c r="M11" s="6">
        <v>34</v>
      </c>
      <c r="N11" s="8"/>
      <c r="O11" s="6">
        <v>14</v>
      </c>
      <c r="P11" s="6">
        <v>14</v>
      </c>
      <c r="Q11" s="8" t="s">
        <v>179</v>
      </c>
      <c r="R11" s="9">
        <f t="shared" si="1"/>
        <v>86</v>
      </c>
      <c r="S11" s="6">
        <f t="shared" si="0"/>
        <v>82</v>
      </c>
    </row>
    <row r="12" spans="2:19" ht="18" x14ac:dyDescent="0.3">
      <c r="B12" s="6">
        <v>6</v>
      </c>
      <c r="C12" s="7" t="s">
        <v>25</v>
      </c>
      <c r="D12" s="6" t="s">
        <v>164</v>
      </c>
      <c r="E12" s="10">
        <v>83831</v>
      </c>
      <c r="F12" s="6">
        <v>899</v>
      </c>
      <c r="G12" s="6" t="s">
        <v>27</v>
      </c>
      <c r="H12" s="6" t="s">
        <v>40</v>
      </c>
      <c r="I12" s="6">
        <v>110</v>
      </c>
      <c r="J12" s="6">
        <v>110</v>
      </c>
      <c r="K12" s="8"/>
      <c r="L12" s="6">
        <v>110</v>
      </c>
      <c r="M12" s="6">
        <v>110</v>
      </c>
      <c r="N12" s="8"/>
      <c r="O12" s="6">
        <v>110</v>
      </c>
      <c r="P12" s="6">
        <v>110</v>
      </c>
      <c r="Q12" s="8"/>
      <c r="R12" s="9">
        <f t="shared" si="1"/>
        <v>330</v>
      </c>
      <c r="S12" s="6">
        <f t="shared" si="0"/>
        <v>330</v>
      </c>
    </row>
    <row r="13" spans="2:19" ht="18" x14ac:dyDescent="0.3">
      <c r="B13" s="6">
        <v>7</v>
      </c>
      <c r="C13" s="7" t="s">
        <v>28</v>
      </c>
      <c r="D13" s="6" t="s">
        <v>19</v>
      </c>
      <c r="E13" s="10">
        <v>2123</v>
      </c>
      <c r="F13" s="6">
        <v>428.75</v>
      </c>
      <c r="G13" s="6" t="s">
        <v>24</v>
      </c>
      <c r="H13" s="6" t="s">
        <v>104</v>
      </c>
      <c r="I13" s="6">
        <v>24</v>
      </c>
      <c r="J13" s="6">
        <v>22</v>
      </c>
      <c r="K13" s="8"/>
      <c r="L13" s="6">
        <v>24</v>
      </c>
      <c r="M13" s="6">
        <v>24</v>
      </c>
      <c r="N13" s="8"/>
      <c r="O13" s="6">
        <v>24</v>
      </c>
      <c r="P13" s="6">
        <v>24</v>
      </c>
      <c r="Q13" s="8"/>
      <c r="R13" s="9">
        <f t="shared" si="1"/>
        <v>72</v>
      </c>
      <c r="S13" s="6">
        <f t="shared" si="0"/>
        <v>70</v>
      </c>
    </row>
    <row r="14" spans="2:19" ht="18" hidden="1" x14ac:dyDescent="0.35">
      <c r="B14" s="6">
        <v>7</v>
      </c>
      <c r="C14" s="42" t="s">
        <v>30</v>
      </c>
      <c r="D14" s="6" t="s">
        <v>75</v>
      </c>
      <c r="E14" s="10">
        <v>98007</v>
      </c>
      <c r="F14" s="6">
        <v>3100</v>
      </c>
      <c r="G14" s="6" t="s">
        <v>27</v>
      </c>
      <c r="H14" s="11" t="s">
        <v>40</v>
      </c>
      <c r="I14" s="11"/>
      <c r="J14" s="6"/>
      <c r="K14" s="8"/>
      <c r="L14" s="11"/>
      <c r="M14" s="6"/>
      <c r="N14" s="8"/>
      <c r="O14" s="11"/>
      <c r="P14" s="6"/>
      <c r="Q14" s="8"/>
      <c r="R14" s="9">
        <f t="shared" si="1"/>
        <v>0</v>
      </c>
      <c r="S14" s="6">
        <f t="shared" si="0"/>
        <v>0</v>
      </c>
    </row>
    <row r="15" spans="2:19" ht="18" x14ac:dyDescent="0.35">
      <c r="B15" s="6">
        <v>8</v>
      </c>
      <c r="C15" s="43"/>
      <c r="D15" s="6" t="s">
        <v>47</v>
      </c>
      <c r="E15" s="10">
        <v>99719</v>
      </c>
      <c r="F15" s="6">
        <v>1107</v>
      </c>
      <c r="G15" s="6" t="s">
        <v>27</v>
      </c>
      <c r="H15" s="11" t="s">
        <v>65</v>
      </c>
      <c r="I15" s="11">
        <v>88</v>
      </c>
      <c r="J15" s="6">
        <v>42</v>
      </c>
      <c r="K15" s="8" t="s">
        <v>57</v>
      </c>
      <c r="L15" s="11">
        <v>88</v>
      </c>
      <c r="M15" s="6">
        <v>0</v>
      </c>
      <c r="N15" s="8" t="s">
        <v>57</v>
      </c>
      <c r="O15" s="11">
        <v>88</v>
      </c>
      <c r="P15" s="6">
        <v>88</v>
      </c>
      <c r="Q15" s="8"/>
      <c r="R15" s="9">
        <f t="shared" si="1"/>
        <v>264</v>
      </c>
      <c r="S15" s="6">
        <f t="shared" si="0"/>
        <v>130</v>
      </c>
    </row>
    <row r="16" spans="2:19" ht="18.75" hidden="1" customHeight="1" x14ac:dyDescent="0.35">
      <c r="B16" s="54"/>
      <c r="C16" s="55"/>
      <c r="D16" s="52"/>
      <c r="E16" s="52"/>
      <c r="F16" s="52"/>
      <c r="G16" s="6"/>
      <c r="H16" s="6"/>
      <c r="I16" s="11"/>
      <c r="J16" s="6"/>
      <c r="K16" s="8"/>
      <c r="L16" s="11"/>
      <c r="M16" s="6"/>
      <c r="N16" s="8"/>
      <c r="O16" s="11"/>
      <c r="P16" s="6"/>
      <c r="Q16" s="8"/>
      <c r="R16" s="9">
        <f t="shared" si="1"/>
        <v>0</v>
      </c>
      <c r="S16" s="6">
        <f t="shared" si="0"/>
        <v>0</v>
      </c>
    </row>
    <row r="17" spans="2:19" ht="18.75" hidden="1" customHeight="1" x14ac:dyDescent="0.35">
      <c r="B17" s="54"/>
      <c r="C17" s="55"/>
      <c r="D17" s="52"/>
      <c r="E17" s="52"/>
      <c r="F17" s="52"/>
      <c r="G17" s="6"/>
      <c r="H17" s="6"/>
      <c r="I17" s="11"/>
      <c r="J17" s="6"/>
      <c r="K17" s="8"/>
      <c r="L17" s="11"/>
      <c r="M17" s="6"/>
      <c r="N17" s="8"/>
      <c r="O17" s="11"/>
      <c r="P17" s="6"/>
      <c r="Q17" s="8"/>
      <c r="R17" s="9">
        <f t="shared" si="1"/>
        <v>0</v>
      </c>
      <c r="S17" s="6">
        <f t="shared" si="0"/>
        <v>0</v>
      </c>
    </row>
    <row r="18" spans="2:19" ht="18.75" hidden="1" customHeight="1" x14ac:dyDescent="0.35">
      <c r="B18" s="54"/>
      <c r="C18" s="55"/>
      <c r="D18" s="52"/>
      <c r="E18" s="52"/>
      <c r="F18" s="52"/>
      <c r="G18" s="6"/>
      <c r="H18" s="6"/>
      <c r="I18" s="11"/>
      <c r="J18" s="6"/>
      <c r="K18" s="8"/>
      <c r="L18" s="11"/>
      <c r="M18" s="6"/>
      <c r="N18" s="8"/>
      <c r="O18" s="11"/>
      <c r="P18" s="6"/>
      <c r="Q18" s="8"/>
      <c r="R18" s="9">
        <f t="shared" si="1"/>
        <v>0</v>
      </c>
      <c r="S18" s="6">
        <f t="shared" si="0"/>
        <v>0</v>
      </c>
    </row>
    <row r="19" spans="2:19" ht="18.75" hidden="1" customHeight="1" x14ac:dyDescent="0.35">
      <c r="B19" s="6"/>
      <c r="C19" s="6" t="s">
        <v>33</v>
      </c>
      <c r="D19" s="6" t="s">
        <v>47</v>
      </c>
      <c r="E19" s="6">
        <v>1792</v>
      </c>
      <c r="F19" s="6">
        <v>230</v>
      </c>
      <c r="G19" s="6" t="s">
        <v>27</v>
      </c>
      <c r="H19" s="6" t="s">
        <v>41</v>
      </c>
      <c r="I19" s="11"/>
      <c r="J19" s="6"/>
      <c r="K19" s="8"/>
      <c r="L19" s="11"/>
      <c r="M19" s="6"/>
      <c r="N19" s="8"/>
      <c r="O19" s="11"/>
      <c r="P19" s="6"/>
      <c r="Q19" s="8"/>
      <c r="R19" s="9">
        <f t="shared" si="1"/>
        <v>0</v>
      </c>
      <c r="S19" s="6">
        <f t="shared" si="0"/>
        <v>0</v>
      </c>
    </row>
    <row r="20" spans="2:19" ht="18" hidden="1" x14ac:dyDescent="0.35">
      <c r="B20" s="54"/>
      <c r="C20" s="55" t="s">
        <v>33</v>
      </c>
      <c r="D20" s="6" t="s">
        <v>23</v>
      </c>
      <c r="E20" s="6">
        <v>86292</v>
      </c>
      <c r="F20" s="6">
        <v>914.4</v>
      </c>
      <c r="G20" s="6" t="s">
        <v>89</v>
      </c>
      <c r="H20" s="6" t="s">
        <v>65</v>
      </c>
      <c r="I20" s="11"/>
      <c r="J20" s="6"/>
      <c r="K20" s="8"/>
      <c r="L20" s="11"/>
      <c r="M20" s="6"/>
      <c r="N20" s="8"/>
      <c r="O20" s="11"/>
      <c r="P20" s="6"/>
      <c r="Q20" s="8"/>
      <c r="R20" s="9">
        <f t="shared" si="1"/>
        <v>0</v>
      </c>
      <c r="S20" s="6">
        <f t="shared" si="0"/>
        <v>0</v>
      </c>
    </row>
    <row r="21" spans="2:19" ht="18" hidden="1" x14ac:dyDescent="0.35">
      <c r="B21" s="54"/>
      <c r="C21" s="55"/>
      <c r="D21" s="6" t="s">
        <v>23</v>
      </c>
      <c r="E21" s="6">
        <v>86292</v>
      </c>
      <c r="F21" s="6">
        <v>914.4</v>
      </c>
      <c r="G21" s="6" t="s">
        <v>80</v>
      </c>
      <c r="H21" s="6" t="s">
        <v>65</v>
      </c>
      <c r="I21" s="11"/>
      <c r="J21" s="6"/>
      <c r="K21" s="8"/>
      <c r="L21" s="11"/>
      <c r="M21" s="6"/>
      <c r="N21" s="8"/>
      <c r="O21" s="11"/>
      <c r="P21" s="6"/>
      <c r="Q21" s="8"/>
      <c r="R21" s="9">
        <f t="shared" si="1"/>
        <v>0</v>
      </c>
      <c r="S21" s="6">
        <f t="shared" si="0"/>
        <v>0</v>
      </c>
    </row>
    <row r="22" spans="2:19" ht="18.75" hidden="1" customHeight="1" x14ac:dyDescent="0.35">
      <c r="B22" s="6"/>
      <c r="C22" s="7" t="s">
        <v>33</v>
      </c>
      <c r="D22" s="6" t="s">
        <v>47</v>
      </c>
      <c r="E22" s="6">
        <v>1792</v>
      </c>
      <c r="F22" s="6">
        <v>230</v>
      </c>
      <c r="G22" s="6" t="s">
        <v>27</v>
      </c>
      <c r="H22" s="6" t="s">
        <v>41</v>
      </c>
      <c r="I22" s="11"/>
      <c r="J22" s="6"/>
      <c r="K22" s="8"/>
      <c r="L22" s="11"/>
      <c r="M22" s="6"/>
      <c r="N22" s="8"/>
      <c r="O22" s="11"/>
      <c r="P22" s="6"/>
      <c r="Q22" s="8"/>
      <c r="R22" s="9">
        <f t="shared" si="1"/>
        <v>0</v>
      </c>
      <c r="S22" s="6">
        <f t="shared" si="0"/>
        <v>0</v>
      </c>
    </row>
    <row r="23" spans="2:19" ht="18" x14ac:dyDescent="0.35">
      <c r="B23" s="6">
        <v>9</v>
      </c>
      <c r="C23" s="7" t="s">
        <v>31</v>
      </c>
      <c r="D23" s="6" t="s">
        <v>47</v>
      </c>
      <c r="E23" s="6">
        <v>1800</v>
      </c>
      <c r="F23" s="6">
        <v>266</v>
      </c>
      <c r="G23" s="6" t="s">
        <v>27</v>
      </c>
      <c r="H23" s="6" t="s">
        <v>41</v>
      </c>
      <c r="I23" s="11">
        <v>23</v>
      </c>
      <c r="J23" s="6">
        <v>23</v>
      </c>
      <c r="K23" s="8" t="s">
        <v>44</v>
      </c>
      <c r="L23" s="11">
        <v>0</v>
      </c>
      <c r="M23" s="6">
        <v>0</v>
      </c>
      <c r="N23" s="8"/>
      <c r="O23" s="11">
        <v>0</v>
      </c>
      <c r="P23" s="6">
        <v>0</v>
      </c>
      <c r="Q23" s="8"/>
      <c r="R23" s="9">
        <f t="shared" si="1"/>
        <v>23</v>
      </c>
      <c r="S23" s="6">
        <f t="shared" si="0"/>
        <v>23</v>
      </c>
    </row>
    <row r="24" spans="2:19" ht="18" x14ac:dyDescent="0.35">
      <c r="B24" s="6"/>
      <c r="C24" s="7" t="s">
        <v>31</v>
      </c>
      <c r="D24" s="6" t="s">
        <v>47</v>
      </c>
      <c r="E24" s="6">
        <v>1800</v>
      </c>
      <c r="F24" s="6">
        <v>200</v>
      </c>
      <c r="G24" s="6" t="s">
        <v>27</v>
      </c>
      <c r="H24" s="6" t="s">
        <v>41</v>
      </c>
      <c r="I24" s="11">
        <v>29</v>
      </c>
      <c r="J24" s="6">
        <v>29</v>
      </c>
      <c r="K24" s="8" t="s">
        <v>86</v>
      </c>
      <c r="L24" s="11">
        <v>0</v>
      </c>
      <c r="M24" s="6">
        <v>0</v>
      </c>
      <c r="N24" s="8" t="s">
        <v>57</v>
      </c>
      <c r="O24" s="11">
        <v>110</v>
      </c>
      <c r="P24" s="6">
        <v>110</v>
      </c>
      <c r="Q24" s="8"/>
      <c r="R24" s="9"/>
      <c r="S24" s="6"/>
    </row>
    <row r="25" spans="2:19" ht="18" x14ac:dyDescent="0.35">
      <c r="B25" s="6">
        <v>10</v>
      </c>
      <c r="C25" s="7" t="s">
        <v>33</v>
      </c>
      <c r="D25" s="6" t="s">
        <v>47</v>
      </c>
      <c r="E25" s="6">
        <v>1755</v>
      </c>
      <c r="F25" s="6">
        <v>5000</v>
      </c>
      <c r="G25" s="6" t="s">
        <v>170</v>
      </c>
      <c r="H25" s="6" t="s">
        <v>171</v>
      </c>
      <c r="I25" s="11">
        <v>30</v>
      </c>
      <c r="J25" s="6">
        <v>30</v>
      </c>
      <c r="K25" s="8"/>
      <c r="L25" s="11">
        <v>11</v>
      </c>
      <c r="M25" s="6">
        <v>11</v>
      </c>
      <c r="N25" s="8"/>
      <c r="O25" s="11">
        <v>0</v>
      </c>
      <c r="P25" s="6">
        <v>0</v>
      </c>
      <c r="Q25" s="8"/>
      <c r="R25" s="9">
        <f t="shared" si="1"/>
        <v>41</v>
      </c>
      <c r="S25" s="6">
        <f t="shared" si="0"/>
        <v>41</v>
      </c>
    </row>
    <row r="26" spans="2:19" ht="18" x14ac:dyDescent="0.35">
      <c r="B26" s="6">
        <v>11</v>
      </c>
      <c r="C26" s="7" t="s">
        <v>33</v>
      </c>
      <c r="D26" s="6" t="s">
        <v>47</v>
      </c>
      <c r="E26" s="6">
        <v>2465</v>
      </c>
      <c r="F26" s="6">
        <v>2500</v>
      </c>
      <c r="G26" s="6" t="s">
        <v>49</v>
      </c>
      <c r="H26" s="6" t="s">
        <v>171</v>
      </c>
      <c r="I26" s="11"/>
      <c r="J26" s="6"/>
      <c r="K26" s="8"/>
      <c r="L26" s="11">
        <v>23</v>
      </c>
      <c r="M26" s="6">
        <v>23</v>
      </c>
      <c r="N26" s="8" t="s">
        <v>44</v>
      </c>
      <c r="O26" s="11">
        <v>44</v>
      </c>
      <c r="P26" s="6">
        <v>40</v>
      </c>
      <c r="Q26" s="8" t="s">
        <v>180</v>
      </c>
      <c r="R26" s="9"/>
      <c r="S26" s="6"/>
    </row>
    <row r="27" spans="2:19" ht="18" x14ac:dyDescent="0.3">
      <c r="B27" s="6">
        <v>12</v>
      </c>
      <c r="C27" s="7" t="s">
        <v>34</v>
      </c>
      <c r="D27" s="6" t="s">
        <v>64</v>
      </c>
      <c r="E27" s="6">
        <v>90129</v>
      </c>
      <c r="F27" s="6">
        <v>2540</v>
      </c>
      <c r="G27" s="6" t="s">
        <v>49</v>
      </c>
      <c r="H27" s="6" t="s">
        <v>37</v>
      </c>
      <c r="I27" s="6">
        <v>110</v>
      </c>
      <c r="J27" s="6">
        <v>84</v>
      </c>
      <c r="K27" s="8" t="s">
        <v>174</v>
      </c>
      <c r="L27" s="6">
        <v>110</v>
      </c>
      <c r="M27" s="6">
        <v>91</v>
      </c>
      <c r="N27" s="8" t="s">
        <v>176</v>
      </c>
      <c r="O27" s="6">
        <v>110</v>
      </c>
      <c r="P27" s="6">
        <v>10</v>
      </c>
      <c r="Q27" s="8" t="s">
        <v>181</v>
      </c>
      <c r="R27" s="9">
        <f t="shared" si="1"/>
        <v>330</v>
      </c>
      <c r="S27" s="6">
        <f t="shared" si="0"/>
        <v>185</v>
      </c>
    </row>
    <row r="28" spans="2:19" ht="18" x14ac:dyDescent="0.35">
      <c r="B28" s="6">
        <v>13</v>
      </c>
      <c r="C28" s="7" t="s">
        <v>35</v>
      </c>
      <c r="D28" s="6" t="s">
        <v>19</v>
      </c>
      <c r="E28" s="6">
        <v>2122</v>
      </c>
      <c r="F28" s="6">
        <v>796.5</v>
      </c>
      <c r="G28" s="6" t="s">
        <v>138</v>
      </c>
      <c r="H28" s="6" t="s">
        <v>37</v>
      </c>
      <c r="I28" s="11">
        <v>73</v>
      </c>
      <c r="J28" s="6">
        <v>73</v>
      </c>
      <c r="K28" s="8"/>
      <c r="L28" s="6">
        <v>0</v>
      </c>
      <c r="M28" s="6">
        <v>0</v>
      </c>
      <c r="N28" s="8"/>
      <c r="O28" s="11">
        <v>73</v>
      </c>
      <c r="P28" s="6">
        <v>73</v>
      </c>
      <c r="Q28" s="8"/>
      <c r="R28" s="9">
        <f t="shared" si="1"/>
        <v>146</v>
      </c>
      <c r="S28" s="6">
        <f t="shared" si="0"/>
        <v>146</v>
      </c>
    </row>
    <row r="29" spans="2:19" ht="18" x14ac:dyDescent="0.35">
      <c r="B29" s="6">
        <v>14</v>
      </c>
      <c r="C29" s="7" t="s">
        <v>35</v>
      </c>
      <c r="D29" s="6" t="s">
        <v>19</v>
      </c>
      <c r="E29" s="6">
        <v>2122</v>
      </c>
      <c r="F29" s="6">
        <v>796.5</v>
      </c>
      <c r="G29" s="6" t="s">
        <v>138</v>
      </c>
      <c r="H29" s="6" t="s">
        <v>41</v>
      </c>
      <c r="I29" s="11"/>
      <c r="J29" s="6"/>
      <c r="K29" s="8"/>
      <c r="L29" s="6">
        <v>146</v>
      </c>
      <c r="M29" s="6">
        <v>146</v>
      </c>
      <c r="N29" s="8"/>
      <c r="O29" s="11">
        <v>73</v>
      </c>
      <c r="P29" s="6">
        <v>73</v>
      </c>
      <c r="Q29" s="8"/>
      <c r="R29" s="9">
        <f t="shared" ref="R29" si="2">I29+L29+O29</f>
        <v>219</v>
      </c>
      <c r="S29" s="6">
        <f t="shared" ref="S29" si="3">J29+M29+P29</f>
        <v>219</v>
      </c>
    </row>
    <row r="39" spans="11:11" x14ac:dyDescent="0.3">
      <c r="K39" t="s">
        <v>50</v>
      </c>
    </row>
  </sheetData>
  <mergeCells count="16">
    <mergeCell ref="B20:B21"/>
    <mergeCell ref="C20:C21"/>
    <mergeCell ref="C14:C15"/>
    <mergeCell ref="B16:B18"/>
    <mergeCell ref="C16:C18"/>
    <mergeCell ref="D16:D18"/>
    <mergeCell ref="E16:E18"/>
    <mergeCell ref="F16:F18"/>
    <mergeCell ref="B2:N2"/>
    <mergeCell ref="R2:S2"/>
    <mergeCell ref="I3:K3"/>
    <mergeCell ref="L3:N3"/>
    <mergeCell ref="O3:Q3"/>
    <mergeCell ref="C6:C7"/>
    <mergeCell ref="C9:C10"/>
    <mergeCell ref="D9:D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4:W38"/>
  <sheetViews>
    <sheetView zoomScale="70" zoomScaleNormal="70" workbookViewId="0">
      <selection activeCell="F7" sqref="F7:W38"/>
    </sheetView>
  </sheetViews>
  <sheetFormatPr defaultRowHeight="14.4" x14ac:dyDescent="0.3"/>
  <cols>
    <col min="4" max="4" width="14.44140625" customWidth="1"/>
    <col min="5" max="5" width="5.33203125" customWidth="1"/>
    <col min="7" max="7" width="13.109375" customWidth="1"/>
    <col min="8" max="8" width="17.109375" customWidth="1"/>
    <col min="9" max="9" width="11.44140625" customWidth="1"/>
    <col min="10" max="10" width="9.88671875" customWidth="1"/>
    <col min="11" max="11" width="18.44140625" customWidth="1"/>
    <col min="12" max="12" width="28.6640625" customWidth="1"/>
    <col min="15" max="15" width="22.88671875" customWidth="1"/>
    <col min="18" max="18" width="31.109375" customWidth="1"/>
    <col min="20" max="20" width="11.109375" customWidth="1"/>
    <col min="21" max="21" width="28" customWidth="1"/>
    <col min="24" max="24" width="4.88671875" customWidth="1"/>
  </cols>
  <sheetData>
    <row r="4" spans="3:23" ht="18" x14ac:dyDescent="0.3">
      <c r="C4" s="9"/>
      <c r="D4" s="6"/>
    </row>
    <row r="5" spans="3:23" ht="18" x14ac:dyDescent="0.3">
      <c r="C5" s="9"/>
      <c r="D5" s="6"/>
    </row>
    <row r="7" spans="3:23" ht="18" x14ac:dyDescent="0.35">
      <c r="F7" s="44" t="s">
        <v>0</v>
      </c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6"/>
      <c r="S7" s="1" t="s">
        <v>1</v>
      </c>
      <c r="T7" s="2" t="s">
        <v>182</v>
      </c>
      <c r="U7" s="1" t="s">
        <v>2</v>
      </c>
      <c r="V7" s="47"/>
      <c r="W7" s="48"/>
    </row>
    <row r="8" spans="3:23" ht="36" x14ac:dyDescent="0.3">
      <c r="F8" s="3" t="s">
        <v>3</v>
      </c>
      <c r="G8" s="4" t="s">
        <v>4</v>
      </c>
      <c r="H8" s="4" t="s">
        <v>5</v>
      </c>
      <c r="I8" s="5" t="s">
        <v>6</v>
      </c>
      <c r="J8" s="4" t="s">
        <v>7</v>
      </c>
      <c r="K8" s="4" t="s">
        <v>8</v>
      </c>
      <c r="L8" s="5"/>
      <c r="M8" s="49" t="s">
        <v>9</v>
      </c>
      <c r="N8" s="50"/>
      <c r="O8" s="51"/>
      <c r="P8" s="49" t="s">
        <v>10</v>
      </c>
      <c r="Q8" s="50"/>
      <c r="R8" s="51"/>
      <c r="S8" s="49" t="s">
        <v>11</v>
      </c>
      <c r="T8" s="50"/>
      <c r="U8" s="51"/>
      <c r="V8" s="4" t="s">
        <v>12</v>
      </c>
      <c r="W8" s="4" t="s">
        <v>13</v>
      </c>
    </row>
    <row r="9" spans="3:23" ht="18" x14ac:dyDescent="0.3">
      <c r="F9" s="3"/>
      <c r="G9" s="4"/>
      <c r="H9" s="4"/>
      <c r="I9" s="5"/>
      <c r="J9" s="4"/>
      <c r="K9" s="4"/>
      <c r="L9" s="5" t="s">
        <v>14</v>
      </c>
      <c r="M9" s="5" t="s">
        <v>15</v>
      </c>
      <c r="N9" s="5" t="s">
        <v>16</v>
      </c>
      <c r="O9" s="5" t="s">
        <v>17</v>
      </c>
      <c r="P9" s="5" t="s">
        <v>15</v>
      </c>
      <c r="Q9" s="5" t="s">
        <v>16</v>
      </c>
      <c r="R9" s="5" t="s">
        <v>17</v>
      </c>
      <c r="S9" s="5" t="s">
        <v>15</v>
      </c>
      <c r="T9" s="5" t="s">
        <v>16</v>
      </c>
      <c r="U9" s="5" t="s">
        <v>17</v>
      </c>
      <c r="V9" s="6"/>
      <c r="W9" s="6"/>
    </row>
    <row r="10" spans="3:23" ht="18" x14ac:dyDescent="0.3">
      <c r="F10" s="6">
        <v>1</v>
      </c>
      <c r="G10" s="7" t="s">
        <v>18</v>
      </c>
      <c r="H10" s="6" t="s">
        <v>19</v>
      </c>
      <c r="I10" s="6">
        <v>2191</v>
      </c>
      <c r="J10" s="6">
        <v>489.7</v>
      </c>
      <c r="K10" s="6" t="s">
        <v>20</v>
      </c>
      <c r="L10" s="6" t="s">
        <v>37</v>
      </c>
      <c r="M10" s="6"/>
      <c r="N10" s="6"/>
      <c r="O10" s="8"/>
      <c r="P10" s="6"/>
      <c r="Q10" s="6"/>
      <c r="R10" s="8"/>
      <c r="S10" s="6">
        <v>73</v>
      </c>
      <c r="T10" s="6">
        <v>73</v>
      </c>
      <c r="U10" s="8"/>
      <c r="V10" s="9">
        <f>M10+P10+S10</f>
        <v>73</v>
      </c>
      <c r="W10" s="6">
        <f t="shared" ref="W10:W38" si="0">N10+Q10+T10</f>
        <v>73</v>
      </c>
    </row>
    <row r="11" spans="3:23" ht="18" hidden="1" x14ac:dyDescent="0.35">
      <c r="F11" s="6">
        <v>2</v>
      </c>
      <c r="G11" s="42" t="s">
        <v>21</v>
      </c>
      <c r="H11" s="6" t="s">
        <v>23</v>
      </c>
      <c r="I11" s="6">
        <v>86292</v>
      </c>
      <c r="J11" s="6">
        <v>914.4</v>
      </c>
      <c r="K11" s="6" t="s">
        <v>89</v>
      </c>
      <c r="L11" s="6" t="s">
        <v>65</v>
      </c>
      <c r="M11" s="11"/>
      <c r="N11" s="6"/>
      <c r="O11" s="8"/>
      <c r="P11" s="6"/>
      <c r="Q11" s="6"/>
      <c r="R11" s="8"/>
      <c r="S11" s="6"/>
      <c r="T11" s="6"/>
      <c r="U11" s="8"/>
      <c r="V11" s="9">
        <f t="shared" ref="V11:V14" si="1">M11+P11+S11</f>
        <v>0</v>
      </c>
      <c r="W11" s="6">
        <f t="shared" si="0"/>
        <v>0</v>
      </c>
    </row>
    <row r="12" spans="3:23" ht="18" hidden="1" x14ac:dyDescent="0.35">
      <c r="F12" s="6">
        <v>3</v>
      </c>
      <c r="G12" s="43"/>
      <c r="H12" s="6" t="s">
        <v>23</v>
      </c>
      <c r="I12" s="6">
        <v>86292</v>
      </c>
      <c r="J12" s="6">
        <v>914.4</v>
      </c>
      <c r="K12" s="6" t="s">
        <v>80</v>
      </c>
      <c r="L12" s="6" t="s">
        <v>65</v>
      </c>
      <c r="M12" s="11"/>
      <c r="N12" s="6"/>
      <c r="O12" s="8"/>
      <c r="P12" s="6"/>
      <c r="Q12" s="6"/>
      <c r="R12" s="8"/>
      <c r="S12" s="6"/>
      <c r="T12" s="6"/>
      <c r="U12" s="8"/>
      <c r="V12" s="9">
        <f t="shared" si="1"/>
        <v>0</v>
      </c>
      <c r="W12" s="6">
        <f t="shared" si="0"/>
        <v>0</v>
      </c>
    </row>
    <row r="13" spans="3:23" ht="18" hidden="1" x14ac:dyDescent="0.35">
      <c r="F13" s="6"/>
      <c r="G13" s="17"/>
      <c r="H13" s="6"/>
      <c r="I13" s="6"/>
      <c r="J13" s="6"/>
      <c r="K13" s="6"/>
      <c r="L13" s="6"/>
      <c r="M13" s="11"/>
      <c r="N13" s="6"/>
      <c r="O13" s="8"/>
      <c r="P13" s="6"/>
      <c r="Q13" s="6"/>
      <c r="R13" s="8"/>
      <c r="S13" s="6"/>
      <c r="T13" s="6"/>
      <c r="U13" s="8"/>
      <c r="V13" s="9">
        <f t="shared" si="1"/>
        <v>0</v>
      </c>
      <c r="W13" s="6">
        <f t="shared" si="0"/>
        <v>0</v>
      </c>
    </row>
    <row r="14" spans="3:23" ht="18" x14ac:dyDescent="0.35">
      <c r="F14" s="6">
        <v>2</v>
      </c>
      <c r="G14" s="42" t="s">
        <v>167</v>
      </c>
      <c r="H14" s="40" t="s">
        <v>183</v>
      </c>
      <c r="I14" s="6">
        <v>86292</v>
      </c>
      <c r="J14" s="6">
        <v>914.14</v>
      </c>
      <c r="K14" s="6" t="s">
        <v>184</v>
      </c>
      <c r="L14" s="6" t="s">
        <v>129</v>
      </c>
      <c r="M14" s="11"/>
      <c r="N14" s="6"/>
      <c r="O14" s="8"/>
      <c r="P14" s="6"/>
      <c r="Q14" s="6"/>
      <c r="R14" s="8"/>
      <c r="S14" s="6">
        <v>46</v>
      </c>
      <c r="T14" s="6">
        <v>46</v>
      </c>
      <c r="U14" s="8"/>
      <c r="V14" s="9">
        <f t="shared" si="1"/>
        <v>46</v>
      </c>
      <c r="W14" s="6">
        <f t="shared" si="0"/>
        <v>46</v>
      </c>
    </row>
    <row r="15" spans="3:23" ht="18" hidden="1" x14ac:dyDescent="0.35">
      <c r="F15" s="6"/>
      <c r="G15" s="43"/>
      <c r="H15" s="41"/>
      <c r="I15" s="6"/>
      <c r="J15" s="6"/>
      <c r="K15" s="6"/>
      <c r="L15" s="6"/>
      <c r="M15" s="11"/>
      <c r="N15" s="6"/>
      <c r="O15" s="8"/>
      <c r="P15" s="6"/>
      <c r="Q15" s="6"/>
      <c r="R15" s="8"/>
      <c r="S15" s="6"/>
      <c r="T15" s="6"/>
      <c r="U15" s="8"/>
      <c r="V15" s="9"/>
      <c r="W15" s="6"/>
    </row>
    <row r="16" spans="3:23" ht="18" x14ac:dyDescent="0.3">
      <c r="F16" s="6">
        <v>3</v>
      </c>
      <c r="G16" s="17" t="s">
        <v>77</v>
      </c>
      <c r="H16" s="6" t="s">
        <v>19</v>
      </c>
      <c r="I16" s="10">
        <v>2123</v>
      </c>
      <c r="J16" s="6">
        <v>428.75</v>
      </c>
      <c r="K16" s="6" t="s">
        <v>24</v>
      </c>
      <c r="L16" s="6" t="s">
        <v>104</v>
      </c>
      <c r="M16" s="6"/>
      <c r="N16" s="6"/>
      <c r="O16" s="8"/>
      <c r="P16" s="6"/>
      <c r="Q16" s="6"/>
      <c r="R16" s="8"/>
      <c r="S16" s="6">
        <v>10</v>
      </c>
      <c r="T16" s="6">
        <v>10</v>
      </c>
      <c r="U16" s="8" t="s">
        <v>185</v>
      </c>
      <c r="V16" s="9">
        <f t="shared" ref="V16:V38" si="2">M16+P16+S16</f>
        <v>10</v>
      </c>
      <c r="W16" s="6">
        <f t="shared" si="0"/>
        <v>10</v>
      </c>
    </row>
    <row r="17" spans="6:23" ht="18" hidden="1" x14ac:dyDescent="0.3">
      <c r="F17" s="6"/>
      <c r="G17" s="17"/>
      <c r="H17" s="6"/>
      <c r="I17" s="10"/>
      <c r="J17" s="6"/>
      <c r="K17" s="6"/>
      <c r="L17" s="6"/>
      <c r="M17" s="6"/>
      <c r="N17" s="6"/>
      <c r="O17" s="8"/>
      <c r="P17" s="6"/>
      <c r="Q17" s="6"/>
      <c r="R17" s="8"/>
      <c r="S17" s="6"/>
      <c r="T17" s="6"/>
      <c r="U17" s="8"/>
      <c r="V17" s="9"/>
      <c r="W17" s="6"/>
    </row>
    <row r="18" spans="6:23" ht="18" hidden="1" x14ac:dyDescent="0.3">
      <c r="F18" s="6"/>
      <c r="G18" s="17"/>
      <c r="H18" s="6"/>
      <c r="I18" s="10"/>
      <c r="J18" s="6"/>
      <c r="K18" s="6"/>
      <c r="L18" s="6"/>
      <c r="M18" s="6"/>
      <c r="N18" s="6"/>
      <c r="O18" s="8"/>
      <c r="P18" s="6"/>
      <c r="Q18" s="6"/>
      <c r="R18" s="8"/>
      <c r="S18" s="6"/>
      <c r="T18" s="6"/>
      <c r="U18" s="8"/>
      <c r="V18" s="9"/>
      <c r="W18" s="6"/>
    </row>
    <row r="19" spans="6:23" ht="18" x14ac:dyDescent="0.3">
      <c r="F19" s="6">
        <v>4</v>
      </c>
      <c r="G19" s="7" t="s">
        <v>25</v>
      </c>
      <c r="H19" s="6" t="s">
        <v>164</v>
      </c>
      <c r="I19" s="10">
        <v>83831</v>
      </c>
      <c r="J19" s="6">
        <v>899</v>
      </c>
      <c r="K19" s="6" t="s">
        <v>27</v>
      </c>
      <c r="L19" s="6" t="s">
        <v>40</v>
      </c>
      <c r="M19" s="6"/>
      <c r="N19" s="6"/>
      <c r="O19" s="8"/>
      <c r="P19" s="6"/>
      <c r="Q19" s="6"/>
      <c r="R19" s="8"/>
      <c r="S19" s="6">
        <v>110</v>
      </c>
      <c r="T19" s="6">
        <v>110</v>
      </c>
      <c r="U19" s="8"/>
      <c r="V19" s="9">
        <f t="shared" si="2"/>
        <v>110</v>
      </c>
      <c r="W19" s="6">
        <f t="shared" si="0"/>
        <v>110</v>
      </c>
    </row>
    <row r="20" spans="6:23" ht="18.75" hidden="1" customHeight="1" x14ac:dyDescent="0.3">
      <c r="F20" s="6">
        <v>7</v>
      </c>
      <c r="G20" s="7" t="s">
        <v>28</v>
      </c>
      <c r="H20" s="6" t="s">
        <v>19</v>
      </c>
      <c r="I20" s="10">
        <v>2123</v>
      </c>
      <c r="J20" s="6">
        <v>428.75</v>
      </c>
      <c r="K20" s="6" t="s">
        <v>24</v>
      </c>
      <c r="L20" s="6" t="s">
        <v>104</v>
      </c>
      <c r="M20" s="6"/>
      <c r="N20" s="6"/>
      <c r="O20" s="8"/>
      <c r="P20" s="6"/>
      <c r="Q20" s="6"/>
      <c r="R20" s="8"/>
      <c r="S20" s="6"/>
      <c r="T20" s="6"/>
      <c r="U20" s="8"/>
      <c r="V20" s="9">
        <f t="shared" si="2"/>
        <v>0</v>
      </c>
      <c r="W20" s="6">
        <f t="shared" si="0"/>
        <v>0</v>
      </c>
    </row>
    <row r="21" spans="6:23" ht="18.75" hidden="1" customHeight="1" x14ac:dyDescent="0.3">
      <c r="F21" s="6">
        <v>7</v>
      </c>
      <c r="G21" s="7" t="s">
        <v>28</v>
      </c>
      <c r="H21" s="6" t="s">
        <v>19</v>
      </c>
      <c r="I21" s="10">
        <v>2123</v>
      </c>
      <c r="J21" s="6">
        <v>428.75</v>
      </c>
      <c r="K21" s="6" t="s">
        <v>24</v>
      </c>
      <c r="L21" s="6" t="s">
        <v>104</v>
      </c>
      <c r="M21" s="6"/>
      <c r="N21" s="6"/>
      <c r="O21" s="8"/>
      <c r="P21" s="6"/>
      <c r="Q21" s="6"/>
      <c r="R21" s="8"/>
      <c r="S21" s="6"/>
      <c r="T21" s="6"/>
      <c r="U21" s="8"/>
      <c r="V21" s="9">
        <f t="shared" si="2"/>
        <v>0</v>
      </c>
      <c r="W21" s="6">
        <f t="shared" si="0"/>
        <v>0</v>
      </c>
    </row>
    <row r="22" spans="6:23" ht="18.75" customHeight="1" x14ac:dyDescent="0.3">
      <c r="F22" s="6">
        <v>5</v>
      </c>
      <c r="G22" s="7" t="s">
        <v>28</v>
      </c>
      <c r="H22" s="6" t="s">
        <v>19</v>
      </c>
      <c r="I22" s="10">
        <v>2123</v>
      </c>
      <c r="J22" s="6">
        <v>428.75</v>
      </c>
      <c r="K22" s="6" t="s">
        <v>24</v>
      </c>
      <c r="L22" s="6" t="s">
        <v>104</v>
      </c>
      <c r="M22" s="6"/>
      <c r="N22" s="6"/>
      <c r="O22" s="8"/>
      <c r="P22" s="6"/>
      <c r="Q22" s="6"/>
      <c r="R22" s="8"/>
      <c r="S22" s="6">
        <v>24</v>
      </c>
      <c r="T22" s="6">
        <v>24</v>
      </c>
      <c r="U22" s="8"/>
      <c r="V22" s="9">
        <f t="shared" si="2"/>
        <v>24</v>
      </c>
      <c r="W22" s="6">
        <f t="shared" si="0"/>
        <v>24</v>
      </c>
    </row>
    <row r="23" spans="6:23" ht="18" hidden="1" x14ac:dyDescent="0.3">
      <c r="F23" s="6">
        <v>8</v>
      </c>
      <c r="G23" s="7" t="s">
        <v>28</v>
      </c>
      <c r="H23" s="6" t="s">
        <v>19</v>
      </c>
      <c r="I23" s="10">
        <v>2123</v>
      </c>
      <c r="J23" s="6">
        <v>428.75</v>
      </c>
      <c r="K23" s="6" t="s">
        <v>24</v>
      </c>
      <c r="L23" s="6" t="s">
        <v>104</v>
      </c>
      <c r="M23" s="6"/>
      <c r="N23" s="6"/>
      <c r="O23" s="8"/>
      <c r="P23" s="6"/>
      <c r="Q23" s="6"/>
      <c r="R23" s="8"/>
      <c r="S23" s="6"/>
      <c r="T23" s="6"/>
      <c r="U23" s="8"/>
      <c r="V23" s="9">
        <f t="shared" si="2"/>
        <v>0</v>
      </c>
      <c r="W23" s="6">
        <f t="shared" si="0"/>
        <v>0</v>
      </c>
    </row>
    <row r="24" spans="6:23" ht="18.75" hidden="1" customHeight="1" x14ac:dyDescent="0.35">
      <c r="F24" s="54"/>
      <c r="G24" s="7"/>
      <c r="H24" s="52"/>
      <c r="I24" s="52"/>
      <c r="J24" s="52"/>
      <c r="K24" s="6"/>
      <c r="L24" s="6"/>
      <c r="M24" s="11"/>
      <c r="N24" s="6"/>
      <c r="O24" s="8"/>
      <c r="P24" s="11"/>
      <c r="Q24" s="6"/>
      <c r="R24" s="8"/>
      <c r="S24" s="11"/>
      <c r="T24" s="6"/>
      <c r="U24" s="8"/>
      <c r="V24" s="9">
        <f t="shared" si="2"/>
        <v>0</v>
      </c>
      <c r="W24" s="6">
        <f t="shared" si="0"/>
        <v>0</v>
      </c>
    </row>
    <row r="25" spans="6:23" ht="18.75" hidden="1" customHeight="1" x14ac:dyDescent="0.35">
      <c r="F25" s="54"/>
      <c r="G25" s="7"/>
      <c r="H25" s="52"/>
      <c r="I25" s="52"/>
      <c r="J25" s="52"/>
      <c r="K25" s="6"/>
      <c r="L25" s="6"/>
      <c r="M25" s="11"/>
      <c r="N25" s="6"/>
      <c r="O25" s="8"/>
      <c r="P25" s="11"/>
      <c r="Q25" s="6"/>
      <c r="R25" s="8"/>
      <c r="S25" s="11"/>
      <c r="T25" s="6"/>
      <c r="U25" s="8"/>
      <c r="V25" s="9">
        <f t="shared" si="2"/>
        <v>0</v>
      </c>
      <c r="W25" s="6">
        <f t="shared" si="0"/>
        <v>0</v>
      </c>
    </row>
    <row r="26" spans="6:23" ht="18" hidden="1" x14ac:dyDescent="0.35">
      <c r="F26" s="54"/>
      <c r="G26" s="7"/>
      <c r="H26" s="52"/>
      <c r="I26" s="52"/>
      <c r="J26" s="52"/>
      <c r="K26" s="6"/>
      <c r="L26" s="6"/>
      <c r="M26" s="11"/>
      <c r="N26" s="6"/>
      <c r="O26" s="8"/>
      <c r="P26" s="11"/>
      <c r="Q26" s="6"/>
      <c r="R26" s="8"/>
      <c r="S26" s="11"/>
      <c r="T26" s="6"/>
      <c r="U26" s="8"/>
      <c r="V26" s="9">
        <f t="shared" si="2"/>
        <v>0</v>
      </c>
      <c r="W26" s="6">
        <f t="shared" si="0"/>
        <v>0</v>
      </c>
    </row>
    <row r="27" spans="6:23" ht="18" hidden="1" x14ac:dyDescent="0.35">
      <c r="F27" s="6"/>
      <c r="G27" s="6" t="s">
        <v>33</v>
      </c>
      <c r="H27" s="6" t="s">
        <v>47</v>
      </c>
      <c r="I27" s="6">
        <v>1792</v>
      </c>
      <c r="J27" s="6">
        <v>230</v>
      </c>
      <c r="K27" s="6" t="s">
        <v>27</v>
      </c>
      <c r="L27" s="6" t="s">
        <v>41</v>
      </c>
      <c r="M27" s="11"/>
      <c r="N27" s="6"/>
      <c r="O27" s="8"/>
      <c r="P27" s="11"/>
      <c r="Q27" s="6"/>
      <c r="R27" s="8"/>
      <c r="S27" s="11"/>
      <c r="T27" s="6"/>
      <c r="U27" s="8"/>
      <c r="V27" s="9">
        <f t="shared" si="2"/>
        <v>0</v>
      </c>
      <c r="W27" s="6">
        <f t="shared" si="0"/>
        <v>0</v>
      </c>
    </row>
    <row r="28" spans="6:23" ht="18" hidden="1" x14ac:dyDescent="0.35">
      <c r="F28" s="54"/>
      <c r="G28" s="55" t="s">
        <v>33</v>
      </c>
      <c r="H28" s="6" t="s">
        <v>23</v>
      </c>
      <c r="I28" s="6">
        <v>86292</v>
      </c>
      <c r="J28" s="6">
        <v>914.4</v>
      </c>
      <c r="K28" s="6" t="s">
        <v>89</v>
      </c>
      <c r="L28" s="6" t="s">
        <v>65</v>
      </c>
      <c r="M28" s="11"/>
      <c r="N28" s="6"/>
      <c r="O28" s="8"/>
      <c r="P28" s="11"/>
      <c r="Q28" s="6"/>
      <c r="R28" s="8"/>
      <c r="S28" s="11"/>
      <c r="T28" s="6"/>
      <c r="U28" s="8"/>
      <c r="V28" s="9">
        <f t="shared" si="2"/>
        <v>0</v>
      </c>
      <c r="W28" s="6">
        <f t="shared" si="0"/>
        <v>0</v>
      </c>
    </row>
    <row r="29" spans="6:23" ht="18" hidden="1" x14ac:dyDescent="0.35">
      <c r="F29" s="54"/>
      <c r="G29" s="55"/>
      <c r="H29" s="6" t="s">
        <v>23</v>
      </c>
      <c r="I29" s="6">
        <v>86292</v>
      </c>
      <c r="J29" s="6">
        <v>914.4</v>
      </c>
      <c r="K29" s="6" t="s">
        <v>80</v>
      </c>
      <c r="L29" s="6" t="s">
        <v>65</v>
      </c>
      <c r="M29" s="11"/>
      <c r="N29" s="6"/>
      <c r="O29" s="8"/>
      <c r="P29" s="11"/>
      <c r="Q29" s="6"/>
      <c r="R29" s="8"/>
      <c r="S29" s="11"/>
      <c r="T29" s="6"/>
      <c r="U29" s="8"/>
      <c r="V29" s="9">
        <f t="shared" si="2"/>
        <v>0</v>
      </c>
      <c r="W29" s="6">
        <f t="shared" si="0"/>
        <v>0</v>
      </c>
    </row>
    <row r="30" spans="6:23" ht="18" hidden="1" x14ac:dyDescent="0.35">
      <c r="F30" s="6"/>
      <c r="G30" s="7" t="s">
        <v>33</v>
      </c>
      <c r="H30" s="6" t="s">
        <v>47</v>
      </c>
      <c r="I30" s="6">
        <v>1792</v>
      </c>
      <c r="J30" s="6">
        <v>230</v>
      </c>
      <c r="K30" s="6" t="s">
        <v>27</v>
      </c>
      <c r="L30" s="6" t="s">
        <v>41</v>
      </c>
      <c r="M30" s="11"/>
      <c r="N30" s="6"/>
      <c r="O30" s="8"/>
      <c r="P30" s="11"/>
      <c r="Q30" s="6"/>
      <c r="R30" s="8"/>
      <c r="S30" s="11"/>
      <c r="T30" s="6"/>
      <c r="U30" s="8"/>
      <c r="V30" s="9">
        <f t="shared" si="2"/>
        <v>0</v>
      </c>
      <c r="W30" s="6">
        <f t="shared" si="0"/>
        <v>0</v>
      </c>
    </row>
    <row r="31" spans="6:23" ht="18" x14ac:dyDescent="0.35">
      <c r="F31" s="6">
        <v>6</v>
      </c>
      <c r="G31" s="7" t="s">
        <v>30</v>
      </c>
      <c r="H31" s="6" t="s">
        <v>47</v>
      </c>
      <c r="I31" s="10">
        <v>99719</v>
      </c>
      <c r="J31" s="6">
        <v>1107</v>
      </c>
      <c r="K31" s="6" t="s">
        <v>27</v>
      </c>
      <c r="L31" s="11" t="s">
        <v>65</v>
      </c>
      <c r="M31" s="11"/>
      <c r="N31" s="6"/>
      <c r="O31" s="8"/>
      <c r="P31" s="11"/>
      <c r="Q31" s="6"/>
      <c r="R31" s="8"/>
      <c r="S31" s="11">
        <v>88</v>
      </c>
      <c r="T31" s="6">
        <v>70</v>
      </c>
      <c r="U31" s="8" t="s">
        <v>189</v>
      </c>
      <c r="V31" s="9">
        <f t="shared" si="2"/>
        <v>88</v>
      </c>
      <c r="W31" s="6">
        <f t="shared" si="0"/>
        <v>70</v>
      </c>
    </row>
    <row r="32" spans="6:23" ht="18" x14ac:dyDescent="0.35">
      <c r="F32" s="6">
        <v>7</v>
      </c>
      <c r="G32" s="42" t="s">
        <v>31</v>
      </c>
      <c r="H32" s="6" t="s">
        <v>47</v>
      </c>
      <c r="I32" s="6">
        <v>1792</v>
      </c>
      <c r="J32" s="6">
        <v>230</v>
      </c>
      <c r="K32" s="6" t="s">
        <v>27</v>
      </c>
      <c r="L32" s="6" t="s">
        <v>41</v>
      </c>
      <c r="M32" s="11"/>
      <c r="N32" s="6"/>
      <c r="O32" s="8"/>
      <c r="P32" s="11"/>
      <c r="Q32" s="6"/>
      <c r="R32" s="8"/>
      <c r="S32" s="11">
        <v>29</v>
      </c>
      <c r="T32" s="6">
        <v>27</v>
      </c>
      <c r="U32" s="8" t="s">
        <v>186</v>
      </c>
      <c r="V32" s="9">
        <f t="shared" si="2"/>
        <v>29</v>
      </c>
      <c r="W32" s="6">
        <f t="shared" si="0"/>
        <v>27</v>
      </c>
    </row>
    <row r="33" spans="6:23" ht="18.75" hidden="1" customHeight="1" x14ac:dyDescent="0.35">
      <c r="F33" s="6">
        <v>10</v>
      </c>
      <c r="G33" s="53"/>
      <c r="H33" s="6" t="s">
        <v>47</v>
      </c>
      <c r="I33" s="6">
        <v>1755</v>
      </c>
      <c r="J33" s="6">
        <v>5000</v>
      </c>
      <c r="K33" s="6" t="s">
        <v>170</v>
      </c>
      <c r="L33" s="6" t="s">
        <v>171</v>
      </c>
      <c r="M33" s="11"/>
      <c r="N33" s="6"/>
      <c r="O33" s="8"/>
      <c r="P33" s="11"/>
      <c r="Q33" s="6"/>
      <c r="R33" s="8"/>
      <c r="S33" s="11"/>
      <c r="T33" s="6"/>
      <c r="U33" s="8"/>
      <c r="V33" s="9">
        <f t="shared" si="2"/>
        <v>0</v>
      </c>
      <c r="W33" s="6">
        <f t="shared" si="0"/>
        <v>0</v>
      </c>
    </row>
    <row r="34" spans="6:23" ht="18" x14ac:dyDescent="0.35">
      <c r="F34" s="6">
        <v>8</v>
      </c>
      <c r="G34" s="43"/>
      <c r="H34" s="6" t="s">
        <v>47</v>
      </c>
      <c r="I34" s="6">
        <v>2439</v>
      </c>
      <c r="J34" s="6">
        <v>230</v>
      </c>
      <c r="K34" s="6" t="s">
        <v>27</v>
      </c>
      <c r="L34" s="6" t="s">
        <v>41</v>
      </c>
      <c r="M34" s="11"/>
      <c r="N34" s="6"/>
      <c r="O34" s="8"/>
      <c r="P34" s="11"/>
      <c r="Q34" s="6"/>
      <c r="R34" s="8"/>
      <c r="S34" s="11">
        <v>20</v>
      </c>
      <c r="T34" s="6">
        <v>15</v>
      </c>
      <c r="U34" s="8" t="s">
        <v>180</v>
      </c>
      <c r="V34" s="9">
        <f t="shared" si="2"/>
        <v>20</v>
      </c>
      <c r="W34" s="6">
        <f t="shared" si="0"/>
        <v>15</v>
      </c>
    </row>
    <row r="35" spans="6:23" ht="18" x14ac:dyDescent="0.35">
      <c r="F35" s="6">
        <v>9</v>
      </c>
      <c r="G35" s="7" t="s">
        <v>33</v>
      </c>
      <c r="H35" s="6" t="s">
        <v>47</v>
      </c>
      <c r="I35" s="6">
        <v>2464</v>
      </c>
      <c r="J35" s="6">
        <v>2500</v>
      </c>
      <c r="K35" s="6" t="s">
        <v>187</v>
      </c>
      <c r="L35" s="6" t="s">
        <v>188</v>
      </c>
      <c r="M35" s="11"/>
      <c r="N35" s="6"/>
      <c r="O35" s="8"/>
      <c r="P35" s="11"/>
      <c r="Q35" s="6"/>
      <c r="R35" s="8"/>
      <c r="S35" s="11">
        <v>22</v>
      </c>
      <c r="T35" s="6">
        <v>17</v>
      </c>
      <c r="U35" s="8"/>
      <c r="V35" s="9">
        <f t="shared" si="2"/>
        <v>22</v>
      </c>
      <c r="W35" s="6">
        <f t="shared" si="0"/>
        <v>17</v>
      </c>
    </row>
    <row r="36" spans="6:23" ht="18" x14ac:dyDescent="0.3">
      <c r="F36" s="6">
        <v>10</v>
      </c>
      <c r="G36" s="7" t="s">
        <v>34</v>
      </c>
      <c r="H36" s="6" t="s">
        <v>64</v>
      </c>
      <c r="I36" s="6">
        <v>90129</v>
      </c>
      <c r="J36" s="6">
        <v>2540</v>
      </c>
      <c r="K36" s="6" t="s">
        <v>49</v>
      </c>
      <c r="L36" s="6" t="s">
        <v>37</v>
      </c>
      <c r="M36" s="6"/>
      <c r="N36" s="6"/>
      <c r="O36" s="8"/>
      <c r="P36" s="6"/>
      <c r="Q36" s="6"/>
      <c r="R36" s="8"/>
      <c r="S36" s="6">
        <v>110</v>
      </c>
      <c r="T36" s="6">
        <v>70</v>
      </c>
      <c r="U36" s="8"/>
      <c r="V36" s="9">
        <f t="shared" si="2"/>
        <v>110</v>
      </c>
      <c r="W36" s="6">
        <f t="shared" si="0"/>
        <v>70</v>
      </c>
    </row>
    <row r="37" spans="6:23" ht="18" hidden="1" x14ac:dyDescent="0.35">
      <c r="F37" s="6">
        <v>13</v>
      </c>
      <c r="G37" s="7" t="s">
        <v>35</v>
      </c>
      <c r="H37" s="6" t="s">
        <v>19</v>
      </c>
      <c r="I37" s="6">
        <v>2122</v>
      </c>
      <c r="J37" s="6">
        <v>796.5</v>
      </c>
      <c r="K37" s="6" t="s">
        <v>138</v>
      </c>
      <c r="L37" s="6" t="s">
        <v>37</v>
      </c>
      <c r="M37" s="11"/>
      <c r="N37" s="6"/>
      <c r="O37" s="8"/>
      <c r="P37" s="6"/>
      <c r="Q37" s="6"/>
      <c r="R37" s="8"/>
      <c r="S37" s="11"/>
      <c r="T37" s="6"/>
      <c r="U37" s="8"/>
      <c r="V37" s="9">
        <f t="shared" si="2"/>
        <v>0</v>
      </c>
      <c r="W37" s="6">
        <f t="shared" si="0"/>
        <v>0</v>
      </c>
    </row>
    <row r="38" spans="6:23" ht="18" x14ac:dyDescent="0.35">
      <c r="F38" s="6">
        <v>11</v>
      </c>
      <c r="G38" s="7" t="s">
        <v>35</v>
      </c>
      <c r="H38" s="6" t="s">
        <v>19</v>
      </c>
      <c r="I38" s="6">
        <v>2122</v>
      </c>
      <c r="J38" s="6">
        <v>796.5</v>
      </c>
      <c r="K38" s="6" t="s">
        <v>138</v>
      </c>
      <c r="L38" s="6" t="s">
        <v>41</v>
      </c>
      <c r="M38" s="11"/>
      <c r="N38" s="6"/>
      <c r="O38" s="8"/>
      <c r="P38" s="6"/>
      <c r="Q38" s="6"/>
      <c r="R38" s="8"/>
      <c r="S38" s="11">
        <v>146</v>
      </c>
      <c r="T38" s="6">
        <v>146</v>
      </c>
      <c r="U38" s="8"/>
      <c r="V38" s="9">
        <f t="shared" si="2"/>
        <v>146</v>
      </c>
      <c r="W38" s="6">
        <f t="shared" si="0"/>
        <v>146</v>
      </c>
    </row>
  </sheetData>
  <mergeCells count="15">
    <mergeCell ref="G11:G12"/>
    <mergeCell ref="G32:G34"/>
    <mergeCell ref="F7:R7"/>
    <mergeCell ref="V7:W7"/>
    <mergeCell ref="M8:O8"/>
    <mergeCell ref="P8:R8"/>
    <mergeCell ref="S8:U8"/>
    <mergeCell ref="I24:I26"/>
    <mergeCell ref="J24:J26"/>
    <mergeCell ref="F28:F29"/>
    <mergeCell ref="G28:G29"/>
    <mergeCell ref="G14:G15"/>
    <mergeCell ref="H14:H15"/>
    <mergeCell ref="F24:F26"/>
    <mergeCell ref="H24:H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5:T38"/>
  <sheetViews>
    <sheetView topLeftCell="A4" zoomScale="80" zoomScaleNormal="80" workbookViewId="0">
      <selection activeCell="C5" sqref="C5:T38"/>
    </sheetView>
  </sheetViews>
  <sheetFormatPr defaultRowHeight="14.4" x14ac:dyDescent="0.3"/>
  <cols>
    <col min="2" max="2" width="2.6640625" customWidth="1"/>
    <col min="5" max="5" width="16.44140625" customWidth="1"/>
    <col min="8" max="8" width="15.33203125" customWidth="1"/>
    <col min="9" max="9" width="11.109375" customWidth="1"/>
    <col min="12" max="12" width="21.88671875" customWidth="1"/>
    <col min="15" max="15" width="20.44140625" customWidth="1"/>
    <col min="18" max="18" width="38.33203125" customWidth="1"/>
    <col min="21" max="21" width="3.5546875" customWidth="1"/>
  </cols>
  <sheetData>
    <row r="5" spans="3:20" ht="18" x14ac:dyDescent="0.35">
      <c r="C5" s="44" t="s">
        <v>0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6"/>
      <c r="P5" s="1" t="s">
        <v>1</v>
      </c>
      <c r="Q5" s="2" t="s">
        <v>182</v>
      </c>
      <c r="R5" s="1" t="s">
        <v>2</v>
      </c>
      <c r="S5" s="47"/>
      <c r="T5" s="48"/>
    </row>
    <row r="6" spans="3:20" ht="72" x14ac:dyDescent="0.3">
      <c r="C6" s="3" t="s">
        <v>3</v>
      </c>
      <c r="D6" s="4" t="s">
        <v>4</v>
      </c>
      <c r="E6" s="4" t="s">
        <v>5</v>
      </c>
      <c r="F6" s="5" t="s">
        <v>6</v>
      </c>
      <c r="G6" s="4" t="s">
        <v>7</v>
      </c>
      <c r="H6" s="4" t="s">
        <v>8</v>
      </c>
      <c r="I6" s="5"/>
      <c r="J6" s="49" t="s">
        <v>9</v>
      </c>
      <c r="K6" s="50"/>
      <c r="L6" s="51"/>
      <c r="M6" s="49" t="s">
        <v>10</v>
      </c>
      <c r="N6" s="50"/>
      <c r="O6" s="51"/>
      <c r="P6" s="49" t="s">
        <v>11</v>
      </c>
      <c r="Q6" s="50"/>
      <c r="R6" s="51"/>
      <c r="S6" s="4" t="s">
        <v>12</v>
      </c>
      <c r="T6" s="4" t="s">
        <v>13</v>
      </c>
    </row>
    <row r="7" spans="3:20" ht="18" x14ac:dyDescent="0.3">
      <c r="C7" s="3"/>
      <c r="D7" s="4"/>
      <c r="E7" s="4"/>
      <c r="F7" s="5"/>
      <c r="G7" s="4"/>
      <c r="H7" s="4"/>
      <c r="I7" s="5" t="s">
        <v>14</v>
      </c>
      <c r="J7" s="5" t="s">
        <v>15</v>
      </c>
      <c r="K7" s="5" t="s">
        <v>16</v>
      </c>
      <c r="L7" s="5" t="s">
        <v>17</v>
      </c>
      <c r="M7" s="5" t="s">
        <v>15</v>
      </c>
      <c r="N7" s="5" t="s">
        <v>16</v>
      </c>
      <c r="O7" s="5" t="s">
        <v>17</v>
      </c>
      <c r="P7" s="5" t="s">
        <v>15</v>
      </c>
      <c r="Q7" s="5" t="s">
        <v>16</v>
      </c>
      <c r="R7" s="5" t="s">
        <v>17</v>
      </c>
      <c r="S7" s="6"/>
      <c r="T7" s="6"/>
    </row>
    <row r="8" spans="3:20" ht="18" x14ac:dyDescent="0.3">
      <c r="C8" s="6">
        <v>1</v>
      </c>
      <c r="D8" s="7" t="s">
        <v>18</v>
      </c>
      <c r="E8" s="6" t="s">
        <v>19</v>
      </c>
      <c r="F8" s="6">
        <v>2191</v>
      </c>
      <c r="G8" s="6">
        <v>489.7</v>
      </c>
      <c r="H8" s="6" t="s">
        <v>20</v>
      </c>
      <c r="I8" s="6" t="s">
        <v>37</v>
      </c>
      <c r="J8" s="6">
        <v>73</v>
      </c>
      <c r="K8" s="6">
        <v>25</v>
      </c>
      <c r="L8" s="8" t="s">
        <v>57</v>
      </c>
      <c r="M8" s="6">
        <v>73</v>
      </c>
      <c r="N8" s="6">
        <v>73</v>
      </c>
      <c r="O8" s="8"/>
      <c r="P8" s="6">
        <v>73</v>
      </c>
      <c r="Q8" s="6">
        <v>73</v>
      </c>
      <c r="R8" s="8"/>
      <c r="S8" s="9">
        <f>J8+M8+P8</f>
        <v>219</v>
      </c>
      <c r="T8" s="6">
        <f t="shared" ref="T8:T38" si="0">K8+N8+Q8</f>
        <v>171</v>
      </c>
    </row>
    <row r="9" spans="3:20" ht="18" hidden="1" x14ac:dyDescent="0.35">
      <c r="C9" s="6">
        <v>2</v>
      </c>
      <c r="D9" s="42" t="s">
        <v>21</v>
      </c>
      <c r="E9" s="6" t="s">
        <v>23</v>
      </c>
      <c r="F9" s="6">
        <v>86292</v>
      </c>
      <c r="G9" s="6">
        <v>914.4</v>
      </c>
      <c r="H9" s="6" t="s">
        <v>89</v>
      </c>
      <c r="I9" s="6" t="s">
        <v>65</v>
      </c>
      <c r="J9" s="11"/>
      <c r="K9" s="6"/>
      <c r="L9" s="8"/>
      <c r="M9" s="11"/>
      <c r="N9" s="6"/>
      <c r="O9" s="8"/>
      <c r="P9" s="11"/>
      <c r="Q9" s="6"/>
      <c r="R9" s="8"/>
      <c r="S9" s="9">
        <f t="shared" ref="S9:S12" si="1">J9+M9+P9</f>
        <v>0</v>
      </c>
      <c r="T9" s="6">
        <f t="shared" si="0"/>
        <v>0</v>
      </c>
    </row>
    <row r="10" spans="3:20" ht="18" x14ac:dyDescent="0.35">
      <c r="C10" s="6">
        <v>3</v>
      </c>
      <c r="D10" s="43"/>
      <c r="E10" s="6" t="s">
        <v>19</v>
      </c>
      <c r="F10" s="6">
        <v>2123</v>
      </c>
      <c r="G10" s="6">
        <v>418.2</v>
      </c>
      <c r="H10" s="6" t="s">
        <v>24</v>
      </c>
      <c r="I10" s="6" t="s">
        <v>65</v>
      </c>
      <c r="J10" s="11">
        <v>0</v>
      </c>
      <c r="K10" s="6">
        <v>0</v>
      </c>
      <c r="L10" s="8" t="s">
        <v>57</v>
      </c>
      <c r="M10" s="11">
        <v>88</v>
      </c>
      <c r="N10" s="6">
        <v>0</v>
      </c>
      <c r="O10" s="8" t="s">
        <v>57</v>
      </c>
      <c r="P10" s="11">
        <v>88</v>
      </c>
      <c r="Q10" s="6">
        <v>88</v>
      </c>
      <c r="R10" s="8"/>
      <c r="S10" s="9">
        <f t="shared" si="1"/>
        <v>176</v>
      </c>
      <c r="T10" s="6">
        <f t="shared" si="0"/>
        <v>88</v>
      </c>
    </row>
    <row r="11" spans="3:20" ht="18" hidden="1" x14ac:dyDescent="0.35">
      <c r="C11" s="6"/>
      <c r="D11" s="17"/>
      <c r="E11" s="6"/>
      <c r="F11" s="6"/>
      <c r="G11" s="6"/>
      <c r="H11" s="6"/>
      <c r="I11" s="6"/>
      <c r="J11" s="11"/>
      <c r="K11" s="6"/>
      <c r="L11" s="8"/>
      <c r="M11" s="11"/>
      <c r="N11" s="6"/>
      <c r="O11" s="8"/>
      <c r="P11" s="11"/>
      <c r="Q11" s="6"/>
      <c r="R11" s="8"/>
      <c r="S11" s="9">
        <f t="shared" si="1"/>
        <v>0</v>
      </c>
      <c r="T11" s="6">
        <f t="shared" si="0"/>
        <v>0</v>
      </c>
    </row>
    <row r="12" spans="3:20" ht="18" hidden="1" x14ac:dyDescent="0.35">
      <c r="C12" s="6">
        <v>2</v>
      </c>
      <c r="D12" s="42" t="s">
        <v>167</v>
      </c>
      <c r="E12" s="40" t="s">
        <v>183</v>
      </c>
      <c r="F12" s="6">
        <v>86292</v>
      </c>
      <c r="G12" s="6">
        <v>914.14</v>
      </c>
      <c r="H12" s="6" t="s">
        <v>184</v>
      </c>
      <c r="I12" s="6" t="s">
        <v>129</v>
      </c>
      <c r="J12" s="11"/>
      <c r="K12" s="6"/>
      <c r="L12" s="8"/>
      <c r="M12" s="11"/>
      <c r="N12" s="6"/>
      <c r="O12" s="8"/>
      <c r="P12" s="11"/>
      <c r="Q12" s="6"/>
      <c r="R12" s="8"/>
      <c r="S12" s="9">
        <f t="shared" si="1"/>
        <v>0</v>
      </c>
      <c r="T12" s="6">
        <f t="shared" si="0"/>
        <v>0</v>
      </c>
    </row>
    <row r="13" spans="3:20" ht="18" hidden="1" x14ac:dyDescent="0.35">
      <c r="C13" s="6"/>
      <c r="D13" s="43"/>
      <c r="E13" s="41"/>
      <c r="F13" s="6"/>
      <c r="G13" s="6"/>
      <c r="H13" s="6"/>
      <c r="I13" s="6"/>
      <c r="J13" s="11"/>
      <c r="K13" s="6"/>
      <c r="L13" s="8"/>
      <c r="M13" s="11"/>
      <c r="N13" s="6"/>
      <c r="O13" s="8"/>
      <c r="P13" s="11"/>
      <c r="Q13" s="6"/>
      <c r="R13" s="8"/>
      <c r="S13" s="9"/>
      <c r="T13" s="6"/>
    </row>
    <row r="14" spans="3:20" ht="18" x14ac:dyDescent="0.3">
      <c r="C14" s="6">
        <v>3</v>
      </c>
      <c r="D14" s="17" t="s">
        <v>77</v>
      </c>
      <c r="E14" s="6" t="s">
        <v>19</v>
      </c>
      <c r="F14" s="10">
        <v>2123</v>
      </c>
      <c r="G14" s="6">
        <v>428.75</v>
      </c>
      <c r="H14" s="6" t="s">
        <v>24</v>
      </c>
      <c r="I14" s="6" t="s">
        <v>104</v>
      </c>
      <c r="J14" s="6">
        <v>0</v>
      </c>
      <c r="K14" s="6">
        <v>0</v>
      </c>
      <c r="L14" s="8" t="s">
        <v>57</v>
      </c>
      <c r="M14" s="6">
        <v>0</v>
      </c>
      <c r="N14" s="6">
        <v>0</v>
      </c>
      <c r="O14" s="8" t="s">
        <v>57</v>
      </c>
      <c r="P14" s="6">
        <v>24</v>
      </c>
      <c r="Q14" s="6">
        <v>12</v>
      </c>
      <c r="R14" s="8" t="s">
        <v>113</v>
      </c>
      <c r="S14" s="9">
        <f t="shared" ref="S14:S38" si="2">J14+M14+P14</f>
        <v>24</v>
      </c>
      <c r="T14" s="6">
        <f t="shared" si="0"/>
        <v>12</v>
      </c>
    </row>
    <row r="15" spans="3:20" ht="18" hidden="1" x14ac:dyDescent="0.3">
      <c r="C15" s="6"/>
      <c r="D15" s="17"/>
      <c r="E15" s="6"/>
      <c r="F15" s="10"/>
      <c r="G15" s="6"/>
      <c r="H15" s="6"/>
      <c r="I15" s="6"/>
      <c r="J15" s="6"/>
      <c r="K15" s="6"/>
      <c r="L15" s="8"/>
      <c r="M15" s="6"/>
      <c r="N15" s="6"/>
      <c r="O15" s="8"/>
      <c r="P15" s="6"/>
      <c r="Q15" s="6"/>
      <c r="R15" s="8"/>
      <c r="S15" s="9"/>
      <c r="T15" s="6"/>
    </row>
    <row r="16" spans="3:20" ht="18" hidden="1" x14ac:dyDescent="0.3">
      <c r="C16" s="6"/>
      <c r="D16" s="17"/>
      <c r="E16" s="6"/>
      <c r="F16" s="10"/>
      <c r="G16" s="6"/>
      <c r="H16" s="6"/>
      <c r="I16" s="6"/>
      <c r="J16" s="6"/>
      <c r="K16" s="6"/>
      <c r="L16" s="8"/>
      <c r="M16" s="6"/>
      <c r="N16" s="6"/>
      <c r="O16" s="8"/>
      <c r="P16" s="6"/>
      <c r="Q16" s="6"/>
      <c r="R16" s="8"/>
      <c r="S16" s="9"/>
      <c r="T16" s="6"/>
    </row>
    <row r="17" spans="3:20" ht="18" x14ac:dyDescent="0.3">
      <c r="C17" s="6">
        <v>4</v>
      </c>
      <c r="D17" s="7" t="s">
        <v>25</v>
      </c>
      <c r="E17" s="6" t="s">
        <v>19</v>
      </c>
      <c r="F17" s="10">
        <v>2123</v>
      </c>
      <c r="G17" s="6">
        <v>428.75</v>
      </c>
      <c r="H17" s="6" t="s">
        <v>24</v>
      </c>
      <c r="I17" s="6" t="s">
        <v>104</v>
      </c>
      <c r="J17" s="6">
        <v>24</v>
      </c>
      <c r="K17" s="6">
        <v>14</v>
      </c>
      <c r="L17" s="8" t="s">
        <v>44</v>
      </c>
      <c r="M17" s="6">
        <v>24</v>
      </c>
      <c r="N17" s="6">
        <v>24</v>
      </c>
      <c r="O17" s="8"/>
      <c r="P17" s="6">
        <v>24</v>
      </c>
      <c r="Q17" s="6">
        <v>18</v>
      </c>
      <c r="R17" s="8" t="s">
        <v>193</v>
      </c>
      <c r="S17" s="9">
        <f t="shared" si="2"/>
        <v>72</v>
      </c>
      <c r="T17" s="6">
        <f t="shared" si="0"/>
        <v>56</v>
      </c>
    </row>
    <row r="18" spans="3:20" ht="18" x14ac:dyDescent="0.3">
      <c r="C18" s="6">
        <v>7</v>
      </c>
      <c r="D18" s="7" t="s">
        <v>28</v>
      </c>
      <c r="E18" s="6" t="s">
        <v>19</v>
      </c>
      <c r="F18" s="10">
        <v>2123</v>
      </c>
      <c r="G18" s="6">
        <v>428.75</v>
      </c>
      <c r="H18" s="6" t="s">
        <v>24</v>
      </c>
      <c r="I18" s="6" t="s">
        <v>104</v>
      </c>
      <c r="J18" s="6">
        <v>24</v>
      </c>
      <c r="K18" s="6">
        <v>24</v>
      </c>
      <c r="L18" s="8"/>
      <c r="M18" s="6">
        <v>24</v>
      </c>
      <c r="N18" s="6">
        <v>24</v>
      </c>
      <c r="O18" s="8"/>
      <c r="P18" s="6">
        <v>24</v>
      </c>
      <c r="Q18" s="6">
        <v>16</v>
      </c>
      <c r="R18" s="8" t="s">
        <v>194</v>
      </c>
      <c r="S18" s="9">
        <f t="shared" si="2"/>
        <v>72</v>
      </c>
      <c r="T18" s="6">
        <f t="shared" si="0"/>
        <v>64</v>
      </c>
    </row>
    <row r="19" spans="3:20" ht="18" hidden="1" x14ac:dyDescent="0.3">
      <c r="C19" s="6">
        <v>7</v>
      </c>
      <c r="D19" s="7" t="s">
        <v>28</v>
      </c>
      <c r="E19" s="6" t="s">
        <v>19</v>
      </c>
      <c r="F19" s="10">
        <v>2123</v>
      </c>
      <c r="G19" s="6">
        <v>428.75</v>
      </c>
      <c r="H19" s="6" t="s">
        <v>24</v>
      </c>
      <c r="I19" s="6" t="s">
        <v>104</v>
      </c>
      <c r="J19" s="6"/>
      <c r="K19" s="6"/>
      <c r="L19" s="8"/>
      <c r="M19" s="6"/>
      <c r="N19" s="6"/>
      <c r="O19" s="8"/>
      <c r="P19" s="6"/>
      <c r="Q19" s="6"/>
      <c r="R19" s="8"/>
      <c r="S19" s="9">
        <f t="shared" si="2"/>
        <v>0</v>
      </c>
      <c r="T19" s="6">
        <f t="shared" si="0"/>
        <v>0</v>
      </c>
    </row>
    <row r="20" spans="3:20" ht="18" hidden="1" x14ac:dyDescent="0.3">
      <c r="C20" s="6">
        <v>5</v>
      </c>
      <c r="D20" s="7" t="s">
        <v>28</v>
      </c>
      <c r="E20" s="6" t="s">
        <v>19</v>
      </c>
      <c r="F20" s="10">
        <v>2123</v>
      </c>
      <c r="G20" s="6">
        <v>428.75</v>
      </c>
      <c r="H20" s="6" t="s">
        <v>24</v>
      </c>
      <c r="I20" s="6" t="s">
        <v>104</v>
      </c>
      <c r="J20" s="6"/>
      <c r="K20" s="6"/>
      <c r="L20" s="8"/>
      <c r="M20" s="6"/>
      <c r="N20" s="6"/>
      <c r="O20" s="8"/>
      <c r="P20" s="6"/>
      <c r="Q20" s="6"/>
      <c r="R20" s="8"/>
      <c r="S20" s="9">
        <f t="shared" si="2"/>
        <v>0</v>
      </c>
      <c r="T20" s="6">
        <f t="shared" si="0"/>
        <v>0</v>
      </c>
    </row>
    <row r="21" spans="3:20" ht="18" hidden="1" x14ac:dyDescent="0.3">
      <c r="C21" s="6">
        <v>8</v>
      </c>
      <c r="D21" s="7" t="s">
        <v>28</v>
      </c>
      <c r="E21" s="6" t="s">
        <v>19</v>
      </c>
      <c r="F21" s="10">
        <v>2123</v>
      </c>
      <c r="G21" s="6">
        <v>428.75</v>
      </c>
      <c r="H21" s="6" t="s">
        <v>24</v>
      </c>
      <c r="I21" s="6" t="s">
        <v>104</v>
      </c>
      <c r="J21" s="6"/>
      <c r="K21" s="6"/>
      <c r="L21" s="8"/>
      <c r="M21" s="6"/>
      <c r="N21" s="6"/>
      <c r="O21" s="8"/>
      <c r="P21" s="6"/>
      <c r="Q21" s="6"/>
      <c r="R21" s="8"/>
      <c r="S21" s="9">
        <f t="shared" si="2"/>
        <v>0</v>
      </c>
      <c r="T21" s="6">
        <f t="shared" si="0"/>
        <v>0</v>
      </c>
    </row>
    <row r="22" spans="3:20" ht="18" hidden="1" x14ac:dyDescent="0.35">
      <c r="C22" s="54"/>
      <c r="D22" s="7"/>
      <c r="E22" s="52"/>
      <c r="F22" s="52"/>
      <c r="G22" s="52"/>
      <c r="H22" s="6"/>
      <c r="I22" s="6"/>
      <c r="J22" s="11"/>
      <c r="K22" s="6"/>
      <c r="L22" s="8"/>
      <c r="M22" s="11"/>
      <c r="N22" s="6"/>
      <c r="O22" s="8"/>
      <c r="P22" s="11"/>
      <c r="Q22" s="6"/>
      <c r="R22" s="8"/>
      <c r="S22" s="9">
        <f t="shared" si="2"/>
        <v>0</v>
      </c>
      <c r="T22" s="6">
        <f t="shared" si="0"/>
        <v>0</v>
      </c>
    </row>
    <row r="23" spans="3:20" ht="18" hidden="1" x14ac:dyDescent="0.35">
      <c r="C23" s="54"/>
      <c r="D23" s="7"/>
      <c r="E23" s="52"/>
      <c r="F23" s="52"/>
      <c r="G23" s="52"/>
      <c r="H23" s="6"/>
      <c r="I23" s="6"/>
      <c r="J23" s="11"/>
      <c r="K23" s="6"/>
      <c r="L23" s="8"/>
      <c r="M23" s="11"/>
      <c r="N23" s="6"/>
      <c r="O23" s="8"/>
      <c r="P23" s="11"/>
      <c r="Q23" s="6"/>
      <c r="R23" s="8"/>
      <c r="S23" s="9">
        <f t="shared" si="2"/>
        <v>0</v>
      </c>
      <c r="T23" s="6">
        <f t="shared" si="0"/>
        <v>0</v>
      </c>
    </row>
    <row r="24" spans="3:20" ht="18" hidden="1" x14ac:dyDescent="0.35">
      <c r="C24" s="54"/>
      <c r="D24" s="7"/>
      <c r="E24" s="52"/>
      <c r="F24" s="52"/>
      <c r="G24" s="52"/>
      <c r="H24" s="6"/>
      <c r="I24" s="6"/>
      <c r="J24" s="11"/>
      <c r="K24" s="6"/>
      <c r="L24" s="8"/>
      <c r="M24" s="11"/>
      <c r="N24" s="6"/>
      <c r="O24" s="8"/>
      <c r="P24" s="11"/>
      <c r="Q24" s="6"/>
      <c r="R24" s="8"/>
      <c r="S24" s="9">
        <f t="shared" si="2"/>
        <v>0</v>
      </c>
      <c r="T24" s="6">
        <f t="shared" si="0"/>
        <v>0</v>
      </c>
    </row>
    <row r="25" spans="3:20" ht="18" hidden="1" x14ac:dyDescent="0.35">
      <c r="C25" s="6"/>
      <c r="D25" s="6" t="s">
        <v>33</v>
      </c>
      <c r="E25" s="6" t="s">
        <v>47</v>
      </c>
      <c r="F25" s="6">
        <v>1792</v>
      </c>
      <c r="G25" s="6">
        <v>230</v>
      </c>
      <c r="H25" s="6" t="s">
        <v>27</v>
      </c>
      <c r="I25" s="6" t="s">
        <v>41</v>
      </c>
      <c r="J25" s="11"/>
      <c r="K25" s="6"/>
      <c r="L25" s="8"/>
      <c r="M25" s="11"/>
      <c r="N25" s="6"/>
      <c r="O25" s="8"/>
      <c r="P25" s="11"/>
      <c r="Q25" s="6"/>
      <c r="R25" s="8"/>
      <c r="S25" s="9">
        <f t="shared" si="2"/>
        <v>0</v>
      </c>
      <c r="T25" s="6">
        <f t="shared" si="0"/>
        <v>0</v>
      </c>
    </row>
    <row r="26" spans="3:20" ht="18" hidden="1" x14ac:dyDescent="0.35">
      <c r="C26" s="54"/>
      <c r="D26" s="55" t="s">
        <v>33</v>
      </c>
      <c r="E26" s="6" t="s">
        <v>23</v>
      </c>
      <c r="F26" s="6">
        <v>86292</v>
      </c>
      <c r="G26" s="6">
        <v>914.4</v>
      </c>
      <c r="H26" s="6" t="s">
        <v>89</v>
      </c>
      <c r="I26" s="6" t="s">
        <v>65</v>
      </c>
      <c r="J26" s="11"/>
      <c r="K26" s="6"/>
      <c r="L26" s="8"/>
      <c r="M26" s="11"/>
      <c r="N26" s="6"/>
      <c r="O26" s="8"/>
      <c r="P26" s="11"/>
      <c r="Q26" s="6"/>
      <c r="R26" s="8"/>
      <c r="S26" s="9">
        <f t="shared" si="2"/>
        <v>0</v>
      </c>
      <c r="T26" s="6">
        <f t="shared" si="0"/>
        <v>0</v>
      </c>
    </row>
    <row r="27" spans="3:20" ht="18" hidden="1" x14ac:dyDescent="0.35">
      <c r="C27" s="54"/>
      <c r="D27" s="55"/>
      <c r="E27" s="6" t="s">
        <v>23</v>
      </c>
      <c r="F27" s="6">
        <v>86292</v>
      </c>
      <c r="G27" s="6">
        <v>914.4</v>
      </c>
      <c r="H27" s="6" t="s">
        <v>80</v>
      </c>
      <c r="I27" s="6" t="s">
        <v>65</v>
      </c>
      <c r="J27" s="11"/>
      <c r="K27" s="6"/>
      <c r="L27" s="8"/>
      <c r="M27" s="11"/>
      <c r="N27" s="6"/>
      <c r="O27" s="8"/>
      <c r="P27" s="11"/>
      <c r="Q27" s="6"/>
      <c r="R27" s="8"/>
      <c r="S27" s="9">
        <f t="shared" si="2"/>
        <v>0</v>
      </c>
      <c r="T27" s="6">
        <f t="shared" si="0"/>
        <v>0</v>
      </c>
    </row>
    <row r="28" spans="3:20" ht="18" hidden="1" x14ac:dyDescent="0.35">
      <c r="C28" s="6"/>
      <c r="D28" s="7" t="s">
        <v>33</v>
      </c>
      <c r="E28" s="6" t="s">
        <v>47</v>
      </c>
      <c r="F28" s="6">
        <v>1792</v>
      </c>
      <c r="G28" s="6">
        <v>230</v>
      </c>
      <c r="H28" s="6" t="s">
        <v>27</v>
      </c>
      <c r="I28" s="6" t="s">
        <v>41</v>
      </c>
      <c r="J28" s="11"/>
      <c r="K28" s="6"/>
      <c r="L28" s="8"/>
      <c r="M28" s="11"/>
      <c r="N28" s="6"/>
      <c r="O28" s="8"/>
      <c r="P28" s="11"/>
      <c r="Q28" s="6"/>
      <c r="R28" s="8"/>
      <c r="S28" s="9">
        <f t="shared" si="2"/>
        <v>0</v>
      </c>
      <c r="T28" s="6">
        <f t="shared" si="0"/>
        <v>0</v>
      </c>
    </row>
    <row r="29" spans="3:20" ht="18" x14ac:dyDescent="0.35">
      <c r="C29" s="6">
        <v>6</v>
      </c>
      <c r="D29" s="7" t="s">
        <v>30</v>
      </c>
      <c r="E29" s="6" t="s">
        <v>47</v>
      </c>
      <c r="F29" s="10">
        <v>99719</v>
      </c>
      <c r="G29" s="6">
        <v>1107</v>
      </c>
      <c r="H29" s="6" t="s">
        <v>27</v>
      </c>
      <c r="I29" s="11" t="s">
        <v>65</v>
      </c>
      <c r="J29" s="11">
        <v>88</v>
      </c>
      <c r="K29" s="6">
        <v>0</v>
      </c>
      <c r="L29" s="8" t="s">
        <v>57</v>
      </c>
      <c r="M29" s="11">
        <v>88</v>
      </c>
      <c r="N29" s="6">
        <v>0</v>
      </c>
      <c r="O29" s="8" t="s">
        <v>57</v>
      </c>
      <c r="P29" s="11">
        <v>88</v>
      </c>
      <c r="Q29" s="6">
        <v>44</v>
      </c>
      <c r="R29" s="8" t="s">
        <v>195</v>
      </c>
      <c r="S29" s="9">
        <f t="shared" si="2"/>
        <v>264</v>
      </c>
      <c r="T29" s="6">
        <f t="shared" si="0"/>
        <v>44</v>
      </c>
    </row>
    <row r="30" spans="3:20" ht="18" hidden="1" x14ac:dyDescent="0.35">
      <c r="C30" s="6">
        <v>7</v>
      </c>
      <c r="D30" s="42" t="s">
        <v>31</v>
      </c>
      <c r="E30" s="6" t="s">
        <v>47</v>
      </c>
      <c r="F30" s="6">
        <v>1792</v>
      </c>
      <c r="G30" s="6">
        <v>230</v>
      </c>
      <c r="H30" s="6" t="s">
        <v>27</v>
      </c>
      <c r="I30" s="6" t="s">
        <v>41</v>
      </c>
      <c r="J30" s="11"/>
      <c r="K30" s="6"/>
      <c r="L30" s="8"/>
      <c r="M30" s="11"/>
      <c r="N30" s="6"/>
      <c r="O30" s="8"/>
      <c r="P30" s="11"/>
      <c r="Q30" s="6"/>
      <c r="R30" s="8"/>
      <c r="S30" s="9">
        <f t="shared" si="2"/>
        <v>0</v>
      </c>
      <c r="T30" s="6">
        <f t="shared" si="0"/>
        <v>0</v>
      </c>
    </row>
    <row r="31" spans="3:20" ht="18" x14ac:dyDescent="0.35">
      <c r="C31" s="6">
        <v>10</v>
      </c>
      <c r="D31" s="53"/>
      <c r="E31" s="6" t="s">
        <v>47</v>
      </c>
      <c r="F31" s="6">
        <v>2439</v>
      </c>
      <c r="G31" s="6">
        <v>230</v>
      </c>
      <c r="H31" s="6" t="s">
        <v>27</v>
      </c>
      <c r="I31" s="6" t="s">
        <v>190</v>
      </c>
      <c r="J31" s="11">
        <v>146</v>
      </c>
      <c r="K31" s="6">
        <v>0</v>
      </c>
      <c r="L31" s="8" t="s">
        <v>57</v>
      </c>
      <c r="M31" s="11">
        <v>146</v>
      </c>
      <c r="N31" s="6">
        <v>0</v>
      </c>
      <c r="O31" s="8" t="s">
        <v>57</v>
      </c>
      <c r="P31" s="11">
        <v>0</v>
      </c>
      <c r="Q31" s="6">
        <v>0</v>
      </c>
      <c r="R31" s="8" t="s">
        <v>196</v>
      </c>
      <c r="S31" s="9">
        <f t="shared" si="2"/>
        <v>292</v>
      </c>
      <c r="T31" s="6">
        <f t="shared" si="0"/>
        <v>0</v>
      </c>
    </row>
    <row r="32" spans="3:20" ht="18" hidden="1" x14ac:dyDescent="0.35">
      <c r="C32" s="6">
        <v>8</v>
      </c>
      <c r="D32" s="43"/>
      <c r="E32" s="6" t="s">
        <v>47</v>
      </c>
      <c r="F32" s="6">
        <v>2439</v>
      </c>
      <c r="G32" s="6">
        <v>230</v>
      </c>
      <c r="H32" s="6" t="s">
        <v>27</v>
      </c>
      <c r="I32" s="6" t="s">
        <v>41</v>
      </c>
      <c r="J32" s="11"/>
      <c r="K32" s="6"/>
      <c r="L32" s="8"/>
      <c r="M32" s="11"/>
      <c r="N32" s="6"/>
      <c r="O32" s="8"/>
      <c r="P32" s="11"/>
      <c r="Q32" s="6"/>
      <c r="R32" s="8"/>
      <c r="S32" s="9">
        <f t="shared" si="2"/>
        <v>0</v>
      </c>
      <c r="T32" s="6">
        <f t="shared" si="0"/>
        <v>0</v>
      </c>
    </row>
    <row r="33" spans="3:20" ht="18" x14ac:dyDescent="0.35">
      <c r="C33" s="6">
        <v>9</v>
      </c>
      <c r="D33" s="7" t="s">
        <v>33</v>
      </c>
      <c r="E33" s="6" t="s">
        <v>47</v>
      </c>
      <c r="F33" s="6">
        <v>2464</v>
      </c>
      <c r="G33" s="6">
        <v>2500</v>
      </c>
      <c r="H33" s="6" t="s">
        <v>187</v>
      </c>
      <c r="I33" s="6" t="s">
        <v>188</v>
      </c>
      <c r="J33" s="11">
        <v>15</v>
      </c>
      <c r="K33" s="6">
        <v>15</v>
      </c>
      <c r="L33" s="8"/>
      <c r="M33" s="11">
        <v>0</v>
      </c>
      <c r="N33" s="6">
        <v>0</v>
      </c>
      <c r="O33" s="8"/>
      <c r="P33" s="11"/>
      <c r="Q33" s="6"/>
      <c r="R33" s="8"/>
      <c r="S33" s="9">
        <f t="shared" si="2"/>
        <v>15</v>
      </c>
      <c r="T33" s="6">
        <f t="shared" si="0"/>
        <v>15</v>
      </c>
    </row>
    <row r="34" spans="3:20" ht="18" x14ac:dyDescent="0.35">
      <c r="C34" s="6"/>
      <c r="D34" s="7" t="s">
        <v>33</v>
      </c>
      <c r="E34" s="6" t="s">
        <v>47</v>
      </c>
      <c r="F34" s="6">
        <v>2465</v>
      </c>
      <c r="G34" s="6">
        <v>2500</v>
      </c>
      <c r="H34" s="6" t="s">
        <v>49</v>
      </c>
      <c r="I34" s="6" t="s">
        <v>191</v>
      </c>
      <c r="J34" s="11"/>
      <c r="K34" s="6"/>
      <c r="L34" s="8"/>
      <c r="M34" s="11">
        <v>27</v>
      </c>
      <c r="N34" s="6">
        <v>27</v>
      </c>
      <c r="O34" s="8" t="s">
        <v>44</v>
      </c>
      <c r="P34" s="11"/>
      <c r="Q34" s="6"/>
      <c r="R34" s="8"/>
      <c r="S34" s="9">
        <f t="shared" si="2"/>
        <v>27</v>
      </c>
      <c r="T34" s="6">
        <f t="shared" si="0"/>
        <v>27</v>
      </c>
    </row>
    <row r="35" spans="3:20" ht="18" x14ac:dyDescent="0.35">
      <c r="C35" s="6"/>
      <c r="D35" s="7" t="s">
        <v>33</v>
      </c>
      <c r="E35" s="6" t="s">
        <v>47</v>
      </c>
      <c r="F35" s="6">
        <v>1759</v>
      </c>
      <c r="G35" s="6">
        <v>5000</v>
      </c>
      <c r="H35" s="6" t="s">
        <v>49</v>
      </c>
      <c r="I35" s="6" t="s">
        <v>192</v>
      </c>
      <c r="J35" s="11"/>
      <c r="K35" s="6"/>
      <c r="L35" s="8"/>
      <c r="M35" s="11">
        <v>10</v>
      </c>
      <c r="N35" s="6">
        <v>8</v>
      </c>
      <c r="O35" s="8" t="s">
        <v>44</v>
      </c>
      <c r="P35" s="11">
        <v>33</v>
      </c>
      <c r="Q35" s="6">
        <v>25</v>
      </c>
      <c r="R35" s="8" t="s">
        <v>197</v>
      </c>
      <c r="S35" s="9">
        <f t="shared" si="2"/>
        <v>43</v>
      </c>
      <c r="T35" s="6">
        <f t="shared" si="0"/>
        <v>33</v>
      </c>
    </row>
    <row r="36" spans="3:20" ht="18" x14ac:dyDescent="0.3">
      <c r="C36" s="6">
        <v>10</v>
      </c>
      <c r="D36" s="7" t="s">
        <v>34</v>
      </c>
      <c r="E36" s="6" t="s">
        <v>64</v>
      </c>
      <c r="F36" s="6">
        <v>90129</v>
      </c>
      <c r="G36" s="6">
        <v>2540</v>
      </c>
      <c r="H36" s="6" t="s">
        <v>49</v>
      </c>
      <c r="I36" s="6" t="s">
        <v>40</v>
      </c>
      <c r="J36" s="6">
        <v>110</v>
      </c>
      <c r="K36" s="6">
        <v>100</v>
      </c>
      <c r="L36" s="8"/>
      <c r="M36" s="6">
        <v>110</v>
      </c>
      <c r="N36" s="6">
        <v>100</v>
      </c>
      <c r="O36" s="8"/>
      <c r="P36" s="6">
        <v>110</v>
      </c>
      <c r="Q36" s="6">
        <v>96</v>
      </c>
      <c r="R36" s="8"/>
      <c r="S36" s="9">
        <f t="shared" si="2"/>
        <v>330</v>
      </c>
      <c r="T36" s="6">
        <f t="shared" si="0"/>
        <v>296</v>
      </c>
    </row>
    <row r="37" spans="3:20" ht="18" hidden="1" x14ac:dyDescent="0.35">
      <c r="C37" s="6">
        <v>13</v>
      </c>
      <c r="D37" s="7" t="s">
        <v>35</v>
      </c>
      <c r="E37" s="6" t="s">
        <v>19</v>
      </c>
      <c r="F37" s="6">
        <v>2122</v>
      </c>
      <c r="G37" s="6">
        <v>796.5</v>
      </c>
      <c r="H37" s="6" t="s">
        <v>138</v>
      </c>
      <c r="I37" s="6" t="s">
        <v>37</v>
      </c>
      <c r="J37" s="11"/>
      <c r="K37" s="6"/>
      <c r="L37" s="8"/>
      <c r="M37" s="6"/>
      <c r="N37" s="6"/>
      <c r="O37" s="8"/>
      <c r="P37" s="6"/>
      <c r="Q37" s="6"/>
      <c r="R37" s="8"/>
      <c r="S37" s="9">
        <f t="shared" si="2"/>
        <v>0</v>
      </c>
      <c r="T37" s="6">
        <f t="shared" si="0"/>
        <v>0</v>
      </c>
    </row>
    <row r="38" spans="3:20" ht="18" x14ac:dyDescent="0.35">
      <c r="C38" s="6">
        <v>11</v>
      </c>
      <c r="D38" s="7" t="s">
        <v>35</v>
      </c>
      <c r="E38" s="6" t="s">
        <v>19</v>
      </c>
      <c r="F38" s="6">
        <v>2122</v>
      </c>
      <c r="G38" s="6">
        <v>796.5</v>
      </c>
      <c r="H38" s="6" t="s">
        <v>138</v>
      </c>
      <c r="I38" s="6" t="s">
        <v>41</v>
      </c>
      <c r="J38" s="11">
        <v>146</v>
      </c>
      <c r="K38" s="6"/>
      <c r="L38" s="8" t="s">
        <v>57</v>
      </c>
      <c r="M38" s="6">
        <v>146</v>
      </c>
      <c r="N38" s="6">
        <v>0</v>
      </c>
      <c r="O38" s="8" t="s">
        <v>57</v>
      </c>
      <c r="P38" s="6">
        <v>110</v>
      </c>
      <c r="Q38" s="6">
        <v>105</v>
      </c>
      <c r="R38" s="8" t="s">
        <v>198</v>
      </c>
      <c r="S38" s="9">
        <f t="shared" si="2"/>
        <v>402</v>
      </c>
      <c r="T38" s="6">
        <f t="shared" si="0"/>
        <v>105</v>
      </c>
    </row>
  </sheetData>
  <mergeCells count="15">
    <mergeCell ref="C26:C27"/>
    <mergeCell ref="D26:D27"/>
    <mergeCell ref="D30:D32"/>
    <mergeCell ref="D12:D13"/>
    <mergeCell ref="E12:E13"/>
    <mergeCell ref="C22:C24"/>
    <mergeCell ref="E22:E24"/>
    <mergeCell ref="F22:F24"/>
    <mergeCell ref="G22:G24"/>
    <mergeCell ref="C5:O5"/>
    <mergeCell ref="S5:T5"/>
    <mergeCell ref="J6:L6"/>
    <mergeCell ref="M6:O6"/>
    <mergeCell ref="P6:R6"/>
    <mergeCell ref="D9:D1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3:S46"/>
  <sheetViews>
    <sheetView zoomScale="80" zoomScaleNormal="80" workbookViewId="0">
      <selection activeCell="D43" sqref="D43"/>
    </sheetView>
  </sheetViews>
  <sheetFormatPr defaultRowHeight="14.4" x14ac:dyDescent="0.3"/>
  <cols>
    <col min="1" max="1" width="4.33203125" customWidth="1"/>
    <col min="4" max="4" width="14.5546875" customWidth="1"/>
    <col min="7" max="7" width="14.33203125" customWidth="1"/>
    <col min="8" max="8" width="13" customWidth="1"/>
    <col min="11" max="11" width="26" customWidth="1"/>
    <col min="14" max="14" width="25.88671875" customWidth="1"/>
    <col min="16" max="16" width="12" customWidth="1"/>
    <col min="17" max="17" width="17" customWidth="1"/>
  </cols>
  <sheetData>
    <row r="3" spans="2:19" ht="18" x14ac:dyDescent="0.35">
      <c r="B3" s="44" t="s">
        <v>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  <c r="O3" s="1" t="s">
        <v>1</v>
      </c>
      <c r="P3" s="2" t="s">
        <v>207</v>
      </c>
      <c r="Q3" s="1" t="s">
        <v>2</v>
      </c>
      <c r="R3" s="47"/>
      <c r="S3" s="48"/>
    </row>
    <row r="4" spans="2:19" ht="72" x14ac:dyDescent="0.3">
      <c r="B4" s="3" t="s">
        <v>3</v>
      </c>
      <c r="C4" s="4" t="s">
        <v>4</v>
      </c>
      <c r="D4" s="4" t="s">
        <v>5</v>
      </c>
      <c r="E4" s="5" t="s">
        <v>6</v>
      </c>
      <c r="F4" s="4" t="s">
        <v>7</v>
      </c>
      <c r="G4" s="4" t="s">
        <v>8</v>
      </c>
      <c r="H4" s="5"/>
      <c r="I4" s="49" t="s">
        <v>9</v>
      </c>
      <c r="J4" s="50"/>
      <c r="K4" s="51"/>
      <c r="L4" s="49" t="s">
        <v>10</v>
      </c>
      <c r="M4" s="50"/>
      <c r="N4" s="51"/>
      <c r="O4" s="49" t="s">
        <v>11</v>
      </c>
      <c r="P4" s="50"/>
      <c r="Q4" s="51"/>
      <c r="R4" s="4" t="s">
        <v>12</v>
      </c>
      <c r="S4" s="4" t="s">
        <v>13</v>
      </c>
    </row>
    <row r="5" spans="2:19" ht="18" x14ac:dyDescent="0.3">
      <c r="B5" s="3"/>
      <c r="C5" s="4"/>
      <c r="D5" s="4"/>
      <c r="E5" s="5"/>
      <c r="F5" s="4"/>
      <c r="G5" s="4"/>
      <c r="H5" s="5" t="s">
        <v>14</v>
      </c>
      <c r="I5" s="5" t="s">
        <v>15</v>
      </c>
      <c r="J5" s="5" t="s">
        <v>16</v>
      </c>
      <c r="K5" s="5" t="s">
        <v>17</v>
      </c>
      <c r="L5" s="5" t="s">
        <v>15</v>
      </c>
      <c r="M5" s="5" t="s">
        <v>16</v>
      </c>
      <c r="N5" s="5" t="s">
        <v>17</v>
      </c>
      <c r="O5" s="5" t="s">
        <v>15</v>
      </c>
      <c r="P5" s="5" t="s">
        <v>16</v>
      </c>
      <c r="Q5" s="5" t="s">
        <v>17</v>
      </c>
      <c r="R5" s="9" t="s">
        <v>50</v>
      </c>
      <c r="S5" s="6"/>
    </row>
    <row r="6" spans="2:19" ht="18" x14ac:dyDescent="0.3">
      <c r="B6" s="6">
        <v>1</v>
      </c>
      <c r="C6" s="42" t="s">
        <v>18</v>
      </c>
      <c r="D6" s="6" t="s">
        <v>19</v>
      </c>
      <c r="E6" s="6">
        <v>2191</v>
      </c>
      <c r="F6" s="6">
        <v>489.7</v>
      </c>
      <c r="G6" s="6" t="s">
        <v>20</v>
      </c>
      <c r="H6" s="6" t="s">
        <v>37</v>
      </c>
      <c r="I6" s="6">
        <v>73</v>
      </c>
      <c r="J6" s="6">
        <v>60</v>
      </c>
      <c r="K6" s="8" t="s">
        <v>199</v>
      </c>
      <c r="L6" s="6">
        <v>73</v>
      </c>
      <c r="M6" s="6">
        <v>73</v>
      </c>
      <c r="N6" s="8"/>
      <c r="O6" s="6">
        <v>23</v>
      </c>
      <c r="P6" s="6">
        <v>17</v>
      </c>
      <c r="Q6" s="8"/>
      <c r="R6" s="9">
        <f t="shared" ref="R6:R11" si="0">I6+L6+O6</f>
        <v>169</v>
      </c>
      <c r="S6" s="6">
        <f t="shared" ref="S6:S40" si="1">J6+M6+P6</f>
        <v>150</v>
      </c>
    </row>
    <row r="7" spans="2:19" ht="18.75" hidden="1" customHeight="1" x14ac:dyDescent="0.35">
      <c r="B7" s="6">
        <v>2</v>
      </c>
      <c r="C7" s="53"/>
      <c r="D7" s="6" t="s">
        <v>23</v>
      </c>
      <c r="E7" s="6">
        <v>86292</v>
      </c>
      <c r="F7" s="6">
        <v>914.4</v>
      </c>
      <c r="G7" s="6" t="s">
        <v>89</v>
      </c>
      <c r="H7" s="6" t="s">
        <v>65</v>
      </c>
      <c r="I7" s="11"/>
      <c r="J7" s="6"/>
      <c r="K7" s="8"/>
      <c r="L7" s="11"/>
      <c r="M7" s="6"/>
      <c r="N7" s="8"/>
      <c r="O7" s="11"/>
      <c r="P7" s="6"/>
      <c r="Q7" s="8"/>
      <c r="R7" s="9">
        <f t="shared" si="0"/>
        <v>0</v>
      </c>
      <c r="S7" s="6">
        <f t="shared" si="1"/>
        <v>0</v>
      </c>
    </row>
    <row r="8" spans="2:19" ht="18" x14ac:dyDescent="0.35">
      <c r="B8" s="6">
        <v>2</v>
      </c>
      <c r="C8" s="53"/>
      <c r="D8" s="6" t="s">
        <v>19</v>
      </c>
      <c r="E8" s="6">
        <v>98808</v>
      </c>
      <c r="F8" s="6">
        <v>292</v>
      </c>
      <c r="G8" s="6" t="s">
        <v>27</v>
      </c>
      <c r="H8" s="6" t="s">
        <v>209</v>
      </c>
      <c r="I8" s="11"/>
      <c r="J8" s="6"/>
      <c r="K8" s="8"/>
      <c r="L8" s="11"/>
      <c r="M8" s="6"/>
      <c r="N8" s="8"/>
      <c r="O8" s="11">
        <v>40</v>
      </c>
      <c r="P8" s="6">
        <v>10</v>
      </c>
      <c r="Q8" s="8"/>
      <c r="R8" s="9">
        <f t="shared" si="0"/>
        <v>40</v>
      </c>
      <c r="S8" s="6">
        <f t="shared" si="1"/>
        <v>10</v>
      </c>
    </row>
    <row r="9" spans="2:19" ht="18" x14ac:dyDescent="0.35">
      <c r="B9" s="6">
        <v>3</v>
      </c>
      <c r="C9" s="18" t="s">
        <v>21</v>
      </c>
      <c r="D9" s="6" t="s">
        <v>19</v>
      </c>
      <c r="E9" s="6">
        <v>2123</v>
      </c>
      <c r="F9" s="6">
        <v>418.2</v>
      </c>
      <c r="G9" s="6" t="s">
        <v>24</v>
      </c>
      <c r="H9" s="6" t="s">
        <v>65</v>
      </c>
      <c r="I9" s="11">
        <v>88</v>
      </c>
      <c r="J9" s="6">
        <v>30</v>
      </c>
      <c r="K9" s="8" t="s">
        <v>200</v>
      </c>
      <c r="L9" s="11">
        <v>88</v>
      </c>
      <c r="M9" s="6">
        <v>80</v>
      </c>
      <c r="N9" s="8" t="s">
        <v>208</v>
      </c>
      <c r="O9" s="11">
        <v>88</v>
      </c>
      <c r="P9" s="6">
        <v>88</v>
      </c>
      <c r="Q9" s="8"/>
      <c r="R9" s="9">
        <f t="shared" si="0"/>
        <v>264</v>
      </c>
      <c r="S9" s="6">
        <f t="shared" si="1"/>
        <v>198</v>
      </c>
    </row>
    <row r="10" spans="2:19" ht="18" hidden="1" x14ac:dyDescent="0.35">
      <c r="B10" s="6"/>
      <c r="C10" s="17"/>
      <c r="D10" s="6"/>
      <c r="E10" s="6"/>
      <c r="F10" s="6"/>
      <c r="G10" s="6"/>
      <c r="H10" s="6"/>
      <c r="I10" s="11"/>
      <c r="J10" s="6"/>
      <c r="K10" s="8"/>
      <c r="L10" s="11"/>
      <c r="M10" s="6"/>
      <c r="N10" s="8"/>
      <c r="O10" s="11"/>
      <c r="P10" s="6"/>
      <c r="Q10" s="8"/>
      <c r="R10" s="9">
        <f t="shared" si="0"/>
        <v>0</v>
      </c>
      <c r="S10" s="6">
        <f t="shared" si="1"/>
        <v>0</v>
      </c>
    </row>
    <row r="11" spans="2:19" ht="18" hidden="1" x14ac:dyDescent="0.35">
      <c r="B11" s="6">
        <v>2</v>
      </c>
      <c r="C11" s="42" t="s">
        <v>167</v>
      </c>
      <c r="D11" s="40" t="s">
        <v>183</v>
      </c>
      <c r="E11" s="6">
        <v>86292</v>
      </c>
      <c r="F11" s="6">
        <v>914.14</v>
      </c>
      <c r="G11" s="6" t="s">
        <v>184</v>
      </c>
      <c r="H11" s="6" t="s">
        <v>129</v>
      </c>
      <c r="I11" s="11"/>
      <c r="J11" s="6"/>
      <c r="K11" s="8"/>
      <c r="L11" s="11"/>
      <c r="M11" s="6"/>
      <c r="N11" s="8"/>
      <c r="O11" s="11"/>
      <c r="P11" s="6"/>
      <c r="Q11" s="8"/>
      <c r="R11" s="9">
        <f t="shared" si="0"/>
        <v>0</v>
      </c>
      <c r="S11" s="6">
        <f t="shared" si="1"/>
        <v>0</v>
      </c>
    </row>
    <row r="12" spans="2:19" ht="18" hidden="1" x14ac:dyDescent="0.35">
      <c r="B12" s="6"/>
      <c r="C12" s="43"/>
      <c r="D12" s="41"/>
      <c r="E12" s="6"/>
      <c r="F12" s="6"/>
      <c r="G12" s="6"/>
      <c r="H12" s="6"/>
      <c r="I12" s="11"/>
      <c r="J12" s="6"/>
      <c r="K12" s="8"/>
      <c r="L12" s="11"/>
      <c r="M12" s="6"/>
      <c r="N12" s="8"/>
      <c r="O12" s="11"/>
      <c r="P12" s="6"/>
      <c r="Q12" s="8"/>
      <c r="R12" s="9"/>
      <c r="S12" s="6">
        <f t="shared" si="1"/>
        <v>0</v>
      </c>
    </row>
    <row r="13" spans="2:19" ht="18" x14ac:dyDescent="0.3">
      <c r="B13" s="6">
        <v>4</v>
      </c>
      <c r="C13" s="17" t="s">
        <v>77</v>
      </c>
      <c r="D13" s="6" t="s">
        <v>19</v>
      </c>
      <c r="E13" s="10">
        <v>98812</v>
      </c>
      <c r="F13" s="6">
        <v>292.2</v>
      </c>
      <c r="G13" s="6" t="s">
        <v>27</v>
      </c>
      <c r="H13" s="6" t="s">
        <v>206</v>
      </c>
      <c r="I13" s="6">
        <v>0</v>
      </c>
      <c r="J13" s="6">
        <v>0</v>
      </c>
      <c r="K13" s="8" t="s">
        <v>113</v>
      </c>
      <c r="L13" s="6">
        <v>175</v>
      </c>
      <c r="M13" s="6">
        <v>85</v>
      </c>
      <c r="N13" s="8" t="s">
        <v>44</v>
      </c>
      <c r="O13" s="6">
        <v>146</v>
      </c>
      <c r="P13" s="6">
        <v>140</v>
      </c>
      <c r="Q13" s="8"/>
      <c r="R13" s="9">
        <f t="shared" ref="R13:R40" si="2">I13+L13+O13</f>
        <v>321</v>
      </c>
      <c r="S13" s="6">
        <f t="shared" si="1"/>
        <v>225</v>
      </c>
    </row>
    <row r="14" spans="2:19" ht="18" hidden="1" x14ac:dyDescent="0.3">
      <c r="B14" s="6"/>
      <c r="C14" s="17"/>
      <c r="D14" s="6"/>
      <c r="E14" s="10"/>
      <c r="F14" s="6"/>
      <c r="G14" s="6"/>
      <c r="H14" s="6"/>
      <c r="I14" s="6"/>
      <c r="J14" s="6"/>
      <c r="K14" s="8"/>
      <c r="L14" s="6"/>
      <c r="M14" s="6"/>
      <c r="N14" s="8"/>
      <c r="O14" s="6"/>
      <c r="P14" s="6"/>
      <c r="Q14" s="8"/>
      <c r="R14" s="9"/>
      <c r="S14" s="6"/>
    </row>
    <row r="15" spans="2:19" ht="18" hidden="1" x14ac:dyDescent="0.3">
      <c r="B15" s="6"/>
      <c r="C15" s="17"/>
      <c r="D15" s="6"/>
      <c r="E15" s="10"/>
      <c r="F15" s="6"/>
      <c r="G15" s="6"/>
      <c r="H15" s="6"/>
      <c r="I15" s="6"/>
      <c r="J15" s="6"/>
      <c r="K15" s="8"/>
      <c r="L15" s="6"/>
      <c r="M15" s="6"/>
      <c r="N15" s="8"/>
      <c r="O15" s="6"/>
      <c r="P15" s="6"/>
      <c r="Q15" s="8"/>
      <c r="R15" s="9"/>
      <c r="S15" s="6"/>
    </row>
    <row r="16" spans="2:19" ht="18" x14ac:dyDescent="0.3">
      <c r="B16" s="6">
        <v>5</v>
      </c>
      <c r="C16" s="7" t="s">
        <v>25</v>
      </c>
      <c r="D16" s="6" t="s">
        <v>19</v>
      </c>
      <c r="E16" s="10">
        <v>2123</v>
      </c>
      <c r="F16" s="6">
        <v>428.75</v>
      </c>
      <c r="G16" s="6" t="s">
        <v>24</v>
      </c>
      <c r="H16" s="6" t="s">
        <v>65</v>
      </c>
      <c r="I16" s="6">
        <v>88</v>
      </c>
      <c r="J16" s="6">
        <v>18</v>
      </c>
      <c r="K16" s="8" t="s">
        <v>201</v>
      </c>
      <c r="L16" s="6">
        <v>88</v>
      </c>
      <c r="M16" s="6">
        <v>88</v>
      </c>
      <c r="N16" s="8"/>
      <c r="O16" s="6">
        <v>88</v>
      </c>
      <c r="P16" s="6">
        <v>88</v>
      </c>
      <c r="Q16" s="8"/>
      <c r="R16" s="9">
        <f t="shared" si="2"/>
        <v>264</v>
      </c>
      <c r="S16" s="6">
        <f t="shared" si="1"/>
        <v>194</v>
      </c>
    </row>
    <row r="17" spans="2:19" ht="18" hidden="1" x14ac:dyDescent="0.3">
      <c r="B17" s="6">
        <v>7</v>
      </c>
      <c r="C17" s="7" t="s">
        <v>28</v>
      </c>
      <c r="D17" s="6" t="s">
        <v>19</v>
      </c>
      <c r="E17" s="10">
        <v>2123</v>
      </c>
      <c r="F17" s="6">
        <v>428.75</v>
      </c>
      <c r="G17" s="6" t="s">
        <v>24</v>
      </c>
      <c r="H17" s="6" t="s">
        <v>104</v>
      </c>
      <c r="I17" s="6">
        <v>24</v>
      </c>
      <c r="J17" s="6">
        <v>24</v>
      </c>
      <c r="K17" s="8"/>
      <c r="L17" s="6">
        <v>24</v>
      </c>
      <c r="M17" s="6">
        <v>24</v>
      </c>
      <c r="N17" s="8"/>
      <c r="O17" s="6">
        <v>24</v>
      </c>
      <c r="P17" s="6">
        <v>24</v>
      </c>
      <c r="Q17" s="8"/>
      <c r="R17" s="9">
        <f t="shared" si="2"/>
        <v>72</v>
      </c>
      <c r="S17" s="6">
        <f t="shared" si="1"/>
        <v>72</v>
      </c>
    </row>
    <row r="18" spans="2:19" ht="18" hidden="1" x14ac:dyDescent="0.3">
      <c r="B18" s="6">
        <v>7</v>
      </c>
      <c r="C18" s="7" t="s">
        <v>28</v>
      </c>
      <c r="D18" s="6" t="s">
        <v>19</v>
      </c>
      <c r="E18" s="10">
        <v>2123</v>
      </c>
      <c r="F18" s="6">
        <v>428.75</v>
      </c>
      <c r="G18" s="6" t="s">
        <v>24</v>
      </c>
      <c r="H18" s="6" t="s">
        <v>104</v>
      </c>
      <c r="I18" s="6"/>
      <c r="J18" s="6"/>
      <c r="K18" s="8"/>
      <c r="L18" s="6"/>
      <c r="M18" s="6"/>
      <c r="N18" s="8"/>
      <c r="O18" s="6"/>
      <c r="P18" s="6"/>
      <c r="Q18" s="8"/>
      <c r="R18" s="9">
        <f t="shared" si="2"/>
        <v>0</v>
      </c>
      <c r="S18" s="6">
        <f t="shared" si="1"/>
        <v>0</v>
      </c>
    </row>
    <row r="19" spans="2:19" ht="18" x14ac:dyDescent="0.3">
      <c r="B19" s="6">
        <v>6</v>
      </c>
      <c r="C19" s="7" t="s">
        <v>28</v>
      </c>
      <c r="D19" s="6" t="s">
        <v>19</v>
      </c>
      <c r="E19" s="10">
        <v>2123</v>
      </c>
      <c r="F19" s="6">
        <v>428.75</v>
      </c>
      <c r="G19" s="6" t="s">
        <v>24</v>
      </c>
      <c r="H19" s="6" t="s">
        <v>65</v>
      </c>
      <c r="I19" s="6">
        <v>88</v>
      </c>
      <c r="J19" s="6">
        <v>20</v>
      </c>
      <c r="K19" s="8" t="s">
        <v>201</v>
      </c>
      <c r="L19" s="6">
        <v>88</v>
      </c>
      <c r="M19" s="6">
        <v>88</v>
      </c>
      <c r="N19" s="8"/>
      <c r="O19" s="6">
        <v>88</v>
      </c>
      <c r="P19" s="6">
        <v>73</v>
      </c>
      <c r="Q19" s="8"/>
      <c r="R19" s="9">
        <f t="shared" si="2"/>
        <v>264</v>
      </c>
      <c r="S19" s="6">
        <f t="shared" si="1"/>
        <v>181</v>
      </c>
    </row>
    <row r="20" spans="2:19" ht="18" hidden="1" x14ac:dyDescent="0.3">
      <c r="B20" s="6">
        <v>8</v>
      </c>
      <c r="C20" s="7" t="s">
        <v>28</v>
      </c>
      <c r="D20" s="6" t="s">
        <v>19</v>
      </c>
      <c r="E20" s="10">
        <v>2123</v>
      </c>
      <c r="F20" s="6">
        <v>428.75</v>
      </c>
      <c r="G20" s="6" t="s">
        <v>24</v>
      </c>
      <c r="H20" s="6" t="s">
        <v>104</v>
      </c>
      <c r="I20" s="6"/>
      <c r="J20" s="6"/>
      <c r="K20" s="8"/>
      <c r="L20" s="6"/>
      <c r="M20" s="6"/>
      <c r="N20" s="8"/>
      <c r="O20" s="6"/>
      <c r="P20" s="6"/>
      <c r="Q20" s="8"/>
      <c r="R20" s="9">
        <f t="shared" si="2"/>
        <v>0</v>
      </c>
      <c r="S20" s="6">
        <f t="shared" si="1"/>
        <v>0</v>
      </c>
    </row>
    <row r="21" spans="2:19" ht="18" hidden="1" x14ac:dyDescent="0.35">
      <c r="B21" s="54"/>
      <c r="C21" s="7"/>
      <c r="D21" s="52"/>
      <c r="E21" s="52"/>
      <c r="F21" s="52"/>
      <c r="G21" s="6"/>
      <c r="H21" s="6"/>
      <c r="I21" s="11"/>
      <c r="J21" s="6"/>
      <c r="K21" s="8"/>
      <c r="L21" s="11"/>
      <c r="M21" s="6"/>
      <c r="N21" s="8"/>
      <c r="O21" s="11"/>
      <c r="P21" s="6"/>
      <c r="Q21" s="8"/>
      <c r="R21" s="9">
        <f t="shared" si="2"/>
        <v>0</v>
      </c>
      <c r="S21" s="6">
        <f t="shared" si="1"/>
        <v>0</v>
      </c>
    </row>
    <row r="22" spans="2:19" ht="18" hidden="1" x14ac:dyDescent="0.35">
      <c r="B22" s="54"/>
      <c r="C22" s="7"/>
      <c r="D22" s="52"/>
      <c r="E22" s="52"/>
      <c r="F22" s="52"/>
      <c r="G22" s="6"/>
      <c r="H22" s="6"/>
      <c r="I22" s="11"/>
      <c r="J22" s="6"/>
      <c r="K22" s="8"/>
      <c r="L22" s="11"/>
      <c r="M22" s="6"/>
      <c r="N22" s="8"/>
      <c r="O22" s="11"/>
      <c r="P22" s="6"/>
      <c r="Q22" s="8"/>
      <c r="R22" s="9">
        <f t="shared" si="2"/>
        <v>0</v>
      </c>
      <c r="S22" s="6">
        <f t="shared" si="1"/>
        <v>0</v>
      </c>
    </row>
    <row r="23" spans="2:19" ht="18" hidden="1" x14ac:dyDescent="0.35">
      <c r="B23" s="54"/>
      <c r="C23" s="7"/>
      <c r="D23" s="52"/>
      <c r="E23" s="52"/>
      <c r="F23" s="52"/>
      <c r="G23" s="6"/>
      <c r="H23" s="6"/>
      <c r="I23" s="11"/>
      <c r="J23" s="6"/>
      <c r="K23" s="8"/>
      <c r="L23" s="11"/>
      <c r="M23" s="6"/>
      <c r="N23" s="8"/>
      <c r="O23" s="11"/>
      <c r="P23" s="6"/>
      <c r="Q23" s="8"/>
      <c r="R23" s="9">
        <f t="shared" si="2"/>
        <v>0</v>
      </c>
      <c r="S23" s="6">
        <f t="shared" si="1"/>
        <v>0</v>
      </c>
    </row>
    <row r="24" spans="2:19" ht="18" hidden="1" x14ac:dyDescent="0.35">
      <c r="B24" s="6"/>
      <c r="C24" s="6" t="s">
        <v>33</v>
      </c>
      <c r="D24" s="6" t="s">
        <v>47</v>
      </c>
      <c r="E24" s="6">
        <v>1792</v>
      </c>
      <c r="F24" s="6">
        <v>230</v>
      </c>
      <c r="G24" s="6" t="s">
        <v>27</v>
      </c>
      <c r="H24" s="6" t="s">
        <v>41</v>
      </c>
      <c r="I24" s="11"/>
      <c r="J24" s="6"/>
      <c r="K24" s="8"/>
      <c r="L24" s="11"/>
      <c r="M24" s="6"/>
      <c r="N24" s="8"/>
      <c r="O24" s="11"/>
      <c r="P24" s="6"/>
      <c r="Q24" s="8"/>
      <c r="R24" s="9">
        <f t="shared" si="2"/>
        <v>0</v>
      </c>
      <c r="S24" s="6">
        <f t="shared" si="1"/>
        <v>0</v>
      </c>
    </row>
    <row r="25" spans="2:19" ht="18" hidden="1" x14ac:dyDescent="0.35">
      <c r="B25" s="54"/>
      <c r="C25" s="55" t="s">
        <v>33</v>
      </c>
      <c r="D25" s="6" t="s">
        <v>23</v>
      </c>
      <c r="E25" s="6">
        <v>86292</v>
      </c>
      <c r="F25" s="6">
        <v>914.4</v>
      </c>
      <c r="G25" s="6" t="s">
        <v>89</v>
      </c>
      <c r="H25" s="6" t="s">
        <v>65</v>
      </c>
      <c r="I25" s="11"/>
      <c r="J25" s="6"/>
      <c r="K25" s="8"/>
      <c r="L25" s="11"/>
      <c r="M25" s="6"/>
      <c r="N25" s="8"/>
      <c r="O25" s="11"/>
      <c r="P25" s="6"/>
      <c r="Q25" s="8"/>
      <c r="R25" s="9">
        <f t="shared" si="2"/>
        <v>0</v>
      </c>
      <c r="S25" s="6">
        <f t="shared" si="1"/>
        <v>0</v>
      </c>
    </row>
    <row r="26" spans="2:19" ht="18" hidden="1" x14ac:dyDescent="0.35">
      <c r="B26" s="54"/>
      <c r="C26" s="55"/>
      <c r="D26" s="6" t="s">
        <v>23</v>
      </c>
      <c r="E26" s="6">
        <v>86292</v>
      </c>
      <c r="F26" s="6">
        <v>914.4</v>
      </c>
      <c r="G26" s="6" t="s">
        <v>80</v>
      </c>
      <c r="H26" s="6" t="s">
        <v>65</v>
      </c>
      <c r="I26" s="11"/>
      <c r="J26" s="6"/>
      <c r="K26" s="8"/>
      <c r="L26" s="11"/>
      <c r="M26" s="6"/>
      <c r="N26" s="8"/>
      <c r="O26" s="11"/>
      <c r="P26" s="6"/>
      <c r="Q26" s="8"/>
      <c r="R26" s="9">
        <f t="shared" si="2"/>
        <v>0</v>
      </c>
      <c r="S26" s="6">
        <f t="shared" si="1"/>
        <v>0</v>
      </c>
    </row>
    <row r="27" spans="2:19" ht="18" hidden="1" x14ac:dyDescent="0.35">
      <c r="B27" s="6"/>
      <c r="C27" s="7" t="s">
        <v>33</v>
      </c>
      <c r="D27" s="6" t="s">
        <v>47</v>
      </c>
      <c r="E27" s="6">
        <v>1792</v>
      </c>
      <c r="F27" s="6">
        <v>230</v>
      </c>
      <c r="G27" s="6" t="s">
        <v>27</v>
      </c>
      <c r="H27" s="6" t="s">
        <v>41</v>
      </c>
      <c r="I27" s="11"/>
      <c r="J27" s="6"/>
      <c r="K27" s="8"/>
      <c r="L27" s="11"/>
      <c r="M27" s="6"/>
      <c r="N27" s="8"/>
      <c r="O27" s="11"/>
      <c r="P27" s="6"/>
      <c r="Q27" s="8"/>
      <c r="R27" s="9">
        <f t="shared" si="2"/>
        <v>0</v>
      </c>
      <c r="S27" s="6">
        <f t="shared" si="1"/>
        <v>0</v>
      </c>
    </row>
    <row r="28" spans="2:19" ht="18" x14ac:dyDescent="0.35">
      <c r="B28" s="6">
        <v>7</v>
      </c>
      <c r="C28" s="7" t="s">
        <v>30</v>
      </c>
      <c r="D28" s="6" t="s">
        <v>47</v>
      </c>
      <c r="E28" s="10">
        <v>99719</v>
      </c>
      <c r="F28" s="6">
        <v>1107</v>
      </c>
      <c r="G28" s="6" t="s">
        <v>27</v>
      </c>
      <c r="H28" s="11" t="s">
        <v>65</v>
      </c>
      <c r="I28" s="11">
        <v>88</v>
      </c>
      <c r="J28" s="6">
        <v>0</v>
      </c>
      <c r="K28" s="8" t="s">
        <v>57</v>
      </c>
      <c r="L28" s="11">
        <v>88</v>
      </c>
      <c r="M28" s="6">
        <v>0</v>
      </c>
      <c r="N28" s="8"/>
      <c r="O28" s="11">
        <v>88</v>
      </c>
      <c r="P28" s="6">
        <v>88</v>
      </c>
      <c r="Q28" s="8"/>
      <c r="R28" s="9">
        <f t="shared" si="2"/>
        <v>264</v>
      </c>
      <c r="S28" s="6">
        <f t="shared" si="1"/>
        <v>88</v>
      </c>
    </row>
    <row r="29" spans="2:19" ht="18" hidden="1" x14ac:dyDescent="0.35">
      <c r="B29" s="6">
        <v>7</v>
      </c>
      <c r="C29" s="42" t="s">
        <v>31</v>
      </c>
      <c r="D29" s="6" t="s">
        <v>47</v>
      </c>
      <c r="E29" s="6">
        <v>1792</v>
      </c>
      <c r="F29" s="6">
        <v>230</v>
      </c>
      <c r="G29" s="6" t="s">
        <v>27</v>
      </c>
      <c r="H29" s="6" t="s">
        <v>41</v>
      </c>
      <c r="I29" s="11"/>
      <c r="J29" s="6"/>
      <c r="K29" s="8"/>
      <c r="L29" s="11"/>
      <c r="M29" s="6"/>
      <c r="N29" s="8"/>
      <c r="O29" s="11"/>
      <c r="P29" s="6"/>
      <c r="Q29" s="8"/>
      <c r="R29" s="9">
        <f t="shared" si="2"/>
        <v>0</v>
      </c>
      <c r="S29" s="6">
        <f t="shared" si="1"/>
        <v>0</v>
      </c>
    </row>
    <row r="30" spans="2:19" ht="18" x14ac:dyDescent="0.35">
      <c r="B30" s="6">
        <v>8</v>
      </c>
      <c r="C30" s="53"/>
      <c r="D30" s="6" t="s">
        <v>47</v>
      </c>
      <c r="E30" s="6">
        <v>2439</v>
      </c>
      <c r="F30" s="6">
        <v>230</v>
      </c>
      <c r="G30" s="6" t="s">
        <v>27</v>
      </c>
      <c r="H30" s="6" t="s">
        <v>190</v>
      </c>
      <c r="I30" s="11">
        <v>146</v>
      </c>
      <c r="J30" s="6">
        <v>0</v>
      </c>
      <c r="K30" s="8" t="s">
        <v>57</v>
      </c>
      <c r="L30" s="11">
        <v>146</v>
      </c>
      <c r="M30" s="6">
        <v>0</v>
      </c>
      <c r="N30" s="8"/>
      <c r="O30" s="11">
        <v>0</v>
      </c>
      <c r="P30" s="6">
        <v>0</v>
      </c>
      <c r="Q30" s="8" t="s">
        <v>210</v>
      </c>
      <c r="R30" s="9">
        <f t="shared" si="2"/>
        <v>292</v>
      </c>
      <c r="S30" s="6">
        <f t="shared" si="1"/>
        <v>0</v>
      </c>
    </row>
    <row r="31" spans="2:19" ht="18" hidden="1" x14ac:dyDescent="0.35">
      <c r="B31" s="6">
        <v>8</v>
      </c>
      <c r="C31" s="43"/>
      <c r="D31" s="6" t="s">
        <v>47</v>
      </c>
      <c r="E31" s="6">
        <v>2439</v>
      </c>
      <c r="F31" s="6">
        <v>230</v>
      </c>
      <c r="G31" s="6" t="s">
        <v>27</v>
      </c>
      <c r="H31" s="6" t="s">
        <v>41</v>
      </c>
      <c r="I31" s="11"/>
      <c r="J31" s="6"/>
      <c r="K31" s="8"/>
      <c r="L31" s="11"/>
      <c r="M31" s="6"/>
      <c r="N31" s="8"/>
      <c r="O31" s="11"/>
      <c r="P31" s="6"/>
      <c r="Q31" s="8"/>
      <c r="R31" s="9">
        <f t="shared" si="2"/>
        <v>0</v>
      </c>
      <c r="S31" s="6">
        <f t="shared" si="1"/>
        <v>0</v>
      </c>
    </row>
    <row r="32" spans="2:19" ht="18" hidden="1" x14ac:dyDescent="0.35">
      <c r="B32" s="6">
        <v>9</v>
      </c>
      <c r="C32" s="7" t="s">
        <v>33</v>
      </c>
      <c r="D32" s="6" t="s">
        <v>47</v>
      </c>
      <c r="E32" s="6">
        <v>2464</v>
      </c>
      <c r="F32" s="6">
        <v>2500</v>
      </c>
      <c r="G32" s="6" t="s">
        <v>187</v>
      </c>
      <c r="H32" s="6" t="s">
        <v>188</v>
      </c>
      <c r="I32" s="11">
        <v>15</v>
      </c>
      <c r="J32" s="6">
        <v>0</v>
      </c>
      <c r="K32" s="8"/>
      <c r="L32" s="11">
        <v>0</v>
      </c>
      <c r="M32" s="6">
        <v>0</v>
      </c>
      <c r="N32" s="8"/>
      <c r="O32" s="11"/>
      <c r="P32" s="6">
        <v>0</v>
      </c>
      <c r="Q32" s="8"/>
      <c r="R32" s="9">
        <f t="shared" si="2"/>
        <v>15</v>
      </c>
      <c r="S32" s="6">
        <f t="shared" si="1"/>
        <v>0</v>
      </c>
    </row>
    <row r="33" spans="2:19" ht="18" hidden="1" x14ac:dyDescent="0.35">
      <c r="B33" s="6"/>
      <c r="C33" s="7" t="s">
        <v>33</v>
      </c>
      <c r="D33" s="6" t="s">
        <v>47</v>
      </c>
      <c r="E33" s="6">
        <v>2465</v>
      </c>
      <c r="F33" s="6">
        <v>2500</v>
      </c>
      <c r="G33" s="6" t="s">
        <v>49</v>
      </c>
      <c r="H33" s="6" t="s">
        <v>191</v>
      </c>
      <c r="I33" s="11"/>
      <c r="J33" s="6">
        <v>27</v>
      </c>
      <c r="K33" s="8" t="s">
        <v>44</v>
      </c>
      <c r="L33" s="11">
        <v>27</v>
      </c>
      <c r="M33" s="6">
        <v>27</v>
      </c>
      <c r="N33" s="8" t="s">
        <v>44</v>
      </c>
      <c r="O33" s="11"/>
      <c r="P33" s="6">
        <v>27</v>
      </c>
      <c r="Q33" s="8" t="s">
        <v>44</v>
      </c>
      <c r="R33" s="9">
        <f t="shared" si="2"/>
        <v>27</v>
      </c>
      <c r="S33" s="6">
        <f t="shared" si="1"/>
        <v>81</v>
      </c>
    </row>
    <row r="34" spans="2:19" ht="18" x14ac:dyDescent="0.35">
      <c r="B34" s="6">
        <v>9</v>
      </c>
      <c r="C34" s="7" t="s">
        <v>33</v>
      </c>
      <c r="D34" s="6" t="s">
        <v>47</v>
      </c>
      <c r="E34" s="6">
        <v>1759</v>
      </c>
      <c r="F34" s="6">
        <v>5000</v>
      </c>
      <c r="G34" s="6" t="s">
        <v>49</v>
      </c>
      <c r="H34" s="6" t="s">
        <v>192</v>
      </c>
      <c r="I34" s="11">
        <v>20</v>
      </c>
      <c r="J34" s="6">
        <v>20</v>
      </c>
      <c r="K34" s="8"/>
      <c r="L34" s="11"/>
      <c r="M34" s="6"/>
      <c r="N34" s="8"/>
      <c r="O34" s="11"/>
      <c r="P34" s="6"/>
      <c r="Q34" s="8"/>
      <c r="R34" s="9">
        <f t="shared" si="2"/>
        <v>20</v>
      </c>
      <c r="S34" s="6">
        <f t="shared" si="1"/>
        <v>20</v>
      </c>
    </row>
    <row r="35" spans="2:19" ht="18" x14ac:dyDescent="0.35">
      <c r="B35" s="6">
        <v>10</v>
      </c>
      <c r="C35" s="7" t="s">
        <v>33</v>
      </c>
      <c r="D35" s="6" t="s">
        <v>47</v>
      </c>
      <c r="E35" s="6">
        <v>1800</v>
      </c>
      <c r="F35" s="6">
        <v>5000</v>
      </c>
      <c r="G35" s="6">
        <v>8</v>
      </c>
      <c r="H35" s="6" t="s">
        <v>203</v>
      </c>
      <c r="I35" s="11"/>
      <c r="J35" s="6"/>
      <c r="K35" s="8"/>
      <c r="L35" s="11">
        <v>8</v>
      </c>
      <c r="M35" s="6">
        <v>8</v>
      </c>
      <c r="N35" s="8"/>
      <c r="O35" s="11"/>
      <c r="P35" s="6"/>
      <c r="Q35" s="8"/>
      <c r="R35" s="9">
        <f t="shared" si="2"/>
        <v>8</v>
      </c>
      <c r="S35" s="6">
        <f t="shared" si="1"/>
        <v>8</v>
      </c>
    </row>
    <row r="36" spans="2:19" ht="18" x14ac:dyDescent="0.35">
      <c r="B36" s="6">
        <v>11</v>
      </c>
      <c r="C36" s="7" t="s">
        <v>33</v>
      </c>
      <c r="D36" s="6" t="s">
        <v>47</v>
      </c>
      <c r="E36" s="6">
        <v>1792</v>
      </c>
      <c r="F36" s="6">
        <v>5000</v>
      </c>
      <c r="G36" s="6" t="s">
        <v>49</v>
      </c>
      <c r="H36" s="6" t="s">
        <v>204</v>
      </c>
      <c r="I36" s="11"/>
      <c r="J36" s="6"/>
      <c r="K36" s="8"/>
      <c r="L36" s="11">
        <v>14</v>
      </c>
      <c r="M36" s="6">
        <v>14</v>
      </c>
      <c r="N36" s="8" t="s">
        <v>44</v>
      </c>
      <c r="O36" s="11">
        <v>0</v>
      </c>
      <c r="P36" s="6"/>
      <c r="Q36" s="8"/>
      <c r="R36" s="9">
        <f t="shared" si="2"/>
        <v>14</v>
      </c>
      <c r="S36" s="6">
        <f t="shared" si="1"/>
        <v>14</v>
      </c>
    </row>
    <row r="37" spans="2:19" ht="18" x14ac:dyDescent="0.35">
      <c r="B37" s="6">
        <v>12</v>
      </c>
      <c r="C37" s="7" t="s">
        <v>33</v>
      </c>
      <c r="D37" s="6" t="s">
        <v>47</v>
      </c>
      <c r="E37" s="6">
        <v>1792</v>
      </c>
      <c r="F37" s="6">
        <v>5000</v>
      </c>
      <c r="G37" s="6">
        <v>8</v>
      </c>
      <c r="H37" s="6" t="s">
        <v>129</v>
      </c>
      <c r="I37" s="11"/>
      <c r="J37" s="6"/>
      <c r="K37" s="8"/>
      <c r="L37" s="11">
        <v>15</v>
      </c>
      <c r="M37" s="6">
        <v>13</v>
      </c>
      <c r="N37" s="8" t="s">
        <v>44</v>
      </c>
      <c r="O37" s="11">
        <v>73</v>
      </c>
      <c r="P37" s="6">
        <v>32</v>
      </c>
      <c r="Q37" s="8"/>
      <c r="R37" s="9">
        <f t="shared" si="2"/>
        <v>88</v>
      </c>
      <c r="S37" s="6">
        <f t="shared" si="1"/>
        <v>45</v>
      </c>
    </row>
    <row r="38" spans="2:19" ht="18" x14ac:dyDescent="0.3">
      <c r="B38" s="6">
        <v>13</v>
      </c>
      <c r="C38" s="7" t="s">
        <v>34</v>
      </c>
      <c r="D38" s="6" t="s">
        <v>64</v>
      </c>
      <c r="E38" s="6">
        <v>90129</v>
      </c>
      <c r="F38" s="6">
        <v>2540</v>
      </c>
      <c r="G38" s="6" t="s">
        <v>49</v>
      </c>
      <c r="H38" s="6" t="s">
        <v>205</v>
      </c>
      <c r="I38" s="6">
        <v>124</v>
      </c>
      <c r="J38" s="6">
        <v>88</v>
      </c>
      <c r="K38" s="8" t="s">
        <v>202</v>
      </c>
      <c r="L38" s="6">
        <v>124</v>
      </c>
      <c r="M38" s="6">
        <v>120</v>
      </c>
      <c r="N38" s="8"/>
      <c r="O38" s="6">
        <v>124</v>
      </c>
      <c r="P38" s="6">
        <v>124</v>
      </c>
      <c r="Q38" s="8"/>
      <c r="R38" s="9">
        <f t="shared" si="2"/>
        <v>372</v>
      </c>
      <c r="S38" s="6">
        <f t="shared" si="1"/>
        <v>332</v>
      </c>
    </row>
    <row r="39" spans="2:19" ht="18" hidden="1" x14ac:dyDescent="0.35">
      <c r="B39" s="6">
        <v>13</v>
      </c>
      <c r="C39" s="7" t="s">
        <v>35</v>
      </c>
      <c r="D39" s="6" t="s">
        <v>19</v>
      </c>
      <c r="E39" s="6">
        <v>2122</v>
      </c>
      <c r="F39" s="6">
        <v>796.5</v>
      </c>
      <c r="G39" s="6" t="s">
        <v>138</v>
      </c>
      <c r="H39" s="6" t="s">
        <v>37</v>
      </c>
      <c r="I39" s="11"/>
      <c r="J39" s="6"/>
      <c r="K39" s="8"/>
      <c r="L39" s="6"/>
      <c r="M39" s="6"/>
      <c r="N39" s="8"/>
      <c r="O39" s="6"/>
      <c r="P39" s="6"/>
      <c r="Q39" s="8"/>
      <c r="R39" s="9">
        <f t="shared" si="2"/>
        <v>0</v>
      </c>
      <c r="S39" s="6">
        <f t="shared" si="1"/>
        <v>0</v>
      </c>
    </row>
    <row r="40" spans="2:19" ht="18" x14ac:dyDescent="0.35">
      <c r="B40" s="6">
        <v>14</v>
      </c>
      <c r="C40" s="7" t="s">
        <v>35</v>
      </c>
      <c r="D40" s="6" t="s">
        <v>19</v>
      </c>
      <c r="E40" s="6">
        <v>2122</v>
      </c>
      <c r="F40" s="6">
        <v>796.5</v>
      </c>
      <c r="G40" s="6" t="s">
        <v>138</v>
      </c>
      <c r="H40" s="6" t="s">
        <v>41</v>
      </c>
      <c r="I40" s="11">
        <v>146</v>
      </c>
      <c r="J40" s="6">
        <v>137</v>
      </c>
      <c r="K40" s="8"/>
      <c r="L40" s="6">
        <v>0</v>
      </c>
      <c r="M40" s="6">
        <v>0</v>
      </c>
      <c r="N40" s="8"/>
      <c r="O40" s="6">
        <v>0</v>
      </c>
      <c r="P40" s="6">
        <v>0</v>
      </c>
      <c r="Q40" s="8" t="s">
        <v>211</v>
      </c>
      <c r="R40" s="9">
        <f t="shared" si="2"/>
        <v>146</v>
      </c>
      <c r="S40" s="6">
        <f t="shared" si="1"/>
        <v>137</v>
      </c>
    </row>
    <row r="46" spans="2:19" x14ac:dyDescent="0.3">
      <c r="G46" t="s">
        <v>50</v>
      </c>
    </row>
  </sheetData>
  <mergeCells count="15">
    <mergeCell ref="B25:B26"/>
    <mergeCell ref="C25:C26"/>
    <mergeCell ref="C29:C31"/>
    <mergeCell ref="C11:C12"/>
    <mergeCell ref="D11:D12"/>
    <mergeCell ref="B21:B23"/>
    <mergeCell ref="D21:D23"/>
    <mergeCell ref="E21:E23"/>
    <mergeCell ref="F21:F23"/>
    <mergeCell ref="B3:N3"/>
    <mergeCell ref="R3:S3"/>
    <mergeCell ref="I4:K4"/>
    <mergeCell ref="L4:N4"/>
    <mergeCell ref="O4:Q4"/>
    <mergeCell ref="C6:C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5:S49"/>
  <sheetViews>
    <sheetView zoomScale="70" zoomScaleNormal="70" workbookViewId="0">
      <selection activeCell="H47" sqref="H47"/>
    </sheetView>
  </sheetViews>
  <sheetFormatPr defaultRowHeight="14.4" x14ac:dyDescent="0.3"/>
  <cols>
    <col min="3" max="3" width="14" customWidth="1"/>
    <col min="4" max="4" width="17.109375" customWidth="1"/>
    <col min="7" max="7" width="15.88671875" customWidth="1"/>
    <col min="8" max="8" width="17.109375" customWidth="1"/>
    <col min="9" max="10" width="9.109375" customWidth="1"/>
    <col min="11" max="11" width="31.44140625" customWidth="1"/>
    <col min="12" max="13" width="9.109375" customWidth="1"/>
    <col min="14" max="14" width="45.5546875" customWidth="1"/>
    <col min="16" max="16" width="13.88671875" customWidth="1"/>
    <col min="17" max="17" width="23.33203125" bestFit="1" customWidth="1"/>
  </cols>
  <sheetData>
    <row r="5" spans="2:19" ht="18" x14ac:dyDescent="0.35">
      <c r="B5" s="44" t="s">
        <v>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  <c r="O5" s="1" t="s">
        <v>1</v>
      </c>
      <c r="P5" s="2" t="s">
        <v>216</v>
      </c>
      <c r="Q5" s="1" t="s">
        <v>2</v>
      </c>
      <c r="R5" s="47"/>
      <c r="S5" s="48"/>
    </row>
    <row r="6" spans="2:19" ht="54" x14ac:dyDescent="0.3">
      <c r="B6" s="3" t="s">
        <v>3</v>
      </c>
      <c r="C6" s="4" t="s">
        <v>4</v>
      </c>
      <c r="D6" s="4" t="s">
        <v>5</v>
      </c>
      <c r="E6" s="5" t="s">
        <v>6</v>
      </c>
      <c r="F6" s="4" t="s">
        <v>7</v>
      </c>
      <c r="G6" s="4" t="s">
        <v>8</v>
      </c>
      <c r="H6" s="5"/>
      <c r="I6" s="49" t="s">
        <v>9</v>
      </c>
      <c r="J6" s="50"/>
      <c r="K6" s="51"/>
      <c r="L6" s="49" t="s">
        <v>10</v>
      </c>
      <c r="M6" s="50"/>
      <c r="N6" s="51"/>
      <c r="O6" s="49" t="s">
        <v>11</v>
      </c>
      <c r="P6" s="50"/>
      <c r="Q6" s="51"/>
      <c r="R6" s="4" t="s">
        <v>12</v>
      </c>
      <c r="S6" s="4" t="s">
        <v>13</v>
      </c>
    </row>
    <row r="7" spans="2:19" ht="18" x14ac:dyDescent="0.3">
      <c r="B7" s="3"/>
      <c r="C7" s="4"/>
      <c r="D7" s="4"/>
      <c r="E7" s="5"/>
      <c r="F7" s="4"/>
      <c r="G7" s="4"/>
      <c r="H7" s="5" t="s">
        <v>14</v>
      </c>
      <c r="I7" s="5" t="s">
        <v>15</v>
      </c>
      <c r="J7" s="5" t="s">
        <v>16</v>
      </c>
      <c r="K7" s="5" t="s">
        <v>17</v>
      </c>
      <c r="L7" s="5" t="s">
        <v>15</v>
      </c>
      <c r="M7" s="5" t="s">
        <v>16</v>
      </c>
      <c r="N7" s="5" t="s">
        <v>17</v>
      </c>
      <c r="O7" s="5" t="s">
        <v>15</v>
      </c>
      <c r="P7" s="5" t="s">
        <v>16</v>
      </c>
      <c r="Q7" s="5" t="s">
        <v>17</v>
      </c>
      <c r="R7" s="9" t="s">
        <v>50</v>
      </c>
      <c r="S7" s="6"/>
    </row>
    <row r="8" spans="2:19" ht="18" hidden="1" x14ac:dyDescent="0.3">
      <c r="B8" s="6">
        <v>1</v>
      </c>
      <c r="C8" s="55" t="s">
        <v>18</v>
      </c>
      <c r="D8" s="6" t="s">
        <v>19</v>
      </c>
      <c r="E8" s="6">
        <v>2191</v>
      </c>
      <c r="F8" s="6">
        <v>489.7</v>
      </c>
      <c r="G8" s="6" t="s">
        <v>20</v>
      </c>
      <c r="H8" s="6" t="s">
        <v>37</v>
      </c>
      <c r="I8" s="6">
        <v>73</v>
      </c>
      <c r="J8" s="6">
        <v>60</v>
      </c>
      <c r="K8" s="8" t="s">
        <v>199</v>
      </c>
      <c r="L8" s="6">
        <v>73</v>
      </c>
      <c r="M8" s="6">
        <v>73</v>
      </c>
      <c r="N8" s="8"/>
      <c r="O8" s="6">
        <v>23</v>
      </c>
      <c r="P8" s="6">
        <v>17</v>
      </c>
      <c r="Q8" s="8"/>
      <c r="R8" s="9">
        <f t="shared" ref="R8:S24" si="0">I8+L8+O8</f>
        <v>169</v>
      </c>
      <c r="S8" s="6">
        <f t="shared" si="0"/>
        <v>150</v>
      </c>
    </row>
    <row r="9" spans="2:19" ht="18" hidden="1" x14ac:dyDescent="0.35">
      <c r="B9" s="6">
        <v>2</v>
      </c>
      <c r="C9" s="55"/>
      <c r="D9" s="6" t="s">
        <v>23</v>
      </c>
      <c r="E9" s="6">
        <v>86292</v>
      </c>
      <c r="F9" s="6">
        <v>914.4</v>
      </c>
      <c r="G9" s="6" t="s">
        <v>89</v>
      </c>
      <c r="H9" s="6" t="s">
        <v>65</v>
      </c>
      <c r="I9" s="11"/>
      <c r="J9" s="6"/>
      <c r="K9" s="8"/>
      <c r="L9" s="11"/>
      <c r="M9" s="6"/>
      <c r="N9" s="8"/>
      <c r="O9" s="11"/>
      <c r="P9" s="6"/>
      <c r="Q9" s="8"/>
      <c r="R9" s="9">
        <f t="shared" si="0"/>
        <v>0</v>
      </c>
      <c r="S9" s="6">
        <f t="shared" si="0"/>
        <v>0</v>
      </c>
    </row>
    <row r="10" spans="2:19" ht="18" x14ac:dyDescent="0.35">
      <c r="B10" s="6">
        <v>1</v>
      </c>
      <c r="C10" s="55"/>
      <c r="D10" s="6" t="s">
        <v>213</v>
      </c>
      <c r="E10" s="6">
        <v>98812</v>
      </c>
      <c r="F10" s="6">
        <v>292</v>
      </c>
      <c r="G10" s="6" t="s">
        <v>27</v>
      </c>
      <c r="H10" s="6" t="s">
        <v>209</v>
      </c>
      <c r="I10" s="11">
        <v>146</v>
      </c>
      <c r="J10" s="6">
        <v>142</v>
      </c>
      <c r="K10" s="8"/>
      <c r="L10" s="11">
        <v>146</v>
      </c>
      <c r="M10" s="6">
        <v>0</v>
      </c>
      <c r="N10" s="8" t="s">
        <v>57</v>
      </c>
      <c r="O10" s="11">
        <v>146</v>
      </c>
      <c r="P10" s="6">
        <v>135</v>
      </c>
      <c r="Q10" s="8"/>
      <c r="R10" s="9">
        <f t="shared" si="0"/>
        <v>438</v>
      </c>
      <c r="S10" s="6">
        <f t="shared" si="0"/>
        <v>277</v>
      </c>
    </row>
    <row r="11" spans="2:19" ht="18" x14ac:dyDescent="0.35">
      <c r="B11" s="6">
        <v>2</v>
      </c>
      <c r="C11" s="7" t="s">
        <v>18</v>
      </c>
      <c r="D11" s="6" t="s">
        <v>19</v>
      </c>
      <c r="E11" s="6">
        <v>2191</v>
      </c>
      <c r="F11" s="6">
        <v>489.7</v>
      </c>
      <c r="G11" s="6" t="s">
        <v>20</v>
      </c>
      <c r="H11" s="6" t="s">
        <v>37</v>
      </c>
      <c r="I11" s="11">
        <v>0</v>
      </c>
      <c r="J11" s="6">
        <v>0</v>
      </c>
      <c r="K11" s="8"/>
      <c r="L11" s="11">
        <v>0</v>
      </c>
      <c r="M11" s="6">
        <v>0</v>
      </c>
      <c r="N11" s="8"/>
      <c r="O11" s="11">
        <v>20</v>
      </c>
      <c r="P11" s="6">
        <v>14</v>
      </c>
      <c r="Q11" s="8"/>
      <c r="R11" s="9">
        <f t="shared" si="0"/>
        <v>20</v>
      </c>
      <c r="S11" s="6">
        <f t="shared" si="0"/>
        <v>14</v>
      </c>
    </row>
    <row r="12" spans="2:19" ht="18" x14ac:dyDescent="0.35">
      <c r="B12" s="6">
        <v>3</v>
      </c>
      <c r="C12" s="7" t="s">
        <v>212</v>
      </c>
      <c r="D12" s="6" t="s">
        <v>19</v>
      </c>
      <c r="E12" s="6">
        <v>2123</v>
      </c>
      <c r="F12" s="6">
        <v>418.2</v>
      </c>
      <c r="G12" s="6" t="s">
        <v>24</v>
      </c>
      <c r="H12" s="6" t="s">
        <v>65</v>
      </c>
      <c r="I12" s="11">
        <v>88</v>
      </c>
      <c r="J12" s="6">
        <v>44</v>
      </c>
      <c r="K12" s="8" t="s">
        <v>86</v>
      </c>
      <c r="L12" s="11">
        <v>88</v>
      </c>
      <c r="M12" s="6">
        <v>88</v>
      </c>
      <c r="N12" s="8" t="s">
        <v>208</v>
      </c>
      <c r="O12" s="11">
        <v>88</v>
      </c>
      <c r="P12" s="6">
        <v>76</v>
      </c>
      <c r="Q12" s="8"/>
      <c r="R12" s="9">
        <f t="shared" si="0"/>
        <v>264</v>
      </c>
      <c r="S12" s="6">
        <f t="shared" si="0"/>
        <v>208</v>
      </c>
    </row>
    <row r="13" spans="2:19" ht="18.75" hidden="1" customHeight="1" x14ac:dyDescent="0.35">
      <c r="B13" s="6"/>
      <c r="C13" s="17"/>
      <c r="D13" s="6"/>
      <c r="E13" s="6"/>
      <c r="F13" s="6"/>
      <c r="G13" s="6"/>
      <c r="H13" s="6"/>
      <c r="I13" s="11"/>
      <c r="J13" s="6"/>
      <c r="K13" s="8"/>
      <c r="L13" s="11"/>
      <c r="M13" s="6"/>
      <c r="N13" s="8"/>
      <c r="O13" s="11"/>
      <c r="P13" s="6"/>
      <c r="Q13" s="8"/>
      <c r="R13" s="9">
        <f t="shared" si="0"/>
        <v>0</v>
      </c>
      <c r="S13" s="6">
        <f t="shared" si="0"/>
        <v>0</v>
      </c>
    </row>
    <row r="14" spans="2:19" ht="18.75" hidden="1" customHeight="1" x14ac:dyDescent="0.35">
      <c r="B14" s="6"/>
      <c r="C14" s="42" t="s">
        <v>167</v>
      </c>
      <c r="D14" s="40" t="s">
        <v>183</v>
      </c>
      <c r="E14" s="6">
        <v>86292</v>
      </c>
      <c r="F14" s="6">
        <v>914.14</v>
      </c>
      <c r="G14" s="6" t="s">
        <v>184</v>
      </c>
      <c r="H14" s="6" t="s">
        <v>129</v>
      </c>
      <c r="I14" s="11"/>
      <c r="J14" s="6"/>
      <c r="K14" s="8"/>
      <c r="L14" s="11"/>
      <c r="M14" s="6"/>
      <c r="N14" s="8"/>
      <c r="O14" s="11"/>
      <c r="P14" s="6"/>
      <c r="Q14" s="8"/>
      <c r="R14" s="9">
        <f t="shared" si="0"/>
        <v>0</v>
      </c>
      <c r="S14" s="6">
        <f t="shared" si="0"/>
        <v>0</v>
      </c>
    </row>
    <row r="15" spans="2:19" ht="18.75" hidden="1" customHeight="1" x14ac:dyDescent="0.35">
      <c r="B15" s="6"/>
      <c r="C15" s="43"/>
      <c r="D15" s="41"/>
      <c r="E15" s="6"/>
      <c r="F15" s="6"/>
      <c r="G15" s="6"/>
      <c r="H15" s="6"/>
      <c r="I15" s="11"/>
      <c r="J15" s="6"/>
      <c r="K15" s="8"/>
      <c r="L15" s="11"/>
      <c r="M15" s="6"/>
      <c r="N15" s="8"/>
      <c r="O15" s="11"/>
      <c r="P15" s="6"/>
      <c r="Q15" s="8"/>
      <c r="R15" s="9"/>
      <c r="S15" s="6">
        <f t="shared" si="0"/>
        <v>0</v>
      </c>
    </row>
    <row r="16" spans="2:19" ht="18" x14ac:dyDescent="0.3">
      <c r="B16" s="6">
        <v>4</v>
      </c>
      <c r="C16" s="17" t="s">
        <v>77</v>
      </c>
      <c r="D16" s="6" t="s">
        <v>213</v>
      </c>
      <c r="E16" s="10">
        <v>98812</v>
      </c>
      <c r="F16" s="6">
        <v>292.2</v>
      </c>
      <c r="G16" s="6" t="s">
        <v>27</v>
      </c>
      <c r="H16" s="6" t="s">
        <v>209</v>
      </c>
      <c r="I16" s="6">
        <v>146</v>
      </c>
      <c r="J16" s="6">
        <v>140</v>
      </c>
      <c r="K16" s="8" t="s">
        <v>113</v>
      </c>
      <c r="L16" s="6">
        <v>146</v>
      </c>
      <c r="M16" s="6">
        <v>146</v>
      </c>
      <c r="N16" s="8"/>
      <c r="O16" s="6">
        <v>146</v>
      </c>
      <c r="P16" s="6">
        <v>144</v>
      </c>
      <c r="Q16" s="8"/>
      <c r="R16" s="9">
        <f t="shared" ref="R16:S42" si="1">I16+L16+O16</f>
        <v>438</v>
      </c>
      <c r="S16" s="6">
        <f t="shared" si="0"/>
        <v>430</v>
      </c>
    </row>
    <row r="17" spans="2:19" ht="18.75" hidden="1" customHeight="1" x14ac:dyDescent="0.3">
      <c r="B17" s="6"/>
      <c r="C17" s="17"/>
      <c r="D17" s="6"/>
      <c r="E17" s="10"/>
      <c r="F17" s="6"/>
      <c r="G17" s="6"/>
      <c r="H17" s="6"/>
      <c r="I17" s="6"/>
      <c r="J17" s="6"/>
      <c r="K17" s="8"/>
      <c r="L17" s="6"/>
      <c r="M17" s="6"/>
      <c r="N17" s="8"/>
      <c r="O17" s="6"/>
      <c r="P17" s="6"/>
      <c r="Q17" s="8"/>
      <c r="R17" s="9"/>
      <c r="S17" s="6"/>
    </row>
    <row r="18" spans="2:19" ht="18.75" hidden="1" customHeight="1" x14ac:dyDescent="0.3">
      <c r="B18" s="6"/>
      <c r="C18" s="17"/>
      <c r="D18" s="6"/>
      <c r="E18" s="10"/>
      <c r="F18" s="6"/>
      <c r="G18" s="6"/>
      <c r="H18" s="6"/>
      <c r="I18" s="6"/>
      <c r="J18" s="6"/>
      <c r="K18" s="8"/>
      <c r="L18" s="6"/>
      <c r="M18" s="6"/>
      <c r="N18" s="8"/>
      <c r="O18" s="6"/>
      <c r="P18" s="6"/>
      <c r="Q18" s="8"/>
      <c r="R18" s="9"/>
      <c r="S18" s="6"/>
    </row>
    <row r="19" spans="2:19" ht="18" x14ac:dyDescent="0.35">
      <c r="B19" s="6">
        <v>5</v>
      </c>
      <c r="C19" s="7" t="s">
        <v>25</v>
      </c>
      <c r="D19" s="6" t="s">
        <v>19</v>
      </c>
      <c r="E19" s="10">
        <v>2123</v>
      </c>
      <c r="F19" s="6">
        <v>428.75</v>
      </c>
      <c r="G19" s="6" t="s">
        <v>24</v>
      </c>
      <c r="H19" s="11" t="s">
        <v>65</v>
      </c>
      <c r="I19" s="6">
        <v>88</v>
      </c>
      <c r="J19" s="6">
        <v>88</v>
      </c>
      <c r="K19" s="8" t="s">
        <v>201</v>
      </c>
      <c r="L19" s="6">
        <v>88</v>
      </c>
      <c r="M19" s="6">
        <v>88</v>
      </c>
      <c r="N19" s="8"/>
      <c r="O19" s="6">
        <v>51</v>
      </c>
      <c r="P19" s="6">
        <v>51</v>
      </c>
      <c r="Q19" s="8"/>
      <c r="R19" s="9">
        <f t="shared" si="1"/>
        <v>227</v>
      </c>
      <c r="S19" s="6">
        <f t="shared" si="0"/>
        <v>227</v>
      </c>
    </row>
    <row r="20" spans="2:19" ht="18" x14ac:dyDescent="0.35">
      <c r="B20" s="6">
        <v>6</v>
      </c>
      <c r="C20" s="7" t="s">
        <v>28</v>
      </c>
      <c r="D20" s="6" t="s">
        <v>19</v>
      </c>
      <c r="E20" s="10">
        <v>2123</v>
      </c>
      <c r="F20" s="6">
        <v>428.75</v>
      </c>
      <c r="G20" s="6" t="s">
        <v>24</v>
      </c>
      <c r="H20" s="11" t="s">
        <v>65</v>
      </c>
      <c r="I20" s="6">
        <v>88</v>
      </c>
      <c r="J20" s="6">
        <v>85</v>
      </c>
      <c r="K20" s="8"/>
      <c r="L20" s="6">
        <v>88</v>
      </c>
      <c r="M20" s="6">
        <v>0</v>
      </c>
      <c r="N20" s="8"/>
      <c r="O20" s="6">
        <v>0</v>
      </c>
      <c r="P20" s="6">
        <v>0</v>
      </c>
      <c r="Q20" s="8" t="s">
        <v>211</v>
      </c>
      <c r="R20" s="9">
        <f t="shared" si="1"/>
        <v>176</v>
      </c>
      <c r="S20" s="6">
        <f t="shared" si="0"/>
        <v>85</v>
      </c>
    </row>
    <row r="21" spans="2:19" ht="18.75" hidden="1" customHeight="1" x14ac:dyDescent="0.3">
      <c r="B21" s="6"/>
      <c r="C21" s="7" t="s">
        <v>28</v>
      </c>
      <c r="D21" s="6" t="s">
        <v>19</v>
      </c>
      <c r="E21" s="10">
        <v>2123</v>
      </c>
      <c r="F21" s="6">
        <v>428.75</v>
      </c>
      <c r="G21" s="6" t="s">
        <v>24</v>
      </c>
      <c r="H21" s="6" t="s">
        <v>104</v>
      </c>
      <c r="I21" s="6"/>
      <c r="J21" s="6"/>
      <c r="K21" s="8"/>
      <c r="L21" s="6"/>
      <c r="M21" s="6"/>
      <c r="N21" s="8"/>
      <c r="O21" s="6"/>
      <c r="P21" s="6"/>
      <c r="Q21" s="8"/>
      <c r="R21" s="9">
        <f t="shared" si="1"/>
        <v>0</v>
      </c>
      <c r="S21" s="6">
        <f t="shared" si="0"/>
        <v>0</v>
      </c>
    </row>
    <row r="22" spans="2:19" ht="18.75" hidden="1" customHeight="1" x14ac:dyDescent="0.3">
      <c r="B22" s="6"/>
      <c r="C22" s="7" t="s">
        <v>28</v>
      </c>
      <c r="D22" s="6" t="s">
        <v>19</v>
      </c>
      <c r="E22" s="10">
        <v>2123</v>
      </c>
      <c r="F22" s="6">
        <v>428.75</v>
      </c>
      <c r="G22" s="6" t="s">
        <v>24</v>
      </c>
      <c r="H22" s="6" t="s">
        <v>65</v>
      </c>
      <c r="I22" s="6">
        <v>88</v>
      </c>
      <c r="J22" s="6">
        <v>20</v>
      </c>
      <c r="K22" s="8" t="s">
        <v>201</v>
      </c>
      <c r="L22" s="6">
        <v>88</v>
      </c>
      <c r="M22" s="6">
        <v>88</v>
      </c>
      <c r="N22" s="8"/>
      <c r="O22" s="6">
        <v>88</v>
      </c>
      <c r="P22" s="6">
        <v>73</v>
      </c>
      <c r="Q22" s="8"/>
      <c r="R22" s="9">
        <f t="shared" si="1"/>
        <v>264</v>
      </c>
      <c r="S22" s="6">
        <f t="shared" si="0"/>
        <v>181</v>
      </c>
    </row>
    <row r="23" spans="2:19" ht="18" hidden="1" x14ac:dyDescent="0.3">
      <c r="B23" s="6"/>
      <c r="C23" s="7" t="s">
        <v>28</v>
      </c>
      <c r="D23" s="6" t="s">
        <v>19</v>
      </c>
      <c r="E23" s="10">
        <v>2123</v>
      </c>
      <c r="F23" s="6">
        <v>428.75</v>
      </c>
      <c r="G23" s="6" t="s">
        <v>24</v>
      </c>
      <c r="H23" s="6" t="s">
        <v>104</v>
      </c>
      <c r="I23" s="6"/>
      <c r="J23" s="6"/>
      <c r="K23" s="8"/>
      <c r="L23" s="6"/>
      <c r="M23" s="6"/>
      <c r="N23" s="8"/>
      <c r="O23" s="6"/>
      <c r="P23" s="6"/>
      <c r="Q23" s="8"/>
      <c r="R23" s="9">
        <f t="shared" si="1"/>
        <v>0</v>
      </c>
      <c r="S23" s="6">
        <f t="shared" si="0"/>
        <v>0</v>
      </c>
    </row>
    <row r="24" spans="2:19" ht="18" hidden="1" x14ac:dyDescent="0.35">
      <c r="B24" s="54"/>
      <c r="C24" s="7"/>
      <c r="D24" s="52"/>
      <c r="E24" s="52"/>
      <c r="F24" s="52"/>
      <c r="G24" s="6"/>
      <c r="H24" s="6"/>
      <c r="I24" s="11"/>
      <c r="J24" s="6"/>
      <c r="K24" s="8"/>
      <c r="L24" s="11"/>
      <c r="M24" s="6"/>
      <c r="N24" s="8"/>
      <c r="O24" s="11"/>
      <c r="P24" s="6"/>
      <c r="Q24" s="8"/>
      <c r="R24" s="9">
        <f t="shared" si="1"/>
        <v>0</v>
      </c>
      <c r="S24" s="6">
        <f t="shared" si="0"/>
        <v>0</v>
      </c>
    </row>
    <row r="25" spans="2:19" ht="18" hidden="1" x14ac:dyDescent="0.35">
      <c r="B25" s="54"/>
      <c r="C25" s="7"/>
      <c r="D25" s="52"/>
      <c r="E25" s="52"/>
      <c r="F25" s="52"/>
      <c r="G25" s="6"/>
      <c r="H25" s="6"/>
      <c r="I25" s="11"/>
      <c r="J25" s="6"/>
      <c r="K25" s="8"/>
      <c r="L25" s="11"/>
      <c r="M25" s="6"/>
      <c r="N25" s="8"/>
      <c r="O25" s="11"/>
      <c r="P25" s="6"/>
      <c r="Q25" s="8"/>
      <c r="R25" s="9">
        <f t="shared" si="1"/>
        <v>0</v>
      </c>
      <c r="S25" s="6">
        <f t="shared" si="1"/>
        <v>0</v>
      </c>
    </row>
    <row r="26" spans="2:19" ht="18" hidden="1" x14ac:dyDescent="0.35">
      <c r="B26" s="6"/>
      <c r="C26" s="6" t="s">
        <v>33</v>
      </c>
      <c r="D26" s="6" t="s">
        <v>47</v>
      </c>
      <c r="E26" s="6">
        <v>1792</v>
      </c>
      <c r="F26" s="6">
        <v>230</v>
      </c>
      <c r="G26" s="6" t="s">
        <v>27</v>
      </c>
      <c r="H26" s="6" t="s">
        <v>41</v>
      </c>
      <c r="I26" s="11"/>
      <c r="J26" s="6"/>
      <c r="K26" s="8"/>
      <c r="L26" s="11"/>
      <c r="M26" s="6"/>
      <c r="N26" s="8"/>
      <c r="O26" s="11"/>
      <c r="P26" s="6"/>
      <c r="Q26" s="8"/>
      <c r="R26" s="9">
        <f t="shared" si="1"/>
        <v>0</v>
      </c>
      <c r="S26" s="6">
        <f t="shared" si="1"/>
        <v>0</v>
      </c>
    </row>
    <row r="27" spans="2:19" ht="18" hidden="1" x14ac:dyDescent="0.35">
      <c r="B27" s="54"/>
      <c r="C27" s="55" t="s">
        <v>33</v>
      </c>
      <c r="D27" s="6" t="s">
        <v>23</v>
      </c>
      <c r="E27" s="6">
        <v>86292</v>
      </c>
      <c r="F27" s="6">
        <v>914.4</v>
      </c>
      <c r="G27" s="6" t="s">
        <v>89</v>
      </c>
      <c r="H27" s="6" t="s">
        <v>65</v>
      </c>
      <c r="I27" s="11"/>
      <c r="J27" s="6"/>
      <c r="K27" s="8"/>
      <c r="L27" s="11"/>
      <c r="M27" s="6"/>
      <c r="N27" s="8"/>
      <c r="O27" s="11"/>
      <c r="P27" s="6"/>
      <c r="Q27" s="8"/>
      <c r="R27" s="9">
        <f t="shared" si="1"/>
        <v>0</v>
      </c>
      <c r="S27" s="6">
        <f t="shared" si="1"/>
        <v>0</v>
      </c>
    </row>
    <row r="28" spans="2:19" ht="18" hidden="1" x14ac:dyDescent="0.35">
      <c r="B28" s="54"/>
      <c r="C28" s="55"/>
      <c r="D28" s="6" t="s">
        <v>23</v>
      </c>
      <c r="E28" s="6">
        <v>86292</v>
      </c>
      <c r="F28" s="6">
        <v>914.4</v>
      </c>
      <c r="G28" s="6" t="s">
        <v>80</v>
      </c>
      <c r="H28" s="6" t="s">
        <v>65</v>
      </c>
      <c r="I28" s="11"/>
      <c r="J28" s="6"/>
      <c r="K28" s="8"/>
      <c r="L28" s="11"/>
      <c r="M28" s="6"/>
      <c r="N28" s="8"/>
      <c r="O28" s="11"/>
      <c r="P28" s="6"/>
      <c r="Q28" s="8"/>
      <c r="R28" s="9">
        <f t="shared" si="1"/>
        <v>0</v>
      </c>
      <c r="S28" s="6">
        <f t="shared" si="1"/>
        <v>0</v>
      </c>
    </row>
    <row r="29" spans="2:19" ht="18" hidden="1" x14ac:dyDescent="0.35">
      <c r="B29" s="6"/>
      <c r="C29" s="7" t="s">
        <v>33</v>
      </c>
      <c r="D29" s="6" t="s">
        <v>47</v>
      </c>
      <c r="E29" s="6">
        <v>1792</v>
      </c>
      <c r="F29" s="6">
        <v>230</v>
      </c>
      <c r="G29" s="6" t="s">
        <v>27</v>
      </c>
      <c r="H29" s="6" t="s">
        <v>41</v>
      </c>
      <c r="I29" s="11"/>
      <c r="J29" s="6"/>
      <c r="K29" s="8"/>
      <c r="L29" s="11"/>
      <c r="M29" s="6"/>
      <c r="N29" s="8"/>
      <c r="O29" s="11"/>
      <c r="P29" s="6"/>
      <c r="Q29" s="8"/>
      <c r="R29" s="9">
        <f t="shared" si="1"/>
        <v>0</v>
      </c>
      <c r="S29" s="6">
        <f t="shared" si="1"/>
        <v>0</v>
      </c>
    </row>
    <row r="30" spans="2:19" ht="18" x14ac:dyDescent="0.35">
      <c r="B30" s="6">
        <v>7</v>
      </c>
      <c r="C30" s="7" t="s">
        <v>30</v>
      </c>
      <c r="D30" s="6" t="s">
        <v>47</v>
      </c>
      <c r="E30" s="10">
        <v>99719</v>
      </c>
      <c r="F30" s="6">
        <v>1107</v>
      </c>
      <c r="G30" s="6" t="s">
        <v>27</v>
      </c>
      <c r="H30" s="11" t="s">
        <v>65</v>
      </c>
      <c r="I30" s="11">
        <v>88</v>
      </c>
      <c r="J30" s="6">
        <v>0</v>
      </c>
      <c r="K30" s="8" t="s">
        <v>57</v>
      </c>
      <c r="L30" s="11">
        <v>88</v>
      </c>
      <c r="M30" s="6">
        <v>0</v>
      </c>
      <c r="N30" s="8" t="s">
        <v>57</v>
      </c>
      <c r="O30" s="11">
        <v>88</v>
      </c>
      <c r="P30" s="6">
        <v>40</v>
      </c>
      <c r="Q30" s="8" t="s">
        <v>221</v>
      </c>
      <c r="R30" s="9">
        <f t="shared" si="1"/>
        <v>264</v>
      </c>
      <c r="S30" s="6">
        <f t="shared" si="1"/>
        <v>40</v>
      </c>
    </row>
    <row r="31" spans="2:19" ht="18" hidden="1" x14ac:dyDescent="0.35">
      <c r="B31" s="6"/>
      <c r="C31" s="42" t="s">
        <v>31</v>
      </c>
      <c r="D31" s="6" t="s">
        <v>47</v>
      </c>
      <c r="E31" s="6">
        <v>1792</v>
      </c>
      <c r="F31" s="6">
        <v>230</v>
      </c>
      <c r="G31" s="6" t="s">
        <v>27</v>
      </c>
      <c r="H31" s="6" t="s">
        <v>41</v>
      </c>
      <c r="I31" s="11"/>
      <c r="J31" s="6"/>
      <c r="K31" s="8"/>
      <c r="L31" s="11"/>
      <c r="M31" s="6"/>
      <c r="N31" s="8"/>
      <c r="O31" s="11"/>
      <c r="P31" s="6"/>
      <c r="Q31" s="8"/>
      <c r="R31" s="9">
        <f t="shared" si="1"/>
        <v>0</v>
      </c>
      <c r="S31" s="6">
        <f t="shared" si="1"/>
        <v>0</v>
      </c>
    </row>
    <row r="32" spans="2:19" ht="18" hidden="1" x14ac:dyDescent="0.35">
      <c r="B32" s="6"/>
      <c r="C32" s="53"/>
      <c r="D32" s="6" t="s">
        <v>47</v>
      </c>
      <c r="E32" s="6">
        <v>2439</v>
      </c>
      <c r="F32" s="6">
        <v>230</v>
      </c>
      <c r="G32" s="6" t="s">
        <v>27</v>
      </c>
      <c r="H32" s="6" t="s">
        <v>190</v>
      </c>
      <c r="I32" s="11">
        <v>146</v>
      </c>
      <c r="J32" s="6">
        <v>0</v>
      </c>
      <c r="K32" s="8" t="s">
        <v>57</v>
      </c>
      <c r="L32" s="11">
        <v>146</v>
      </c>
      <c r="M32" s="6">
        <v>0</v>
      </c>
      <c r="N32" s="8"/>
      <c r="O32" s="11">
        <v>0</v>
      </c>
      <c r="P32" s="6">
        <v>0</v>
      </c>
      <c r="Q32" s="8" t="s">
        <v>210</v>
      </c>
      <c r="R32" s="9">
        <f t="shared" si="1"/>
        <v>292</v>
      </c>
      <c r="S32" s="6">
        <f t="shared" si="1"/>
        <v>0</v>
      </c>
    </row>
    <row r="33" spans="2:19" ht="18" x14ac:dyDescent="0.35">
      <c r="B33" s="6">
        <v>8</v>
      </c>
      <c r="C33" s="43"/>
      <c r="D33" s="6"/>
      <c r="E33" s="6"/>
      <c r="F33" s="6"/>
      <c r="G33" s="6"/>
      <c r="H33" s="6"/>
      <c r="I33" s="11">
        <v>0</v>
      </c>
      <c r="J33" s="6">
        <v>0</v>
      </c>
      <c r="K33" s="8" t="s">
        <v>215</v>
      </c>
      <c r="L33" s="11">
        <v>0</v>
      </c>
      <c r="M33" s="6">
        <v>0</v>
      </c>
      <c r="N33" s="8" t="s">
        <v>57</v>
      </c>
      <c r="O33" s="11">
        <v>0</v>
      </c>
      <c r="P33" s="6">
        <v>0</v>
      </c>
      <c r="Q33" s="8" t="s">
        <v>222</v>
      </c>
      <c r="R33" s="9">
        <f t="shared" si="1"/>
        <v>0</v>
      </c>
      <c r="S33" s="6">
        <f t="shared" si="1"/>
        <v>0</v>
      </c>
    </row>
    <row r="34" spans="2:19" ht="18" hidden="1" x14ac:dyDescent="0.35">
      <c r="B34" s="6"/>
      <c r="C34" s="7" t="s">
        <v>33</v>
      </c>
      <c r="D34" s="6" t="s">
        <v>47</v>
      </c>
      <c r="E34" s="6">
        <v>2464</v>
      </c>
      <c r="F34" s="6">
        <v>2500</v>
      </c>
      <c r="G34" s="6" t="s">
        <v>187</v>
      </c>
      <c r="H34" s="6" t="s">
        <v>188</v>
      </c>
      <c r="I34" s="11">
        <v>15</v>
      </c>
      <c r="J34" s="6">
        <v>0</v>
      </c>
      <c r="K34" s="8"/>
      <c r="L34" s="11">
        <v>0</v>
      </c>
      <c r="M34" s="6">
        <v>0</v>
      </c>
      <c r="N34" s="8"/>
      <c r="O34" s="11"/>
      <c r="P34" s="6">
        <v>0</v>
      </c>
      <c r="Q34" s="8"/>
      <c r="R34" s="9">
        <f t="shared" si="1"/>
        <v>15</v>
      </c>
      <c r="S34" s="6">
        <f t="shared" si="1"/>
        <v>0</v>
      </c>
    </row>
    <row r="35" spans="2:19" ht="18" hidden="1" x14ac:dyDescent="0.35">
      <c r="B35" s="6"/>
      <c r="C35" s="7" t="s">
        <v>33</v>
      </c>
      <c r="D35" s="6" t="s">
        <v>47</v>
      </c>
      <c r="E35" s="6">
        <v>2465</v>
      </c>
      <c r="F35" s="6">
        <v>2500</v>
      </c>
      <c r="G35" s="6" t="s">
        <v>49</v>
      </c>
      <c r="H35" s="6" t="s">
        <v>191</v>
      </c>
      <c r="I35" s="11"/>
      <c r="J35" s="6">
        <v>27</v>
      </c>
      <c r="K35" s="8" t="s">
        <v>44</v>
      </c>
      <c r="L35" s="11">
        <v>27</v>
      </c>
      <c r="M35" s="6">
        <v>27</v>
      </c>
      <c r="N35" s="8" t="s">
        <v>44</v>
      </c>
      <c r="O35" s="11"/>
      <c r="P35" s="6">
        <v>27</v>
      </c>
      <c r="Q35" s="8" t="s">
        <v>44</v>
      </c>
      <c r="R35" s="9">
        <f t="shared" si="1"/>
        <v>27</v>
      </c>
      <c r="S35" s="6">
        <f t="shared" si="1"/>
        <v>81</v>
      </c>
    </row>
    <row r="36" spans="2:19" ht="18" x14ac:dyDescent="0.35">
      <c r="B36" s="6">
        <v>9</v>
      </c>
      <c r="C36" s="7" t="s">
        <v>33</v>
      </c>
      <c r="D36" s="6" t="s">
        <v>47</v>
      </c>
      <c r="E36" s="6">
        <v>1792</v>
      </c>
      <c r="F36" s="6">
        <v>5000</v>
      </c>
      <c r="G36" s="6" t="s">
        <v>49</v>
      </c>
      <c r="H36" s="6" t="s">
        <v>214</v>
      </c>
      <c r="I36" s="11">
        <v>69</v>
      </c>
      <c r="J36" s="6">
        <v>69</v>
      </c>
      <c r="K36" s="8"/>
      <c r="L36" s="11">
        <v>0</v>
      </c>
      <c r="M36" s="6">
        <v>0</v>
      </c>
      <c r="N36" s="8" t="s">
        <v>219</v>
      </c>
      <c r="O36" s="11">
        <v>0</v>
      </c>
      <c r="P36" s="6">
        <v>0</v>
      </c>
      <c r="Q36" s="8"/>
      <c r="R36" s="9">
        <f t="shared" si="1"/>
        <v>69</v>
      </c>
      <c r="S36" s="6">
        <f t="shared" si="1"/>
        <v>69</v>
      </c>
    </row>
    <row r="37" spans="2:19" ht="18" x14ac:dyDescent="0.35">
      <c r="B37" s="6">
        <v>10</v>
      </c>
      <c r="C37" s="7" t="s">
        <v>33</v>
      </c>
      <c r="D37" s="6" t="s">
        <v>47</v>
      </c>
      <c r="E37" s="6">
        <v>2439</v>
      </c>
      <c r="F37" s="6">
        <v>230</v>
      </c>
      <c r="G37" s="6" t="s">
        <v>27</v>
      </c>
      <c r="H37" s="6" t="s">
        <v>41</v>
      </c>
      <c r="I37" s="11">
        <v>0</v>
      </c>
      <c r="J37" s="6">
        <v>0</v>
      </c>
      <c r="K37" s="8"/>
      <c r="L37" s="11">
        <v>146</v>
      </c>
      <c r="M37" s="6">
        <v>120</v>
      </c>
      <c r="N37" s="8" t="s">
        <v>44</v>
      </c>
      <c r="O37" s="11">
        <v>60</v>
      </c>
      <c r="P37" s="6">
        <v>49</v>
      </c>
      <c r="Q37" s="8" t="s">
        <v>223</v>
      </c>
      <c r="R37" s="9">
        <f t="shared" si="1"/>
        <v>206</v>
      </c>
      <c r="S37" s="6">
        <f t="shared" si="1"/>
        <v>169</v>
      </c>
    </row>
    <row r="38" spans="2:19" ht="18" hidden="1" x14ac:dyDescent="0.35">
      <c r="B38" s="6"/>
      <c r="C38" s="7" t="s">
        <v>33</v>
      </c>
      <c r="D38" s="6" t="s">
        <v>47</v>
      </c>
      <c r="E38" s="6">
        <v>1792</v>
      </c>
      <c r="F38" s="6">
        <v>5000</v>
      </c>
      <c r="G38" s="6" t="s">
        <v>49</v>
      </c>
      <c r="H38" s="6" t="s">
        <v>204</v>
      </c>
      <c r="I38" s="11"/>
      <c r="J38" s="6"/>
      <c r="K38" s="8"/>
      <c r="L38" s="11">
        <v>14</v>
      </c>
      <c r="M38" s="6">
        <v>14</v>
      </c>
      <c r="N38" s="8" t="s">
        <v>44</v>
      </c>
      <c r="O38" s="11">
        <v>0</v>
      </c>
      <c r="P38" s="6"/>
      <c r="Q38" s="8"/>
      <c r="R38" s="9">
        <f t="shared" si="1"/>
        <v>14</v>
      </c>
      <c r="S38" s="6">
        <f t="shared" si="1"/>
        <v>14</v>
      </c>
    </row>
    <row r="39" spans="2:19" ht="18" hidden="1" x14ac:dyDescent="0.35">
      <c r="B39" s="6"/>
      <c r="C39" s="7" t="s">
        <v>33</v>
      </c>
      <c r="D39" s="6" t="s">
        <v>47</v>
      </c>
      <c r="E39" s="6">
        <v>1792</v>
      </c>
      <c r="F39" s="6">
        <v>5000</v>
      </c>
      <c r="G39" s="6">
        <v>8</v>
      </c>
      <c r="H39" s="6" t="s">
        <v>129</v>
      </c>
      <c r="I39" s="11"/>
      <c r="J39" s="6"/>
      <c r="K39" s="8"/>
      <c r="L39" s="11">
        <v>15</v>
      </c>
      <c r="M39" s="6">
        <v>13</v>
      </c>
      <c r="N39" s="8" t="s">
        <v>44</v>
      </c>
      <c r="O39" s="11">
        <v>73</v>
      </c>
      <c r="P39" s="6">
        <v>32</v>
      </c>
      <c r="Q39" s="8"/>
      <c r="R39" s="9">
        <f t="shared" si="1"/>
        <v>88</v>
      </c>
      <c r="S39" s="6">
        <f t="shared" si="1"/>
        <v>45</v>
      </c>
    </row>
    <row r="40" spans="2:19" ht="18" x14ac:dyDescent="0.3">
      <c r="B40" s="6">
        <v>10</v>
      </c>
      <c r="C40" s="7" t="s">
        <v>34</v>
      </c>
      <c r="D40" s="6" t="s">
        <v>64</v>
      </c>
      <c r="E40" s="6">
        <v>90129</v>
      </c>
      <c r="F40" s="6">
        <v>2540</v>
      </c>
      <c r="G40" s="6" t="s">
        <v>49</v>
      </c>
      <c r="H40" s="6" t="s">
        <v>205</v>
      </c>
      <c r="I40" s="6">
        <v>124</v>
      </c>
      <c r="J40" s="6">
        <v>108</v>
      </c>
      <c r="K40" s="8" t="s">
        <v>217</v>
      </c>
      <c r="L40" s="6">
        <v>124</v>
      </c>
      <c r="M40" s="6">
        <v>108</v>
      </c>
      <c r="N40" s="8" t="s">
        <v>218</v>
      </c>
      <c r="O40" s="6">
        <v>124</v>
      </c>
      <c r="P40" s="6">
        <v>90</v>
      </c>
      <c r="Q40" s="8"/>
      <c r="R40" s="9">
        <f t="shared" si="1"/>
        <v>372</v>
      </c>
      <c r="S40" s="6">
        <f t="shared" si="1"/>
        <v>306</v>
      </c>
    </row>
    <row r="41" spans="2:19" ht="18" hidden="1" x14ac:dyDescent="0.35">
      <c r="B41" s="6"/>
      <c r="C41" s="7" t="s">
        <v>35</v>
      </c>
      <c r="D41" s="6" t="s">
        <v>19</v>
      </c>
      <c r="E41" s="6">
        <v>2122</v>
      </c>
      <c r="F41" s="6">
        <v>796.5</v>
      </c>
      <c r="G41" s="6" t="s">
        <v>138</v>
      </c>
      <c r="H41" s="6" t="s">
        <v>37</v>
      </c>
      <c r="I41" s="11"/>
      <c r="J41" s="6"/>
      <c r="K41" s="8"/>
      <c r="L41" s="6"/>
      <c r="M41" s="6"/>
      <c r="N41" s="8"/>
      <c r="O41" s="6"/>
      <c r="P41" s="6"/>
      <c r="Q41" s="8"/>
      <c r="R41" s="9">
        <f t="shared" si="1"/>
        <v>0</v>
      </c>
      <c r="S41" s="6">
        <f t="shared" si="1"/>
        <v>0</v>
      </c>
    </row>
    <row r="42" spans="2:19" ht="18" x14ac:dyDescent="0.35">
      <c r="B42" s="6">
        <v>12</v>
      </c>
      <c r="C42" s="7" t="s">
        <v>35</v>
      </c>
      <c r="D42" s="6" t="s">
        <v>19</v>
      </c>
      <c r="E42" s="6">
        <v>2122</v>
      </c>
      <c r="F42" s="6">
        <v>796.5</v>
      </c>
      <c r="G42" s="6" t="s">
        <v>138</v>
      </c>
      <c r="H42" s="6" t="s">
        <v>41</v>
      </c>
      <c r="I42" s="11">
        <v>146</v>
      </c>
      <c r="J42" s="6">
        <v>0</v>
      </c>
      <c r="K42" s="8" t="s">
        <v>29</v>
      </c>
      <c r="L42" s="6">
        <v>0</v>
      </c>
      <c r="M42" s="6">
        <v>0</v>
      </c>
      <c r="N42" s="8" t="s">
        <v>29</v>
      </c>
      <c r="O42" s="6">
        <v>0</v>
      </c>
      <c r="P42" s="6">
        <v>0</v>
      </c>
      <c r="Q42" s="8" t="s">
        <v>211</v>
      </c>
      <c r="R42" s="9">
        <f t="shared" si="1"/>
        <v>146</v>
      </c>
      <c r="S42" s="6">
        <f t="shared" si="1"/>
        <v>0</v>
      </c>
    </row>
    <row r="49" spans="9:14" x14ac:dyDescent="0.3">
      <c r="I49" t="s">
        <v>50</v>
      </c>
      <c r="N49" t="s">
        <v>50</v>
      </c>
    </row>
  </sheetData>
  <mergeCells count="15">
    <mergeCell ref="B27:B28"/>
    <mergeCell ref="C27:C28"/>
    <mergeCell ref="C31:C33"/>
    <mergeCell ref="C14:C15"/>
    <mergeCell ref="D14:D15"/>
    <mergeCell ref="B24:B25"/>
    <mergeCell ref="D24:D25"/>
    <mergeCell ref="E24:E25"/>
    <mergeCell ref="F24:F25"/>
    <mergeCell ref="B5:N5"/>
    <mergeCell ref="R5:S5"/>
    <mergeCell ref="I6:K6"/>
    <mergeCell ref="L6:N6"/>
    <mergeCell ref="O6:Q6"/>
    <mergeCell ref="C8:C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5:S27"/>
  <sheetViews>
    <sheetView topLeftCell="D1" zoomScale="70" zoomScaleNormal="70" workbookViewId="0">
      <selection activeCell="S13" sqref="S13"/>
    </sheetView>
  </sheetViews>
  <sheetFormatPr defaultRowHeight="14.4" x14ac:dyDescent="0.3"/>
  <cols>
    <col min="3" max="3" width="14" customWidth="1"/>
    <col min="4" max="4" width="17.109375" customWidth="1"/>
    <col min="7" max="7" width="15.88671875" customWidth="1"/>
    <col min="8" max="8" width="17.109375" customWidth="1"/>
    <col min="9" max="10" width="9.109375" customWidth="1"/>
    <col min="11" max="11" width="31.44140625" customWidth="1"/>
    <col min="12" max="13" width="9.109375" customWidth="1"/>
    <col min="14" max="14" width="45.5546875" customWidth="1"/>
    <col min="16" max="16" width="13.88671875" customWidth="1"/>
    <col min="17" max="17" width="20.5546875" bestFit="1" customWidth="1"/>
  </cols>
  <sheetData>
    <row r="5" spans="2:19" ht="18" x14ac:dyDescent="0.35">
      <c r="B5" s="44" t="s">
        <v>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  <c r="O5" s="1" t="s">
        <v>1</v>
      </c>
      <c r="P5" s="2" t="s">
        <v>220</v>
      </c>
      <c r="Q5" s="1" t="s">
        <v>2</v>
      </c>
      <c r="R5" s="47"/>
      <c r="S5" s="48"/>
    </row>
    <row r="6" spans="2:19" ht="54" x14ac:dyDescent="0.3">
      <c r="B6" s="4" t="s">
        <v>3</v>
      </c>
      <c r="C6" s="4" t="s">
        <v>4</v>
      </c>
      <c r="D6" s="4" t="s">
        <v>5</v>
      </c>
      <c r="E6" s="5" t="s">
        <v>6</v>
      </c>
      <c r="F6" s="4" t="s">
        <v>7</v>
      </c>
      <c r="G6" s="4" t="s">
        <v>8</v>
      </c>
      <c r="H6" s="5"/>
      <c r="I6" s="49" t="s">
        <v>9</v>
      </c>
      <c r="J6" s="50"/>
      <c r="K6" s="51"/>
      <c r="L6" s="49" t="s">
        <v>10</v>
      </c>
      <c r="M6" s="50"/>
      <c r="N6" s="51"/>
      <c r="O6" s="49" t="s">
        <v>11</v>
      </c>
      <c r="P6" s="50"/>
      <c r="Q6" s="51"/>
      <c r="R6" s="4" t="s">
        <v>12</v>
      </c>
      <c r="S6" s="4" t="s">
        <v>13</v>
      </c>
    </row>
    <row r="7" spans="2:19" ht="18" x14ac:dyDescent="0.3">
      <c r="B7" s="3"/>
      <c r="C7" s="4"/>
      <c r="D7" s="4"/>
      <c r="E7" s="5"/>
      <c r="F7" s="4"/>
      <c r="G7" s="4"/>
      <c r="H7" s="5" t="s">
        <v>14</v>
      </c>
      <c r="I7" s="5" t="s">
        <v>15</v>
      </c>
      <c r="J7" s="5" t="s">
        <v>16</v>
      </c>
      <c r="K7" s="5" t="s">
        <v>17</v>
      </c>
      <c r="L7" s="5" t="s">
        <v>15</v>
      </c>
      <c r="M7" s="5" t="s">
        <v>16</v>
      </c>
      <c r="N7" s="5" t="s">
        <v>17</v>
      </c>
      <c r="O7" s="5" t="s">
        <v>15</v>
      </c>
      <c r="P7" s="5" t="s">
        <v>16</v>
      </c>
      <c r="Q7" s="5" t="s">
        <v>17</v>
      </c>
      <c r="R7" s="9" t="s">
        <v>50</v>
      </c>
      <c r="S7" s="6"/>
    </row>
    <row r="8" spans="2:19" ht="18" x14ac:dyDescent="0.35">
      <c r="B8" s="6">
        <v>1</v>
      </c>
      <c r="C8" s="13" t="s">
        <v>18</v>
      </c>
      <c r="D8" s="6" t="s">
        <v>19</v>
      </c>
      <c r="E8" s="6">
        <v>2191</v>
      </c>
      <c r="F8" s="6">
        <v>489.7</v>
      </c>
      <c r="G8" s="6" t="s">
        <v>20</v>
      </c>
      <c r="H8" s="6" t="s">
        <v>214</v>
      </c>
      <c r="I8" s="11">
        <v>73</v>
      </c>
      <c r="J8" s="6">
        <v>73</v>
      </c>
      <c r="K8" s="8"/>
      <c r="L8" s="11">
        <v>73</v>
      </c>
      <c r="M8" s="6">
        <v>64</v>
      </c>
      <c r="N8" s="8" t="s">
        <v>59</v>
      </c>
      <c r="O8" s="11">
        <v>0</v>
      </c>
      <c r="P8" s="6">
        <v>0</v>
      </c>
      <c r="Q8" s="8" t="s">
        <v>234</v>
      </c>
      <c r="R8" s="9">
        <f t="shared" ref="R8:S13" si="0">I8+L8+O8</f>
        <v>146</v>
      </c>
      <c r="S8" s="6">
        <f t="shared" si="0"/>
        <v>137</v>
      </c>
    </row>
    <row r="9" spans="2:19" ht="18" x14ac:dyDescent="0.35">
      <c r="B9" s="6">
        <v>2</v>
      </c>
      <c r="C9" s="7" t="s">
        <v>212</v>
      </c>
      <c r="D9" s="6" t="s">
        <v>225</v>
      </c>
      <c r="E9" s="6">
        <v>2123</v>
      </c>
      <c r="F9" s="6">
        <v>418.2</v>
      </c>
      <c r="G9" s="6" t="s">
        <v>24</v>
      </c>
      <c r="H9" s="6" t="s">
        <v>129</v>
      </c>
      <c r="I9" s="11">
        <v>88</v>
      </c>
      <c r="J9" s="6">
        <v>28</v>
      </c>
      <c r="K9" s="8" t="s">
        <v>57</v>
      </c>
      <c r="L9" s="11">
        <v>88</v>
      </c>
      <c r="M9" s="6">
        <v>0</v>
      </c>
      <c r="N9" s="8" t="s">
        <v>57</v>
      </c>
      <c r="O9" s="11">
        <v>88</v>
      </c>
      <c r="P9" s="6">
        <v>88</v>
      </c>
      <c r="Q9" s="8"/>
      <c r="R9" s="9">
        <f t="shared" si="0"/>
        <v>264</v>
      </c>
      <c r="S9" s="6">
        <f t="shared" si="0"/>
        <v>116</v>
      </c>
    </row>
    <row r="10" spans="2:19" ht="18" x14ac:dyDescent="0.3">
      <c r="B10" s="6">
        <v>3</v>
      </c>
      <c r="C10" s="7" t="s">
        <v>77</v>
      </c>
      <c r="D10" s="6" t="s">
        <v>213</v>
      </c>
      <c r="E10" s="10">
        <v>98812</v>
      </c>
      <c r="F10" s="6">
        <v>292.2</v>
      </c>
      <c r="G10" s="6" t="s">
        <v>27</v>
      </c>
      <c r="H10" s="6" t="s">
        <v>209</v>
      </c>
      <c r="I10" s="6">
        <v>100</v>
      </c>
      <c r="J10" s="6">
        <v>0</v>
      </c>
      <c r="K10" s="8" t="s">
        <v>228</v>
      </c>
      <c r="L10" s="6">
        <v>0</v>
      </c>
      <c r="M10" s="6"/>
      <c r="N10" s="8"/>
      <c r="O10" s="6">
        <v>0</v>
      </c>
      <c r="P10" s="6"/>
      <c r="Q10" s="8" t="s">
        <v>234</v>
      </c>
      <c r="R10" s="9">
        <f t="shared" ref="R10:S20" si="1">I10+L10+O10</f>
        <v>100</v>
      </c>
      <c r="S10" s="6">
        <f t="shared" si="0"/>
        <v>0</v>
      </c>
    </row>
    <row r="11" spans="2:19" ht="18" x14ac:dyDescent="0.35">
      <c r="B11" s="6">
        <v>4</v>
      </c>
      <c r="C11" s="17" t="s">
        <v>77</v>
      </c>
      <c r="D11" s="6" t="s">
        <v>19</v>
      </c>
      <c r="E11" s="6">
        <v>2191</v>
      </c>
      <c r="F11" s="6">
        <v>489.7</v>
      </c>
      <c r="G11" s="6" t="s">
        <v>20</v>
      </c>
      <c r="H11" s="6" t="s">
        <v>214</v>
      </c>
      <c r="I11" s="11"/>
      <c r="J11" s="6"/>
      <c r="K11" s="8" t="s">
        <v>231</v>
      </c>
      <c r="L11" s="6">
        <v>73</v>
      </c>
      <c r="M11" s="6">
        <v>64</v>
      </c>
      <c r="N11" s="8" t="s">
        <v>59</v>
      </c>
      <c r="O11" s="6">
        <v>0</v>
      </c>
      <c r="P11" s="6">
        <v>0</v>
      </c>
      <c r="Q11" s="8" t="s">
        <v>234</v>
      </c>
      <c r="R11" s="9">
        <f t="shared" si="1"/>
        <v>73</v>
      </c>
      <c r="S11" s="6"/>
    </row>
    <row r="12" spans="2:19" ht="18" x14ac:dyDescent="0.35">
      <c r="B12" s="6">
        <v>5</v>
      </c>
      <c r="C12" s="7" t="s">
        <v>25</v>
      </c>
      <c r="D12" s="6" t="s">
        <v>213</v>
      </c>
      <c r="E12" s="6">
        <v>98812</v>
      </c>
      <c r="F12" s="6">
        <v>292</v>
      </c>
      <c r="G12" s="6" t="s">
        <v>27</v>
      </c>
      <c r="H12" s="6" t="s">
        <v>209</v>
      </c>
      <c r="I12" s="11">
        <v>146</v>
      </c>
      <c r="J12" s="6">
        <v>85</v>
      </c>
      <c r="K12" s="8" t="s">
        <v>224</v>
      </c>
      <c r="L12" s="11">
        <v>146</v>
      </c>
      <c r="M12" s="6">
        <v>125</v>
      </c>
      <c r="N12" s="8" t="s">
        <v>59</v>
      </c>
      <c r="O12" s="11">
        <v>0</v>
      </c>
      <c r="P12" s="6">
        <v>0</v>
      </c>
      <c r="Q12" s="8" t="s">
        <v>234</v>
      </c>
      <c r="R12" s="9">
        <f t="shared" si="1"/>
        <v>292</v>
      </c>
      <c r="S12" s="6">
        <f t="shared" si="0"/>
        <v>210</v>
      </c>
    </row>
    <row r="13" spans="2:19" ht="18" x14ac:dyDescent="0.35">
      <c r="B13" s="6">
        <v>6</v>
      </c>
      <c r="C13" s="7" t="s">
        <v>28</v>
      </c>
      <c r="D13" s="6" t="s">
        <v>213</v>
      </c>
      <c r="E13" s="6">
        <v>98812</v>
      </c>
      <c r="F13" s="6">
        <v>292</v>
      </c>
      <c r="G13" s="6" t="s">
        <v>27</v>
      </c>
      <c r="H13" s="6" t="s">
        <v>209</v>
      </c>
      <c r="I13" s="11">
        <v>146</v>
      </c>
      <c r="J13" s="6">
        <v>0</v>
      </c>
      <c r="K13" s="8" t="s">
        <v>229</v>
      </c>
      <c r="L13" s="11">
        <v>146</v>
      </c>
      <c r="M13" s="6">
        <v>126</v>
      </c>
      <c r="N13" s="8" t="s">
        <v>59</v>
      </c>
      <c r="O13" s="11">
        <v>0</v>
      </c>
      <c r="P13" s="6">
        <v>0</v>
      </c>
      <c r="Q13" s="8" t="s">
        <v>234</v>
      </c>
      <c r="R13" s="9">
        <f t="shared" si="1"/>
        <v>292</v>
      </c>
      <c r="S13" s="6">
        <f t="shared" si="0"/>
        <v>126</v>
      </c>
    </row>
    <row r="14" spans="2:19" ht="18" x14ac:dyDescent="0.35">
      <c r="B14" s="6">
        <v>7</v>
      </c>
      <c r="C14" s="7" t="s">
        <v>30</v>
      </c>
      <c r="D14" s="6" t="s">
        <v>47</v>
      </c>
      <c r="E14" s="10">
        <v>99719</v>
      </c>
      <c r="F14" s="6">
        <v>1107</v>
      </c>
      <c r="G14" s="6" t="s">
        <v>27</v>
      </c>
      <c r="H14" s="11" t="s">
        <v>129</v>
      </c>
      <c r="I14" s="11">
        <v>88</v>
      </c>
      <c r="J14" s="6">
        <v>44</v>
      </c>
      <c r="K14" s="8" t="s">
        <v>57</v>
      </c>
      <c r="L14" s="11">
        <v>88</v>
      </c>
      <c r="M14" s="6">
        <v>0</v>
      </c>
      <c r="N14" s="8" t="s">
        <v>57</v>
      </c>
      <c r="O14" s="11">
        <v>88</v>
      </c>
      <c r="P14" s="6">
        <v>88</v>
      </c>
      <c r="Q14" s="8"/>
      <c r="R14" s="9">
        <f t="shared" si="1"/>
        <v>264</v>
      </c>
      <c r="S14" s="6">
        <f t="shared" si="1"/>
        <v>132</v>
      </c>
    </row>
    <row r="15" spans="2:19" ht="18" x14ac:dyDescent="0.35">
      <c r="B15" s="40">
        <v>8</v>
      </c>
      <c r="C15" s="42" t="s">
        <v>31</v>
      </c>
      <c r="D15" s="6" t="s">
        <v>47</v>
      </c>
      <c r="E15" s="6">
        <v>2439</v>
      </c>
      <c r="F15" s="6">
        <v>230</v>
      </c>
      <c r="G15" s="6" t="s">
        <v>27</v>
      </c>
      <c r="H15" s="6" t="s">
        <v>209</v>
      </c>
      <c r="I15" s="11">
        <v>140</v>
      </c>
      <c r="J15" s="6">
        <v>140</v>
      </c>
      <c r="K15" s="8"/>
      <c r="L15" s="11">
        <v>140</v>
      </c>
      <c r="M15" s="6">
        <v>126</v>
      </c>
      <c r="N15" s="8" t="s">
        <v>59</v>
      </c>
      <c r="O15" s="11">
        <v>0</v>
      </c>
      <c r="P15" s="6">
        <v>0</v>
      </c>
      <c r="Q15" s="8"/>
      <c r="R15" s="9">
        <f t="shared" si="1"/>
        <v>280</v>
      </c>
      <c r="S15" s="6">
        <f t="shared" si="1"/>
        <v>266</v>
      </c>
    </row>
    <row r="16" spans="2:19" ht="18" x14ac:dyDescent="0.35">
      <c r="B16" s="41"/>
      <c r="C16" s="43"/>
      <c r="D16" s="6" t="s">
        <v>232</v>
      </c>
      <c r="E16" s="6">
        <v>83831</v>
      </c>
      <c r="F16" s="6">
        <v>899</v>
      </c>
      <c r="G16" s="6" t="s">
        <v>27</v>
      </c>
      <c r="H16" s="6" t="s">
        <v>209</v>
      </c>
      <c r="I16" s="11">
        <v>0</v>
      </c>
      <c r="J16" s="6">
        <v>0</v>
      </c>
      <c r="K16" s="8"/>
      <c r="L16" s="11">
        <v>0</v>
      </c>
      <c r="M16" s="6">
        <v>0</v>
      </c>
      <c r="N16" s="8"/>
      <c r="O16" s="11">
        <v>100</v>
      </c>
      <c r="P16" s="6">
        <v>70</v>
      </c>
      <c r="Q16" s="8" t="s">
        <v>224</v>
      </c>
      <c r="R16" s="9">
        <f t="shared" si="1"/>
        <v>100</v>
      </c>
      <c r="S16" s="6"/>
    </row>
    <row r="17" spans="2:19" ht="18" x14ac:dyDescent="0.35">
      <c r="B17" s="40">
        <v>9</v>
      </c>
      <c r="C17" s="42" t="s">
        <v>33</v>
      </c>
      <c r="D17" s="6" t="s">
        <v>47</v>
      </c>
      <c r="E17" s="6">
        <v>2445</v>
      </c>
      <c r="F17" s="6">
        <v>5000</v>
      </c>
      <c r="G17" s="6" t="s">
        <v>27</v>
      </c>
      <c r="H17" s="6" t="s">
        <v>226</v>
      </c>
      <c r="I17" s="11">
        <v>41</v>
      </c>
      <c r="J17" s="6">
        <v>41</v>
      </c>
      <c r="K17" s="8"/>
      <c r="L17" s="11">
        <v>0</v>
      </c>
      <c r="M17" s="6">
        <v>0</v>
      </c>
      <c r="N17" s="8" t="s">
        <v>57</v>
      </c>
      <c r="O17" s="11">
        <v>9</v>
      </c>
      <c r="P17" s="6">
        <v>9</v>
      </c>
      <c r="Q17" s="8"/>
      <c r="R17" s="9">
        <f t="shared" si="1"/>
        <v>50</v>
      </c>
      <c r="S17" s="6">
        <f t="shared" si="1"/>
        <v>50</v>
      </c>
    </row>
    <row r="18" spans="2:19" ht="18" x14ac:dyDescent="0.35">
      <c r="B18" s="41"/>
      <c r="C18" s="43"/>
      <c r="D18" s="6" t="s">
        <v>47</v>
      </c>
      <c r="E18" s="6">
        <v>2473</v>
      </c>
      <c r="F18" s="6">
        <v>5100</v>
      </c>
      <c r="G18" s="6" t="s">
        <v>27</v>
      </c>
      <c r="H18" s="6" t="s">
        <v>129</v>
      </c>
      <c r="I18" s="11">
        <v>0</v>
      </c>
      <c r="J18" s="6">
        <v>0</v>
      </c>
      <c r="K18" s="8"/>
      <c r="L18" s="11">
        <v>0</v>
      </c>
      <c r="M18" s="6">
        <v>0</v>
      </c>
      <c r="N18" s="8"/>
      <c r="O18" s="11">
        <v>88</v>
      </c>
      <c r="P18" s="6">
        <v>74</v>
      </c>
      <c r="Q18" s="8"/>
      <c r="R18" s="9">
        <f t="shared" si="1"/>
        <v>88</v>
      </c>
      <c r="S18" s="6">
        <f t="shared" si="1"/>
        <v>74</v>
      </c>
    </row>
    <row r="19" spans="2:19" ht="18" x14ac:dyDescent="0.3">
      <c r="B19" s="6">
        <v>10</v>
      </c>
      <c r="C19" s="7" t="s">
        <v>34</v>
      </c>
      <c r="D19" s="6" t="s">
        <v>64</v>
      </c>
      <c r="E19" s="6">
        <v>90129</v>
      </c>
      <c r="F19" s="6">
        <v>2540</v>
      </c>
      <c r="G19" s="6" t="s">
        <v>49</v>
      </c>
      <c r="H19" s="6" t="s">
        <v>227</v>
      </c>
      <c r="I19" s="6">
        <v>124</v>
      </c>
      <c r="J19" s="6">
        <v>120</v>
      </c>
      <c r="K19" s="8"/>
      <c r="L19" s="6">
        <v>124</v>
      </c>
      <c r="M19" s="6">
        <v>120</v>
      </c>
      <c r="N19" s="8"/>
      <c r="O19" s="6">
        <v>124</v>
      </c>
      <c r="P19" s="6">
        <v>110</v>
      </c>
      <c r="Q19" s="8" t="s">
        <v>233</v>
      </c>
      <c r="R19" s="9">
        <f t="shared" si="1"/>
        <v>372</v>
      </c>
      <c r="S19" s="6">
        <f t="shared" si="1"/>
        <v>350</v>
      </c>
    </row>
    <row r="20" spans="2:19" ht="18" x14ac:dyDescent="0.35">
      <c r="B20" s="6">
        <v>10</v>
      </c>
      <c r="C20" s="7" t="s">
        <v>35</v>
      </c>
      <c r="D20" s="6" t="s">
        <v>19</v>
      </c>
      <c r="E20" s="6">
        <v>2122</v>
      </c>
      <c r="F20" s="6">
        <v>796.5</v>
      </c>
      <c r="G20" s="6" t="s">
        <v>138</v>
      </c>
      <c r="H20" s="6" t="s">
        <v>209</v>
      </c>
      <c r="I20" s="11">
        <v>0</v>
      </c>
      <c r="J20" s="6">
        <v>0</v>
      </c>
      <c r="K20" s="8" t="s">
        <v>230</v>
      </c>
      <c r="L20" s="6">
        <v>0</v>
      </c>
      <c r="M20" s="6">
        <v>0</v>
      </c>
      <c r="N20" s="8" t="s">
        <v>230</v>
      </c>
      <c r="O20" s="6">
        <v>0</v>
      </c>
      <c r="P20" s="6">
        <v>0</v>
      </c>
      <c r="Q20" s="8" t="s">
        <v>234</v>
      </c>
      <c r="R20" s="9">
        <f t="shared" si="1"/>
        <v>0</v>
      </c>
      <c r="S20" s="6">
        <f t="shared" si="1"/>
        <v>0</v>
      </c>
    </row>
    <row r="22" spans="2:19" x14ac:dyDescent="0.3">
      <c r="N22" t="s">
        <v>50</v>
      </c>
    </row>
    <row r="26" spans="2:19" x14ac:dyDescent="0.3">
      <c r="S26">
        <v>10</v>
      </c>
    </row>
    <row r="27" spans="2:19" x14ac:dyDescent="0.3">
      <c r="I27" t="s">
        <v>50</v>
      </c>
      <c r="N27" t="s">
        <v>50</v>
      </c>
    </row>
  </sheetData>
  <mergeCells count="9">
    <mergeCell ref="C17:C18"/>
    <mergeCell ref="B17:B18"/>
    <mergeCell ref="B5:N5"/>
    <mergeCell ref="R5:S5"/>
    <mergeCell ref="I6:K6"/>
    <mergeCell ref="L6:N6"/>
    <mergeCell ref="O6:Q6"/>
    <mergeCell ref="B15:B16"/>
    <mergeCell ref="C15:C16"/>
  </mergeCells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5:S29"/>
  <sheetViews>
    <sheetView zoomScale="70" zoomScaleNormal="70" workbookViewId="0">
      <selection activeCell="D12" sqref="D12:H12"/>
    </sheetView>
  </sheetViews>
  <sheetFormatPr defaultRowHeight="14.4" x14ac:dyDescent="0.3"/>
  <cols>
    <col min="1" max="1" width="3.5546875" customWidth="1"/>
    <col min="3" max="3" width="14" customWidth="1"/>
    <col min="4" max="4" width="17.109375" customWidth="1"/>
    <col min="7" max="7" width="15.88671875" customWidth="1"/>
    <col min="8" max="8" width="17.109375" customWidth="1"/>
    <col min="9" max="10" width="9.109375" customWidth="1"/>
    <col min="11" max="11" width="40.44140625" customWidth="1"/>
    <col min="12" max="13" width="9.109375" customWidth="1"/>
    <col min="14" max="14" width="45.5546875" customWidth="1"/>
    <col min="16" max="16" width="13.88671875" customWidth="1"/>
    <col min="17" max="17" width="22.88671875" customWidth="1"/>
    <col min="19" max="19" width="14.6640625" customWidth="1"/>
    <col min="20" max="20" width="4.6640625" customWidth="1"/>
  </cols>
  <sheetData>
    <row r="5" spans="2:19" ht="18" x14ac:dyDescent="0.35">
      <c r="B5" s="44" t="s">
        <v>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  <c r="O5" s="1" t="s">
        <v>1</v>
      </c>
      <c r="P5" s="2" t="s">
        <v>241</v>
      </c>
      <c r="Q5" s="1" t="s">
        <v>2</v>
      </c>
      <c r="R5" s="47"/>
      <c r="S5" s="48"/>
    </row>
    <row r="6" spans="2:19" ht="54" x14ac:dyDescent="0.3">
      <c r="B6" s="4" t="s">
        <v>3</v>
      </c>
      <c r="C6" s="4" t="s">
        <v>4</v>
      </c>
      <c r="D6" s="4" t="s">
        <v>5</v>
      </c>
      <c r="E6" s="5" t="s">
        <v>6</v>
      </c>
      <c r="F6" s="4" t="s">
        <v>7</v>
      </c>
      <c r="G6" s="4" t="s">
        <v>8</v>
      </c>
      <c r="H6" s="5"/>
      <c r="I6" s="49" t="s">
        <v>9</v>
      </c>
      <c r="J6" s="50"/>
      <c r="K6" s="51"/>
      <c r="L6" s="49" t="s">
        <v>10</v>
      </c>
      <c r="M6" s="50"/>
      <c r="N6" s="51"/>
      <c r="O6" s="49" t="s">
        <v>11</v>
      </c>
      <c r="P6" s="50"/>
      <c r="Q6" s="51"/>
      <c r="R6" s="4" t="s">
        <v>12</v>
      </c>
      <c r="S6" s="4" t="s">
        <v>13</v>
      </c>
    </row>
    <row r="7" spans="2:19" ht="18" x14ac:dyDescent="0.3">
      <c r="B7" s="3"/>
      <c r="C7" s="4"/>
      <c r="D7" s="4"/>
      <c r="E7" s="5"/>
      <c r="F7" s="4"/>
      <c r="G7" s="4"/>
      <c r="H7" s="5" t="s">
        <v>14</v>
      </c>
      <c r="I7" s="5" t="s">
        <v>15</v>
      </c>
      <c r="J7" s="5" t="s">
        <v>16</v>
      </c>
      <c r="K7" s="5" t="s">
        <v>17</v>
      </c>
      <c r="L7" s="5" t="s">
        <v>15</v>
      </c>
      <c r="M7" s="5" t="s">
        <v>16</v>
      </c>
      <c r="N7" s="5" t="s">
        <v>17</v>
      </c>
      <c r="O7" s="5" t="s">
        <v>15</v>
      </c>
      <c r="P7" s="5" t="s">
        <v>16</v>
      </c>
      <c r="Q7" s="5" t="s">
        <v>17</v>
      </c>
      <c r="R7" s="9" t="s">
        <v>50</v>
      </c>
      <c r="S7" s="6"/>
    </row>
    <row r="8" spans="2:19" ht="18" x14ac:dyDescent="0.35">
      <c r="B8" s="6">
        <v>1</v>
      </c>
      <c r="C8" s="13" t="s">
        <v>18</v>
      </c>
      <c r="D8" s="6" t="s">
        <v>19</v>
      </c>
      <c r="E8" s="6">
        <v>2191</v>
      </c>
      <c r="F8" s="6">
        <v>489.7</v>
      </c>
      <c r="G8" s="6" t="s">
        <v>20</v>
      </c>
      <c r="H8" s="6" t="s">
        <v>214</v>
      </c>
      <c r="I8" s="11">
        <v>73</v>
      </c>
      <c r="J8" s="6">
        <v>0</v>
      </c>
      <c r="K8" s="8" t="s">
        <v>243</v>
      </c>
      <c r="L8" s="11">
        <v>0</v>
      </c>
      <c r="M8" s="6">
        <v>0</v>
      </c>
      <c r="N8" s="8" t="s">
        <v>57</v>
      </c>
      <c r="O8" s="11">
        <v>73</v>
      </c>
      <c r="P8" s="6"/>
      <c r="Q8" s="8" t="s">
        <v>234</v>
      </c>
      <c r="R8" s="9">
        <f t="shared" ref="R8:R18" si="0">I8+L8+O8</f>
        <v>146</v>
      </c>
      <c r="S8" s="6">
        <f>P8+M8+J8</f>
        <v>0</v>
      </c>
    </row>
    <row r="9" spans="2:19" ht="18" x14ac:dyDescent="0.35">
      <c r="B9" s="6">
        <v>2</v>
      </c>
      <c r="C9" s="7" t="s">
        <v>212</v>
      </c>
      <c r="D9" s="6" t="s">
        <v>225</v>
      </c>
      <c r="E9" s="6">
        <v>2123</v>
      </c>
      <c r="F9" s="6">
        <v>418.2</v>
      </c>
      <c r="G9" s="6" t="s">
        <v>24</v>
      </c>
      <c r="H9" s="6" t="s">
        <v>129</v>
      </c>
      <c r="I9" s="11">
        <v>88</v>
      </c>
      <c r="J9" s="6">
        <v>66</v>
      </c>
      <c r="K9" s="8" t="s">
        <v>243</v>
      </c>
      <c r="L9" s="11">
        <v>0</v>
      </c>
      <c r="M9" s="6">
        <v>0</v>
      </c>
      <c r="N9" s="8" t="s">
        <v>57</v>
      </c>
      <c r="O9" s="11">
        <v>88</v>
      </c>
      <c r="P9" s="6">
        <v>71</v>
      </c>
      <c r="Q9" s="8" t="s">
        <v>248</v>
      </c>
      <c r="R9" s="9">
        <f t="shared" si="0"/>
        <v>176</v>
      </c>
      <c r="S9" s="6">
        <f t="shared" ref="S9:S18" si="1">P9+M9+J9</f>
        <v>137</v>
      </c>
    </row>
    <row r="10" spans="2:19" ht="18" x14ac:dyDescent="0.35">
      <c r="B10" s="6">
        <v>3</v>
      </c>
      <c r="C10" s="17" t="s">
        <v>77</v>
      </c>
      <c r="D10" s="6" t="s">
        <v>23</v>
      </c>
      <c r="E10" s="6">
        <v>86292</v>
      </c>
      <c r="F10" s="6">
        <v>914.4</v>
      </c>
      <c r="G10" s="6" t="s">
        <v>236</v>
      </c>
      <c r="H10" s="6" t="s">
        <v>237</v>
      </c>
      <c r="I10" s="11">
        <v>36</v>
      </c>
      <c r="J10" s="6">
        <v>25</v>
      </c>
      <c r="K10" s="8" t="s">
        <v>243</v>
      </c>
      <c r="L10" s="11">
        <v>0</v>
      </c>
      <c r="M10" s="6">
        <v>0</v>
      </c>
      <c r="N10" s="8" t="s">
        <v>57</v>
      </c>
      <c r="O10" s="11">
        <v>36</v>
      </c>
      <c r="P10" s="6">
        <v>32</v>
      </c>
      <c r="Q10" s="8"/>
      <c r="R10" s="9">
        <f t="shared" si="0"/>
        <v>72</v>
      </c>
      <c r="S10" s="6">
        <f t="shared" si="1"/>
        <v>57</v>
      </c>
    </row>
    <row r="11" spans="2:19" ht="18" x14ac:dyDescent="0.35">
      <c r="B11" s="6">
        <v>4</v>
      </c>
      <c r="C11" s="17" t="s">
        <v>251</v>
      </c>
      <c r="D11" s="6" t="s">
        <v>232</v>
      </c>
      <c r="E11" s="6">
        <v>83831</v>
      </c>
      <c r="F11" s="6">
        <v>899</v>
      </c>
      <c r="G11" s="6" t="s">
        <v>27</v>
      </c>
      <c r="H11" s="6" t="s">
        <v>209</v>
      </c>
      <c r="I11" s="11">
        <v>146</v>
      </c>
      <c r="J11" s="6">
        <v>110</v>
      </c>
      <c r="K11" s="8" t="s">
        <v>243</v>
      </c>
      <c r="L11" s="11">
        <v>0</v>
      </c>
      <c r="M11" s="6">
        <v>0</v>
      </c>
      <c r="N11" s="8" t="s">
        <v>57</v>
      </c>
      <c r="O11" s="11">
        <v>0</v>
      </c>
      <c r="P11" s="6">
        <v>0</v>
      </c>
      <c r="Q11" s="8" t="s">
        <v>249</v>
      </c>
      <c r="R11" s="9">
        <f t="shared" si="0"/>
        <v>146</v>
      </c>
      <c r="S11" s="6">
        <f t="shared" si="1"/>
        <v>110</v>
      </c>
    </row>
    <row r="12" spans="2:19" ht="18" x14ac:dyDescent="0.35">
      <c r="B12" s="6">
        <v>5</v>
      </c>
      <c r="C12" s="7" t="s">
        <v>28</v>
      </c>
      <c r="D12" s="6" t="s">
        <v>213</v>
      </c>
      <c r="E12" s="6">
        <v>98812</v>
      </c>
      <c r="F12" s="6">
        <v>292</v>
      </c>
      <c r="G12" s="6" t="s">
        <v>27</v>
      </c>
      <c r="H12" s="6" t="s">
        <v>209</v>
      </c>
      <c r="I12" s="11">
        <v>0</v>
      </c>
      <c r="J12" s="6">
        <v>0</v>
      </c>
      <c r="K12" s="8" t="s">
        <v>29</v>
      </c>
      <c r="L12" s="11">
        <v>0</v>
      </c>
      <c r="M12" s="6">
        <v>0</v>
      </c>
      <c r="N12" s="8" t="s">
        <v>29</v>
      </c>
      <c r="O12" s="11">
        <v>0</v>
      </c>
      <c r="P12" s="6"/>
      <c r="Q12" s="8" t="s">
        <v>250</v>
      </c>
      <c r="R12" s="9">
        <f t="shared" si="0"/>
        <v>0</v>
      </c>
      <c r="S12" s="6">
        <f t="shared" si="1"/>
        <v>0</v>
      </c>
    </row>
    <row r="13" spans="2:19" ht="18" x14ac:dyDescent="0.35">
      <c r="B13" s="6">
        <v>6</v>
      </c>
      <c r="C13" s="7" t="s">
        <v>30</v>
      </c>
      <c r="D13" s="6" t="s">
        <v>47</v>
      </c>
      <c r="E13" s="10">
        <v>99719</v>
      </c>
      <c r="F13" s="6">
        <v>1107</v>
      </c>
      <c r="G13" s="6" t="s">
        <v>27</v>
      </c>
      <c r="H13" s="11" t="s">
        <v>129</v>
      </c>
      <c r="I13" s="11">
        <v>88</v>
      </c>
      <c r="J13" s="6">
        <v>58</v>
      </c>
      <c r="K13" s="8" t="s">
        <v>243</v>
      </c>
      <c r="L13" s="11">
        <v>0</v>
      </c>
      <c r="M13" s="6">
        <v>0</v>
      </c>
      <c r="N13" s="8" t="s">
        <v>57</v>
      </c>
      <c r="O13" s="11">
        <v>88</v>
      </c>
      <c r="P13" s="6">
        <v>18</v>
      </c>
      <c r="Q13" s="8" t="s">
        <v>248</v>
      </c>
      <c r="R13" s="9">
        <f t="shared" si="0"/>
        <v>176</v>
      </c>
      <c r="S13" s="6">
        <f t="shared" si="1"/>
        <v>76</v>
      </c>
    </row>
    <row r="14" spans="2:19" ht="18" x14ac:dyDescent="0.35">
      <c r="B14" s="6">
        <v>7</v>
      </c>
      <c r="C14" s="17" t="s">
        <v>31</v>
      </c>
      <c r="D14" s="6" t="s">
        <v>47</v>
      </c>
      <c r="E14" s="6">
        <v>1792</v>
      </c>
      <c r="F14" s="6">
        <v>5000</v>
      </c>
      <c r="G14" s="6" t="s">
        <v>49</v>
      </c>
      <c r="H14" s="6" t="s">
        <v>240</v>
      </c>
      <c r="I14" s="11">
        <v>31</v>
      </c>
      <c r="J14" s="6">
        <v>22</v>
      </c>
      <c r="K14" s="8" t="s">
        <v>244</v>
      </c>
      <c r="L14" s="11">
        <v>31</v>
      </c>
      <c r="M14" s="6">
        <v>28</v>
      </c>
      <c r="N14" s="8" t="s">
        <v>245</v>
      </c>
      <c r="O14" s="11">
        <v>31</v>
      </c>
      <c r="P14" s="6">
        <v>22</v>
      </c>
      <c r="Q14" s="8"/>
      <c r="R14" s="9">
        <f t="shared" si="0"/>
        <v>93</v>
      </c>
      <c r="S14" s="6">
        <f t="shared" si="1"/>
        <v>72</v>
      </c>
    </row>
    <row r="15" spans="2:19" ht="18" x14ac:dyDescent="0.35">
      <c r="B15" s="6">
        <v>8</v>
      </c>
      <c r="C15" s="13" t="s">
        <v>33</v>
      </c>
      <c r="D15" s="6" t="s">
        <v>47</v>
      </c>
      <c r="E15" s="6">
        <v>1800</v>
      </c>
      <c r="F15" s="6">
        <v>5000</v>
      </c>
      <c r="G15" s="6" t="s">
        <v>238</v>
      </c>
      <c r="H15" s="6" t="s">
        <v>240</v>
      </c>
      <c r="I15" s="11">
        <v>31</v>
      </c>
      <c r="J15" s="6">
        <v>26</v>
      </c>
      <c r="K15" s="8" t="s">
        <v>243</v>
      </c>
      <c r="L15" s="11">
        <v>31</v>
      </c>
      <c r="M15" s="6">
        <v>27</v>
      </c>
      <c r="N15" s="8" t="s">
        <v>245</v>
      </c>
      <c r="O15" s="11">
        <v>3</v>
      </c>
      <c r="P15" s="6">
        <v>3</v>
      </c>
      <c r="Q15" s="8"/>
      <c r="R15" s="9">
        <f t="shared" si="0"/>
        <v>65</v>
      </c>
      <c r="S15" s="6">
        <f t="shared" si="1"/>
        <v>56</v>
      </c>
    </row>
    <row r="16" spans="2:19" ht="18" x14ac:dyDescent="0.35">
      <c r="B16" s="6">
        <v>9</v>
      </c>
      <c r="C16" s="13" t="s">
        <v>33</v>
      </c>
      <c r="D16" s="6" t="s">
        <v>47</v>
      </c>
      <c r="E16" s="6">
        <v>2444</v>
      </c>
      <c r="F16" s="6">
        <v>5000</v>
      </c>
      <c r="G16" s="6" t="s">
        <v>238</v>
      </c>
      <c r="H16" s="6" t="s">
        <v>239</v>
      </c>
      <c r="I16" s="11">
        <v>0</v>
      </c>
      <c r="J16" s="6">
        <v>0</v>
      </c>
      <c r="K16" s="8"/>
      <c r="L16" s="11">
        <v>0</v>
      </c>
      <c r="M16" s="6">
        <v>0</v>
      </c>
      <c r="N16" s="8"/>
      <c r="O16" s="11">
        <v>22</v>
      </c>
      <c r="P16" s="6">
        <v>18</v>
      </c>
      <c r="Q16" s="8" t="s">
        <v>95</v>
      </c>
      <c r="R16" s="9">
        <f t="shared" si="0"/>
        <v>22</v>
      </c>
      <c r="S16" s="6">
        <f t="shared" si="1"/>
        <v>18</v>
      </c>
    </row>
    <row r="17" spans="2:19" ht="18" x14ac:dyDescent="0.35">
      <c r="B17" s="6">
        <v>10</v>
      </c>
      <c r="C17" s="7" t="s">
        <v>34</v>
      </c>
      <c r="D17" s="6" t="s">
        <v>64</v>
      </c>
      <c r="E17" s="6">
        <v>90129</v>
      </c>
      <c r="F17" s="6">
        <v>2540</v>
      </c>
      <c r="G17" s="6" t="s">
        <v>49</v>
      </c>
      <c r="H17" s="6" t="s">
        <v>235</v>
      </c>
      <c r="I17" s="11">
        <v>124</v>
      </c>
      <c r="J17" s="6">
        <v>28</v>
      </c>
      <c r="K17" s="8" t="s">
        <v>242</v>
      </c>
      <c r="L17" s="11">
        <v>124</v>
      </c>
      <c r="M17" s="6">
        <v>104</v>
      </c>
      <c r="N17" s="8" t="s">
        <v>246</v>
      </c>
      <c r="O17" s="11">
        <v>124</v>
      </c>
      <c r="P17" s="6">
        <v>114</v>
      </c>
      <c r="Q17" s="8"/>
      <c r="R17" s="9">
        <f t="shared" si="0"/>
        <v>372</v>
      </c>
      <c r="S17" s="6">
        <f t="shared" si="1"/>
        <v>246</v>
      </c>
    </row>
    <row r="18" spans="2:19" ht="18" x14ac:dyDescent="0.35">
      <c r="B18" s="6">
        <v>11</v>
      </c>
      <c r="C18" s="7" t="s">
        <v>35</v>
      </c>
      <c r="D18" s="6" t="s">
        <v>19</v>
      </c>
      <c r="E18" s="6">
        <v>2122</v>
      </c>
      <c r="F18" s="6">
        <v>796.5</v>
      </c>
      <c r="G18" s="6" t="s">
        <v>138</v>
      </c>
      <c r="H18" s="6" t="s">
        <v>209</v>
      </c>
      <c r="I18" s="11">
        <v>0</v>
      </c>
      <c r="J18" s="6">
        <v>0</v>
      </c>
      <c r="K18" s="8" t="s">
        <v>29</v>
      </c>
      <c r="L18" s="11">
        <v>0</v>
      </c>
      <c r="M18" s="6">
        <v>0</v>
      </c>
      <c r="N18" s="8" t="s">
        <v>29</v>
      </c>
      <c r="O18" s="11">
        <v>0</v>
      </c>
      <c r="P18" s="6">
        <v>0</v>
      </c>
      <c r="Q18" s="8" t="s">
        <v>50</v>
      </c>
      <c r="R18" s="9">
        <f t="shared" si="0"/>
        <v>0</v>
      </c>
      <c r="S18" s="6">
        <f t="shared" si="1"/>
        <v>0</v>
      </c>
    </row>
    <row r="20" spans="2:19" x14ac:dyDescent="0.3">
      <c r="N20" t="s">
        <v>50</v>
      </c>
    </row>
    <row r="24" spans="2:19" x14ac:dyDescent="0.3">
      <c r="K24" t="s">
        <v>50</v>
      </c>
    </row>
    <row r="25" spans="2:19" x14ac:dyDescent="0.3">
      <c r="I25" t="s">
        <v>50</v>
      </c>
      <c r="N25" t="s">
        <v>50</v>
      </c>
    </row>
    <row r="29" spans="2:19" x14ac:dyDescent="0.3">
      <c r="K29" t="s">
        <v>50</v>
      </c>
    </row>
  </sheetData>
  <mergeCells count="5">
    <mergeCell ref="B5:N5"/>
    <mergeCell ref="R5:S5"/>
    <mergeCell ref="I6:K6"/>
    <mergeCell ref="L6:N6"/>
    <mergeCell ref="O6:Q6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5:S21"/>
  <sheetViews>
    <sheetView zoomScale="70" zoomScaleNormal="70" workbookViewId="0">
      <selection activeCell="D11" sqref="D11:I11"/>
    </sheetView>
  </sheetViews>
  <sheetFormatPr defaultRowHeight="14.4" x14ac:dyDescent="0.3"/>
  <cols>
    <col min="1" max="1" width="3.33203125" customWidth="1"/>
    <col min="2" max="2" width="8.88671875" bestFit="1" customWidth="1"/>
    <col min="3" max="3" width="21.44140625" bestFit="1" customWidth="1"/>
    <col min="4" max="4" width="15.44140625" bestFit="1" customWidth="1"/>
    <col min="5" max="5" width="8.6640625" bestFit="1" customWidth="1"/>
    <col min="6" max="6" width="19.33203125" bestFit="1" customWidth="1"/>
    <col min="7" max="7" width="14.5546875" bestFit="1" customWidth="1"/>
    <col min="8" max="8" width="10.33203125" bestFit="1" customWidth="1"/>
    <col min="9" max="9" width="6.109375" bestFit="1" customWidth="1"/>
    <col min="10" max="10" width="8.5546875" bestFit="1" customWidth="1"/>
    <col min="11" max="11" width="39.5546875" bestFit="1" customWidth="1"/>
    <col min="12" max="12" width="6.109375" bestFit="1" customWidth="1"/>
    <col min="13" max="13" width="8.5546875" bestFit="1" customWidth="1"/>
    <col min="14" max="14" width="38.88671875" customWidth="1"/>
    <col min="15" max="15" width="7.33203125" bestFit="1" customWidth="1"/>
    <col min="16" max="16" width="11.44140625" bestFit="1" customWidth="1"/>
    <col min="17" max="17" width="44.88671875" bestFit="1" customWidth="1"/>
    <col min="18" max="18" width="12.44140625" bestFit="1" customWidth="1"/>
    <col min="19" max="19" width="8.33203125" bestFit="1" customWidth="1"/>
    <col min="20" max="20" width="5" customWidth="1"/>
  </cols>
  <sheetData>
    <row r="5" spans="2:19" ht="18" x14ac:dyDescent="0.35">
      <c r="B5" s="44" t="s">
        <v>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  <c r="O5" s="1" t="s">
        <v>1</v>
      </c>
      <c r="P5" s="2" t="s">
        <v>247</v>
      </c>
      <c r="Q5" s="1" t="s">
        <v>2</v>
      </c>
      <c r="R5" s="47"/>
      <c r="S5" s="48"/>
    </row>
    <row r="6" spans="2:19" ht="36" x14ac:dyDescent="0.3">
      <c r="B6" s="4" t="s">
        <v>3</v>
      </c>
      <c r="C6" s="4" t="s">
        <v>4</v>
      </c>
      <c r="D6" s="4" t="s">
        <v>5</v>
      </c>
      <c r="E6" s="5" t="s">
        <v>6</v>
      </c>
      <c r="F6" s="4" t="s">
        <v>7</v>
      </c>
      <c r="G6" s="4" t="s">
        <v>8</v>
      </c>
      <c r="H6" s="5"/>
      <c r="I6" s="49" t="s">
        <v>9</v>
      </c>
      <c r="J6" s="50"/>
      <c r="K6" s="51"/>
      <c r="L6" s="49" t="s">
        <v>10</v>
      </c>
      <c r="M6" s="50"/>
      <c r="N6" s="51"/>
      <c r="O6" s="49" t="s">
        <v>11</v>
      </c>
      <c r="P6" s="50"/>
      <c r="Q6" s="51"/>
      <c r="R6" s="4" t="s">
        <v>12</v>
      </c>
      <c r="S6" s="4" t="s">
        <v>13</v>
      </c>
    </row>
    <row r="7" spans="2:19" ht="18" x14ac:dyDescent="0.3">
      <c r="B7" s="3"/>
      <c r="C7" s="4"/>
      <c r="D7" s="4"/>
      <c r="E7" s="5"/>
      <c r="F7" s="4"/>
      <c r="G7" s="4"/>
      <c r="H7" s="5" t="s">
        <v>14</v>
      </c>
      <c r="I7" s="5" t="s">
        <v>15</v>
      </c>
      <c r="J7" s="5" t="s">
        <v>16</v>
      </c>
      <c r="K7" s="5" t="s">
        <v>17</v>
      </c>
      <c r="L7" s="5" t="s">
        <v>15</v>
      </c>
      <c r="M7" s="5" t="s">
        <v>16</v>
      </c>
      <c r="N7" s="5" t="s">
        <v>17</v>
      </c>
      <c r="O7" s="5" t="s">
        <v>15</v>
      </c>
      <c r="P7" s="5" t="s">
        <v>16</v>
      </c>
      <c r="Q7" s="5" t="s">
        <v>17</v>
      </c>
      <c r="R7" s="9" t="s">
        <v>50</v>
      </c>
      <c r="S7" s="6"/>
    </row>
    <row r="8" spans="2:19" ht="18" x14ac:dyDescent="0.35">
      <c r="B8" s="6">
        <v>1</v>
      </c>
      <c r="C8" s="13" t="s">
        <v>18</v>
      </c>
      <c r="D8" s="6" t="s">
        <v>19</v>
      </c>
      <c r="E8" s="6">
        <v>2191</v>
      </c>
      <c r="F8" s="6">
        <v>489.7</v>
      </c>
      <c r="G8" s="6" t="s">
        <v>20</v>
      </c>
      <c r="H8" s="6" t="s">
        <v>214</v>
      </c>
      <c r="I8" s="11">
        <v>0</v>
      </c>
      <c r="J8" s="6">
        <v>0</v>
      </c>
      <c r="K8" s="8" t="s">
        <v>252</v>
      </c>
      <c r="L8" s="11">
        <v>0</v>
      </c>
      <c r="M8" s="6">
        <v>0</v>
      </c>
      <c r="N8" s="8" t="s">
        <v>29</v>
      </c>
      <c r="O8" s="11">
        <v>0</v>
      </c>
      <c r="P8" s="6">
        <v>0</v>
      </c>
      <c r="Q8" s="8" t="s">
        <v>234</v>
      </c>
      <c r="R8" s="9">
        <f t="shared" ref="R8:R21" si="0">I8+L8+O8</f>
        <v>0</v>
      </c>
      <c r="S8" s="6">
        <f>P8+M8+J8</f>
        <v>0</v>
      </c>
    </row>
    <row r="9" spans="2:19" ht="18" x14ac:dyDescent="0.35">
      <c r="B9" s="6">
        <v>2</v>
      </c>
      <c r="C9" s="7" t="s">
        <v>212</v>
      </c>
      <c r="D9" s="6" t="s">
        <v>225</v>
      </c>
      <c r="E9" s="6">
        <v>2123</v>
      </c>
      <c r="F9" s="6">
        <v>418.2</v>
      </c>
      <c r="G9" s="6" t="s">
        <v>24</v>
      </c>
      <c r="H9" s="6" t="s">
        <v>129</v>
      </c>
      <c r="I9" s="11">
        <v>88</v>
      </c>
      <c r="J9" s="6">
        <v>32</v>
      </c>
      <c r="K9" s="8" t="s">
        <v>253</v>
      </c>
      <c r="L9" s="11">
        <v>0</v>
      </c>
      <c r="M9" s="6">
        <v>0</v>
      </c>
      <c r="N9" s="8" t="s">
        <v>57</v>
      </c>
      <c r="O9" s="11">
        <v>88</v>
      </c>
      <c r="P9" s="6">
        <v>0</v>
      </c>
      <c r="Q9" s="8" t="s">
        <v>259</v>
      </c>
      <c r="R9" s="9">
        <f t="shared" si="0"/>
        <v>176</v>
      </c>
      <c r="S9" s="6">
        <f t="shared" ref="S9:S21" si="1">P9+M9+J9</f>
        <v>32</v>
      </c>
    </row>
    <row r="10" spans="2:19" ht="18" x14ac:dyDescent="0.35">
      <c r="B10" s="6">
        <v>3</v>
      </c>
      <c r="C10" s="17" t="s">
        <v>77</v>
      </c>
      <c r="D10" s="6" t="s">
        <v>23</v>
      </c>
      <c r="E10" s="6">
        <v>86292</v>
      </c>
      <c r="F10" s="6">
        <v>914.4</v>
      </c>
      <c r="G10" s="6" t="s">
        <v>236</v>
      </c>
      <c r="H10" s="6" t="s">
        <v>237</v>
      </c>
      <c r="I10" s="11">
        <v>36</v>
      </c>
      <c r="J10" s="6">
        <v>18</v>
      </c>
      <c r="K10" s="8" t="s">
        <v>253</v>
      </c>
      <c r="L10" s="11">
        <v>0</v>
      </c>
      <c r="M10" s="6">
        <v>0</v>
      </c>
      <c r="N10" s="8" t="s">
        <v>57</v>
      </c>
      <c r="O10" s="11">
        <v>36</v>
      </c>
      <c r="P10" s="6">
        <v>28</v>
      </c>
      <c r="Q10" s="8" t="s">
        <v>261</v>
      </c>
      <c r="R10" s="9">
        <f t="shared" si="0"/>
        <v>72</v>
      </c>
      <c r="S10" s="6">
        <f t="shared" si="1"/>
        <v>46</v>
      </c>
    </row>
    <row r="11" spans="2:19" ht="18" x14ac:dyDescent="0.35">
      <c r="B11" s="40">
        <v>4</v>
      </c>
      <c r="C11" s="42" t="s">
        <v>251</v>
      </c>
      <c r="D11" s="6" t="s">
        <v>232</v>
      </c>
      <c r="E11" s="6">
        <v>83831</v>
      </c>
      <c r="F11" s="6">
        <v>899</v>
      </c>
      <c r="G11" s="6" t="s">
        <v>27</v>
      </c>
      <c r="H11" s="6" t="s">
        <v>209</v>
      </c>
      <c r="I11" s="11">
        <v>146</v>
      </c>
      <c r="J11" s="6">
        <v>40</v>
      </c>
      <c r="K11" s="8" t="s">
        <v>253</v>
      </c>
      <c r="L11" s="11">
        <v>0</v>
      </c>
      <c r="M11" s="6">
        <v>0</v>
      </c>
      <c r="N11" s="8" t="s">
        <v>57</v>
      </c>
      <c r="O11" s="11">
        <v>0</v>
      </c>
      <c r="P11" s="6">
        <v>0</v>
      </c>
      <c r="Q11" s="8"/>
      <c r="R11" s="9">
        <f t="shared" si="0"/>
        <v>146</v>
      </c>
      <c r="S11" s="6">
        <f t="shared" si="1"/>
        <v>40</v>
      </c>
    </row>
    <row r="12" spans="2:19" ht="18" x14ac:dyDescent="0.35">
      <c r="B12" s="41"/>
      <c r="C12" s="43"/>
      <c r="D12" s="6" t="s">
        <v>258</v>
      </c>
      <c r="E12" s="10">
        <v>2123</v>
      </c>
      <c r="F12" s="6">
        <v>428.7</v>
      </c>
      <c r="G12" s="6" t="s">
        <v>24</v>
      </c>
      <c r="H12" s="6" t="s">
        <v>129</v>
      </c>
      <c r="I12" s="11">
        <v>0</v>
      </c>
      <c r="J12" s="6">
        <v>0</v>
      </c>
      <c r="K12" s="8"/>
      <c r="L12" s="11">
        <v>0</v>
      </c>
      <c r="M12" s="6">
        <v>0</v>
      </c>
      <c r="N12" s="8"/>
      <c r="O12" s="11">
        <v>88</v>
      </c>
      <c r="P12" s="6">
        <v>58</v>
      </c>
      <c r="Q12" s="8" t="s">
        <v>260</v>
      </c>
      <c r="R12" s="9">
        <f t="shared" si="0"/>
        <v>88</v>
      </c>
      <c r="S12" s="6">
        <f t="shared" si="1"/>
        <v>58</v>
      </c>
    </row>
    <row r="13" spans="2:19" ht="18" x14ac:dyDescent="0.35">
      <c r="B13" s="14">
        <v>5</v>
      </c>
      <c r="C13" s="13" t="s">
        <v>28</v>
      </c>
      <c r="D13" s="6" t="s">
        <v>258</v>
      </c>
      <c r="E13" s="10">
        <v>2123</v>
      </c>
      <c r="F13" s="6">
        <v>428.7</v>
      </c>
      <c r="G13" s="6" t="s">
        <v>24</v>
      </c>
      <c r="H13" s="6" t="s">
        <v>129</v>
      </c>
      <c r="I13" s="11">
        <v>0</v>
      </c>
      <c r="J13" s="6">
        <v>0</v>
      </c>
      <c r="K13" s="8" t="s">
        <v>148</v>
      </c>
      <c r="L13" s="11">
        <v>88</v>
      </c>
      <c r="M13" s="6">
        <v>86</v>
      </c>
      <c r="N13" s="8" t="s">
        <v>81</v>
      </c>
      <c r="O13" s="11">
        <v>88</v>
      </c>
      <c r="P13" s="6">
        <v>62</v>
      </c>
      <c r="Q13" s="8" t="s">
        <v>260</v>
      </c>
      <c r="R13" s="9">
        <f t="shared" si="0"/>
        <v>176</v>
      </c>
      <c r="S13" s="6">
        <f t="shared" si="1"/>
        <v>148</v>
      </c>
    </row>
    <row r="14" spans="2:19" ht="18" x14ac:dyDescent="0.35">
      <c r="B14" s="6">
        <v>6</v>
      </c>
      <c r="C14" s="7" t="s">
        <v>30</v>
      </c>
      <c r="D14" s="6" t="s">
        <v>47</v>
      </c>
      <c r="E14" s="10">
        <v>99719</v>
      </c>
      <c r="F14" s="6">
        <v>1107</v>
      </c>
      <c r="G14" s="6" t="s">
        <v>27</v>
      </c>
      <c r="H14" s="11" t="s">
        <v>129</v>
      </c>
      <c r="I14" s="11">
        <v>88</v>
      </c>
      <c r="J14" s="6">
        <v>88</v>
      </c>
      <c r="K14" s="8"/>
      <c r="L14" s="11">
        <v>0</v>
      </c>
      <c r="M14" s="6">
        <v>0</v>
      </c>
      <c r="N14" s="8" t="s">
        <v>57</v>
      </c>
      <c r="O14" s="11">
        <v>36</v>
      </c>
      <c r="P14" s="6">
        <v>36</v>
      </c>
      <c r="Q14" s="8" t="s">
        <v>262</v>
      </c>
      <c r="R14" s="9">
        <f t="shared" si="0"/>
        <v>124</v>
      </c>
      <c r="S14" s="6">
        <f t="shared" si="1"/>
        <v>124</v>
      </c>
    </row>
    <row r="15" spans="2:19" ht="18" x14ac:dyDescent="0.35">
      <c r="B15" s="40">
        <v>7</v>
      </c>
      <c r="C15" s="42" t="s">
        <v>31</v>
      </c>
      <c r="D15" s="6" t="s">
        <v>47</v>
      </c>
      <c r="E15" s="6">
        <v>1792</v>
      </c>
      <c r="F15" s="6">
        <v>5000</v>
      </c>
      <c r="G15" s="6" t="s">
        <v>49</v>
      </c>
      <c r="H15" s="6" t="s">
        <v>240</v>
      </c>
      <c r="I15" s="11">
        <v>20</v>
      </c>
      <c r="J15" s="6">
        <v>20</v>
      </c>
      <c r="K15" s="8" t="s">
        <v>255</v>
      </c>
      <c r="L15" s="11">
        <v>0</v>
      </c>
      <c r="M15" s="6">
        <v>0</v>
      </c>
      <c r="N15" s="8"/>
      <c r="O15" s="11">
        <v>0</v>
      </c>
      <c r="P15" s="6">
        <v>0</v>
      </c>
      <c r="Q15" s="8"/>
      <c r="R15" s="9">
        <f t="shared" si="0"/>
        <v>20</v>
      </c>
      <c r="S15" s="6">
        <f t="shared" si="1"/>
        <v>20</v>
      </c>
    </row>
    <row r="16" spans="2:19" ht="18" x14ac:dyDescent="0.35">
      <c r="B16" s="41"/>
      <c r="C16" s="43"/>
      <c r="D16" s="6" t="s">
        <v>47</v>
      </c>
      <c r="E16" s="6">
        <v>1792</v>
      </c>
      <c r="F16" s="6">
        <v>6100</v>
      </c>
      <c r="G16" s="6" t="s">
        <v>49</v>
      </c>
      <c r="H16" s="6" t="s">
        <v>256</v>
      </c>
      <c r="I16" s="11"/>
      <c r="J16" s="6"/>
      <c r="K16" s="8" t="s">
        <v>180</v>
      </c>
      <c r="L16" s="11">
        <v>29</v>
      </c>
      <c r="M16" s="6">
        <v>29</v>
      </c>
      <c r="N16" s="8"/>
      <c r="O16" s="11">
        <v>29</v>
      </c>
      <c r="P16" s="6">
        <v>15</v>
      </c>
      <c r="Q16" s="8" t="s">
        <v>262</v>
      </c>
      <c r="R16" s="9"/>
      <c r="S16" s="6"/>
    </row>
    <row r="17" spans="2:19" ht="18" x14ac:dyDescent="0.35">
      <c r="B17" s="40">
        <v>8</v>
      </c>
      <c r="C17" s="42" t="s">
        <v>33</v>
      </c>
      <c r="D17" s="6" t="s">
        <v>47</v>
      </c>
      <c r="E17" s="6">
        <v>2444</v>
      </c>
      <c r="F17" s="6">
        <v>5000</v>
      </c>
      <c r="G17" s="6" t="s">
        <v>238</v>
      </c>
      <c r="H17" s="6" t="s">
        <v>256</v>
      </c>
      <c r="I17" s="11">
        <v>29</v>
      </c>
      <c r="J17" s="6">
        <v>27</v>
      </c>
      <c r="K17" s="8"/>
      <c r="L17" s="11">
        <v>8</v>
      </c>
      <c r="M17" s="6">
        <v>8</v>
      </c>
      <c r="N17" s="8" t="s">
        <v>257</v>
      </c>
      <c r="O17" s="11">
        <v>0</v>
      </c>
      <c r="P17" s="6">
        <v>0</v>
      </c>
      <c r="Q17" s="8"/>
      <c r="R17" s="9">
        <f t="shared" si="0"/>
        <v>37</v>
      </c>
      <c r="S17" s="6">
        <f t="shared" si="1"/>
        <v>35</v>
      </c>
    </row>
    <row r="18" spans="2:19" ht="18" x14ac:dyDescent="0.35">
      <c r="B18" s="52"/>
      <c r="C18" s="53"/>
      <c r="D18" s="6" t="s">
        <v>47</v>
      </c>
      <c r="E18" s="6">
        <v>1800</v>
      </c>
      <c r="F18" s="6">
        <v>5000</v>
      </c>
      <c r="G18" s="6" t="s">
        <v>117</v>
      </c>
      <c r="H18" s="6" t="s">
        <v>129</v>
      </c>
      <c r="I18" s="11">
        <v>0</v>
      </c>
      <c r="J18" s="6">
        <v>0</v>
      </c>
      <c r="K18" s="8"/>
      <c r="L18" s="11">
        <v>8</v>
      </c>
      <c r="M18" s="6">
        <v>8</v>
      </c>
      <c r="N18" s="8" t="s">
        <v>145</v>
      </c>
      <c r="O18" s="11">
        <v>0</v>
      </c>
      <c r="P18" s="6">
        <v>0</v>
      </c>
      <c r="Q18" s="8"/>
      <c r="R18" s="9">
        <f t="shared" si="0"/>
        <v>8</v>
      </c>
      <c r="S18" s="6">
        <f t="shared" si="1"/>
        <v>8</v>
      </c>
    </row>
    <row r="19" spans="2:19" ht="18" x14ac:dyDescent="0.35">
      <c r="B19" s="41"/>
      <c r="C19" s="43"/>
      <c r="D19" s="6" t="s">
        <v>47</v>
      </c>
      <c r="E19" s="6">
        <v>1792</v>
      </c>
      <c r="F19" s="6">
        <v>2500</v>
      </c>
      <c r="G19" s="6" t="s">
        <v>49</v>
      </c>
      <c r="H19" s="6" t="s">
        <v>203</v>
      </c>
      <c r="I19" s="11">
        <v>0</v>
      </c>
      <c r="J19" s="6">
        <v>0</v>
      </c>
      <c r="K19" s="8"/>
      <c r="L19" s="11">
        <v>24</v>
      </c>
      <c r="M19" s="6">
        <v>23</v>
      </c>
      <c r="N19" s="8" t="s">
        <v>145</v>
      </c>
      <c r="O19" s="11">
        <v>55</v>
      </c>
      <c r="P19" s="6">
        <v>50</v>
      </c>
      <c r="Q19" s="8"/>
      <c r="R19" s="9">
        <f t="shared" si="0"/>
        <v>79</v>
      </c>
      <c r="S19" s="6">
        <f t="shared" si="1"/>
        <v>73</v>
      </c>
    </row>
    <row r="20" spans="2:19" ht="18" x14ac:dyDescent="0.35">
      <c r="B20" s="6">
        <v>9</v>
      </c>
      <c r="C20" s="7" t="s">
        <v>34</v>
      </c>
      <c r="D20" s="6" t="s">
        <v>64</v>
      </c>
      <c r="E20" s="6">
        <v>90129</v>
      </c>
      <c r="F20" s="6">
        <v>2540</v>
      </c>
      <c r="G20" s="6" t="s">
        <v>49</v>
      </c>
      <c r="H20" s="6" t="s">
        <v>235</v>
      </c>
      <c r="I20" s="11">
        <v>124</v>
      </c>
      <c r="J20" s="6">
        <v>120</v>
      </c>
      <c r="K20" s="8" t="s">
        <v>254</v>
      </c>
      <c r="L20" s="11">
        <v>124</v>
      </c>
      <c r="M20" s="6">
        <v>120</v>
      </c>
      <c r="N20" s="8" t="s">
        <v>81</v>
      </c>
      <c r="O20" s="11">
        <v>96</v>
      </c>
      <c r="P20" s="6">
        <v>63</v>
      </c>
      <c r="Q20" s="8" t="s">
        <v>263</v>
      </c>
      <c r="R20" s="9">
        <f t="shared" si="0"/>
        <v>344</v>
      </c>
      <c r="S20" s="6">
        <f t="shared" si="1"/>
        <v>303</v>
      </c>
    </row>
    <row r="21" spans="2:19" ht="18" x14ac:dyDescent="0.35">
      <c r="B21" s="6">
        <v>10</v>
      </c>
      <c r="C21" s="7" t="s">
        <v>35</v>
      </c>
      <c r="D21" s="6" t="s">
        <v>19</v>
      </c>
      <c r="E21" s="6">
        <v>2122</v>
      </c>
      <c r="F21" s="6">
        <v>796.5</v>
      </c>
      <c r="G21" s="6" t="s">
        <v>138</v>
      </c>
      <c r="H21" s="6" t="s">
        <v>209</v>
      </c>
      <c r="I21" s="11">
        <v>0</v>
      </c>
      <c r="J21" s="6">
        <v>0</v>
      </c>
      <c r="K21" s="8" t="s">
        <v>252</v>
      </c>
      <c r="L21" s="11">
        <v>0</v>
      </c>
      <c r="M21" s="6">
        <v>0</v>
      </c>
      <c r="N21" s="8" t="s">
        <v>29</v>
      </c>
      <c r="O21" s="11">
        <v>0</v>
      </c>
      <c r="P21" s="6">
        <v>0</v>
      </c>
      <c r="Q21" s="8" t="s">
        <v>29</v>
      </c>
      <c r="R21" s="9">
        <f t="shared" si="0"/>
        <v>0</v>
      </c>
      <c r="S21" s="6">
        <f t="shared" si="1"/>
        <v>0</v>
      </c>
    </row>
  </sheetData>
  <mergeCells count="11">
    <mergeCell ref="R5:S5"/>
    <mergeCell ref="I6:K6"/>
    <mergeCell ref="L6:N6"/>
    <mergeCell ref="O6:Q6"/>
    <mergeCell ref="B17:B19"/>
    <mergeCell ref="C17:C19"/>
    <mergeCell ref="C15:C16"/>
    <mergeCell ref="B15:B16"/>
    <mergeCell ref="B5:N5"/>
    <mergeCell ref="C11:C12"/>
    <mergeCell ref="B11:B12"/>
  </mergeCells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5:S17"/>
  <sheetViews>
    <sheetView topLeftCell="D1" zoomScale="70" zoomScaleNormal="70" workbookViewId="0">
      <selection activeCell="A5" sqref="A5:S17"/>
    </sheetView>
  </sheetViews>
  <sheetFormatPr defaultRowHeight="14.4" x14ac:dyDescent="0.3"/>
  <cols>
    <col min="1" max="1" width="3.33203125" customWidth="1"/>
    <col min="2" max="2" width="8.88671875" bestFit="1" customWidth="1"/>
    <col min="3" max="3" width="21.44140625" bestFit="1" customWidth="1"/>
    <col min="4" max="4" width="15.44140625" bestFit="1" customWidth="1"/>
    <col min="5" max="5" width="8.6640625" bestFit="1" customWidth="1"/>
    <col min="6" max="6" width="19.33203125" bestFit="1" customWidth="1"/>
    <col min="7" max="7" width="14.5546875" bestFit="1" customWidth="1"/>
    <col min="8" max="8" width="10.33203125" bestFit="1" customWidth="1"/>
    <col min="9" max="9" width="6.109375" bestFit="1" customWidth="1"/>
    <col min="10" max="10" width="8.5546875" bestFit="1" customWidth="1"/>
    <col min="11" max="11" width="23.88671875" customWidth="1"/>
    <col min="12" max="12" width="6.109375" bestFit="1" customWidth="1"/>
    <col min="13" max="13" width="8.5546875" bestFit="1" customWidth="1"/>
    <col min="14" max="14" width="32.6640625" customWidth="1"/>
    <col min="15" max="15" width="7.33203125" bestFit="1" customWidth="1"/>
    <col min="16" max="16" width="11.44140625" bestFit="1" customWidth="1"/>
    <col min="17" max="17" width="40.33203125" customWidth="1"/>
    <col min="18" max="18" width="12.44140625" bestFit="1" customWidth="1"/>
    <col min="19" max="19" width="8.33203125" bestFit="1" customWidth="1"/>
    <col min="20" max="20" width="5" customWidth="1"/>
  </cols>
  <sheetData>
    <row r="5" spans="2:19" ht="18" x14ac:dyDescent="0.35">
      <c r="B5" s="44" t="s">
        <v>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  <c r="O5" s="1" t="s">
        <v>1</v>
      </c>
      <c r="P5" s="2" t="s">
        <v>264</v>
      </c>
      <c r="Q5" s="1" t="s">
        <v>2</v>
      </c>
      <c r="R5" s="47"/>
      <c r="S5" s="48"/>
    </row>
    <row r="6" spans="2:19" ht="36" x14ac:dyDescent="0.3">
      <c r="B6" s="4" t="s">
        <v>3</v>
      </c>
      <c r="C6" s="4" t="s">
        <v>4</v>
      </c>
      <c r="D6" s="4" t="s">
        <v>5</v>
      </c>
      <c r="E6" s="5" t="s">
        <v>6</v>
      </c>
      <c r="F6" s="4" t="s">
        <v>7</v>
      </c>
      <c r="G6" s="4" t="s">
        <v>8</v>
      </c>
      <c r="H6" s="5"/>
      <c r="I6" s="49" t="s">
        <v>9</v>
      </c>
      <c r="J6" s="50"/>
      <c r="K6" s="51"/>
      <c r="L6" s="49" t="s">
        <v>10</v>
      </c>
      <c r="M6" s="50"/>
      <c r="N6" s="51"/>
      <c r="O6" s="49" t="s">
        <v>11</v>
      </c>
      <c r="P6" s="50"/>
      <c r="Q6" s="51"/>
      <c r="R6" s="4" t="s">
        <v>12</v>
      </c>
      <c r="S6" s="4" t="s">
        <v>13</v>
      </c>
    </row>
    <row r="7" spans="2:19" ht="18" x14ac:dyDescent="0.3">
      <c r="B7" s="3"/>
      <c r="C7" s="4"/>
      <c r="D7" s="4"/>
      <c r="E7" s="5"/>
      <c r="F7" s="4"/>
      <c r="G7" s="4"/>
      <c r="H7" s="5" t="s">
        <v>14</v>
      </c>
      <c r="I7" s="5" t="s">
        <v>15</v>
      </c>
      <c r="J7" s="5" t="s">
        <v>16</v>
      </c>
      <c r="K7" s="5" t="s">
        <v>17</v>
      </c>
      <c r="L7" s="5" t="s">
        <v>15</v>
      </c>
      <c r="M7" s="5" t="s">
        <v>16</v>
      </c>
      <c r="N7" s="5" t="s">
        <v>17</v>
      </c>
      <c r="O7" s="5" t="s">
        <v>15</v>
      </c>
      <c r="P7" s="5" t="s">
        <v>16</v>
      </c>
      <c r="Q7" s="5" t="s">
        <v>17</v>
      </c>
      <c r="R7" s="9" t="s">
        <v>50</v>
      </c>
      <c r="S7" s="6"/>
    </row>
    <row r="8" spans="2:19" ht="18" x14ac:dyDescent="0.35">
      <c r="B8" s="6">
        <v>1</v>
      </c>
      <c r="C8" s="13" t="s">
        <v>18</v>
      </c>
      <c r="D8" s="6" t="s">
        <v>232</v>
      </c>
      <c r="E8" s="6">
        <v>83831</v>
      </c>
      <c r="F8" s="6">
        <v>899</v>
      </c>
      <c r="G8" s="6" t="s">
        <v>27</v>
      </c>
      <c r="H8" s="6" t="s">
        <v>209</v>
      </c>
      <c r="I8" s="11">
        <v>146</v>
      </c>
      <c r="J8" s="6">
        <v>0</v>
      </c>
      <c r="K8" s="8" t="s">
        <v>252</v>
      </c>
      <c r="L8" s="11">
        <v>0</v>
      </c>
      <c r="M8" s="6">
        <v>0</v>
      </c>
      <c r="N8" s="8" t="s">
        <v>163</v>
      </c>
      <c r="O8" s="11">
        <v>146</v>
      </c>
      <c r="P8" s="6">
        <v>0</v>
      </c>
      <c r="Q8" s="8" t="s">
        <v>180</v>
      </c>
      <c r="R8" s="9">
        <f t="shared" ref="R8:R17" si="0">I8+L8+O8</f>
        <v>292</v>
      </c>
      <c r="S8" s="6">
        <f>P8+M8+J8</f>
        <v>0</v>
      </c>
    </row>
    <row r="9" spans="2:19" ht="18" x14ac:dyDescent="0.35">
      <c r="B9" s="6">
        <v>2</v>
      </c>
      <c r="C9" s="7" t="s">
        <v>212</v>
      </c>
      <c r="D9" s="6" t="s">
        <v>225</v>
      </c>
      <c r="E9" s="6">
        <v>2123</v>
      </c>
      <c r="F9" s="6">
        <v>418.2</v>
      </c>
      <c r="G9" s="6" t="s">
        <v>24</v>
      </c>
      <c r="H9" s="6" t="s">
        <v>129</v>
      </c>
      <c r="I9" s="11">
        <v>88</v>
      </c>
      <c r="J9" s="6">
        <v>34</v>
      </c>
      <c r="K9" s="8"/>
      <c r="L9" s="11">
        <v>88</v>
      </c>
      <c r="M9" s="6">
        <v>84</v>
      </c>
      <c r="N9" s="8"/>
      <c r="O9" s="11">
        <v>88</v>
      </c>
      <c r="P9" s="6">
        <v>49</v>
      </c>
      <c r="Q9" s="8"/>
      <c r="R9" s="9">
        <f t="shared" si="0"/>
        <v>264</v>
      </c>
      <c r="S9" s="6">
        <f t="shared" ref="S9:S17" si="1">P9+M9+J9</f>
        <v>167</v>
      </c>
    </row>
    <row r="10" spans="2:19" ht="18" x14ac:dyDescent="0.35">
      <c r="B10" s="6">
        <v>3</v>
      </c>
      <c r="C10" s="17" t="s">
        <v>77</v>
      </c>
      <c r="D10" s="6" t="s">
        <v>23</v>
      </c>
      <c r="E10" s="6">
        <v>86292</v>
      </c>
      <c r="F10" s="6">
        <v>914.4</v>
      </c>
      <c r="G10" s="6" t="s">
        <v>236</v>
      </c>
      <c r="H10" s="6" t="s">
        <v>237</v>
      </c>
      <c r="I10" s="11">
        <v>36</v>
      </c>
      <c r="J10" s="6">
        <v>23</v>
      </c>
      <c r="K10" s="8"/>
      <c r="L10" s="11">
        <v>0</v>
      </c>
      <c r="M10" s="6">
        <v>0</v>
      </c>
      <c r="N10" s="8" t="s">
        <v>163</v>
      </c>
      <c r="O10" s="11">
        <v>36</v>
      </c>
      <c r="P10" s="6">
        <v>36</v>
      </c>
      <c r="Q10" s="8"/>
      <c r="R10" s="9">
        <f t="shared" si="0"/>
        <v>72</v>
      </c>
      <c r="S10" s="6">
        <f t="shared" si="1"/>
        <v>59</v>
      </c>
    </row>
    <row r="11" spans="2:19" ht="18" x14ac:dyDescent="0.35">
      <c r="B11" s="10">
        <v>4</v>
      </c>
      <c r="C11" s="17" t="s">
        <v>25</v>
      </c>
      <c r="D11" s="6" t="s">
        <v>258</v>
      </c>
      <c r="E11" s="10">
        <v>2123</v>
      </c>
      <c r="F11" s="6">
        <v>428.7</v>
      </c>
      <c r="G11" s="6" t="s">
        <v>24</v>
      </c>
      <c r="H11" s="6" t="s">
        <v>129</v>
      </c>
      <c r="I11" s="11">
        <v>88</v>
      </c>
      <c r="J11" s="6">
        <v>70</v>
      </c>
      <c r="K11" s="8"/>
      <c r="L11" s="11">
        <v>88</v>
      </c>
      <c r="M11" s="6">
        <v>88</v>
      </c>
      <c r="N11" s="8"/>
      <c r="O11" s="11">
        <v>88</v>
      </c>
      <c r="P11" s="6">
        <v>88</v>
      </c>
      <c r="Q11" s="8"/>
      <c r="R11" s="9">
        <f t="shared" si="0"/>
        <v>264</v>
      </c>
      <c r="S11" s="6">
        <f t="shared" si="1"/>
        <v>246</v>
      </c>
    </row>
    <row r="12" spans="2:19" ht="18" x14ac:dyDescent="0.35">
      <c r="B12" s="14">
        <v>5</v>
      </c>
      <c r="C12" s="13" t="s">
        <v>28</v>
      </c>
      <c r="D12" s="6" t="s">
        <v>258</v>
      </c>
      <c r="E12" s="10">
        <v>2123</v>
      </c>
      <c r="F12" s="6">
        <v>428.7</v>
      </c>
      <c r="G12" s="6" t="s">
        <v>24</v>
      </c>
      <c r="H12" s="6" t="s">
        <v>129</v>
      </c>
      <c r="I12" s="11">
        <v>88</v>
      </c>
      <c r="J12" s="6">
        <v>58</v>
      </c>
      <c r="K12" s="8"/>
      <c r="L12" s="11">
        <v>0</v>
      </c>
      <c r="M12" s="6">
        <v>0</v>
      </c>
      <c r="N12" s="8" t="s">
        <v>163</v>
      </c>
      <c r="O12" s="11">
        <v>88</v>
      </c>
      <c r="P12" s="6">
        <v>81</v>
      </c>
      <c r="Q12" s="8"/>
      <c r="R12" s="9">
        <f t="shared" si="0"/>
        <v>176</v>
      </c>
      <c r="S12" s="6">
        <f t="shared" si="1"/>
        <v>139</v>
      </c>
    </row>
    <row r="13" spans="2:19" ht="18" x14ac:dyDescent="0.35">
      <c r="B13" s="6">
        <v>6</v>
      </c>
      <c r="C13" s="7" t="s">
        <v>30</v>
      </c>
      <c r="D13" s="6" t="s">
        <v>47</v>
      </c>
      <c r="E13" s="10">
        <v>99719</v>
      </c>
      <c r="F13" s="6">
        <v>1107</v>
      </c>
      <c r="G13" s="6" t="s">
        <v>27</v>
      </c>
      <c r="H13" s="11" t="s">
        <v>129</v>
      </c>
      <c r="I13" s="11">
        <v>88</v>
      </c>
      <c r="J13" s="6">
        <v>60</v>
      </c>
      <c r="K13" s="8"/>
      <c r="L13" s="11">
        <v>0</v>
      </c>
      <c r="M13" s="6">
        <v>0</v>
      </c>
      <c r="N13" s="8" t="s">
        <v>163</v>
      </c>
      <c r="O13" s="11">
        <v>88</v>
      </c>
      <c r="P13" s="6">
        <v>88</v>
      </c>
      <c r="Q13" s="8"/>
      <c r="R13" s="9">
        <f t="shared" si="0"/>
        <v>176</v>
      </c>
      <c r="S13" s="6">
        <f t="shared" si="1"/>
        <v>148</v>
      </c>
    </row>
    <row r="14" spans="2:19" ht="18" x14ac:dyDescent="0.35">
      <c r="B14" s="10">
        <v>7</v>
      </c>
      <c r="C14" s="17" t="s">
        <v>31</v>
      </c>
      <c r="D14" s="6" t="s">
        <v>47</v>
      </c>
      <c r="E14" s="6">
        <v>1792</v>
      </c>
      <c r="F14" s="6">
        <v>6100</v>
      </c>
      <c r="G14" s="6" t="s">
        <v>49</v>
      </c>
      <c r="H14" s="6" t="s">
        <v>256</v>
      </c>
      <c r="I14" s="11">
        <v>29</v>
      </c>
      <c r="J14" s="6">
        <v>10</v>
      </c>
      <c r="K14" s="8"/>
      <c r="L14" s="11">
        <v>29</v>
      </c>
      <c r="M14" s="6">
        <v>29</v>
      </c>
      <c r="N14" s="8"/>
      <c r="O14" s="11">
        <v>29</v>
      </c>
      <c r="P14" s="6">
        <v>12</v>
      </c>
      <c r="Q14" s="8"/>
      <c r="R14" s="9">
        <f t="shared" si="0"/>
        <v>87</v>
      </c>
      <c r="S14" s="6">
        <f t="shared" si="1"/>
        <v>51</v>
      </c>
    </row>
    <row r="15" spans="2:19" ht="18" x14ac:dyDescent="0.35">
      <c r="B15" s="10">
        <v>8</v>
      </c>
      <c r="C15" s="17" t="s">
        <v>33</v>
      </c>
      <c r="D15" s="6" t="s">
        <v>47</v>
      </c>
      <c r="E15" s="6">
        <v>1792</v>
      </c>
      <c r="F15" s="6">
        <v>2500</v>
      </c>
      <c r="G15" s="6" t="s">
        <v>49</v>
      </c>
      <c r="H15" s="6" t="s">
        <v>203</v>
      </c>
      <c r="I15" s="11">
        <v>55</v>
      </c>
      <c r="J15" s="6">
        <v>28</v>
      </c>
      <c r="K15" s="8"/>
      <c r="L15" s="11">
        <v>48</v>
      </c>
      <c r="M15" s="6">
        <v>48</v>
      </c>
      <c r="N15" s="8" t="s">
        <v>265</v>
      </c>
      <c r="O15" s="11">
        <v>34</v>
      </c>
      <c r="P15" s="6">
        <v>34</v>
      </c>
      <c r="Q15" s="8" t="s">
        <v>266</v>
      </c>
      <c r="R15" s="9">
        <f t="shared" si="0"/>
        <v>137</v>
      </c>
      <c r="S15" s="6">
        <f t="shared" si="1"/>
        <v>110</v>
      </c>
    </row>
    <row r="16" spans="2:19" ht="18" x14ac:dyDescent="0.35">
      <c r="B16" s="6">
        <v>9</v>
      </c>
      <c r="C16" s="7" t="s">
        <v>34</v>
      </c>
      <c r="D16" s="6" t="s">
        <v>64</v>
      </c>
      <c r="E16" s="6">
        <v>90129</v>
      </c>
      <c r="F16" s="6">
        <v>2540</v>
      </c>
      <c r="G16" s="6" t="s">
        <v>49</v>
      </c>
      <c r="H16" s="6" t="s">
        <v>235</v>
      </c>
      <c r="I16" s="11">
        <v>93</v>
      </c>
      <c r="J16" s="6">
        <v>72</v>
      </c>
      <c r="K16" s="8"/>
      <c r="L16" s="11">
        <v>93</v>
      </c>
      <c r="M16" s="6">
        <v>83</v>
      </c>
      <c r="N16" s="8" t="s">
        <v>254</v>
      </c>
      <c r="O16" s="11">
        <v>93</v>
      </c>
      <c r="P16" s="6">
        <v>83</v>
      </c>
      <c r="Q16" s="8" t="s">
        <v>50</v>
      </c>
      <c r="R16" s="9">
        <f t="shared" si="0"/>
        <v>279</v>
      </c>
      <c r="S16" s="6">
        <f t="shared" si="1"/>
        <v>238</v>
      </c>
    </row>
    <row r="17" spans="2:19" ht="18" x14ac:dyDescent="0.35">
      <c r="B17" s="6">
        <v>10</v>
      </c>
      <c r="C17" s="7" t="s">
        <v>35</v>
      </c>
      <c r="D17" s="6" t="s">
        <v>19</v>
      </c>
      <c r="E17" s="6">
        <v>2122</v>
      </c>
      <c r="F17" s="6">
        <v>796.5</v>
      </c>
      <c r="G17" s="6" t="s">
        <v>138</v>
      </c>
      <c r="H17" s="6" t="s">
        <v>209</v>
      </c>
      <c r="I17" s="11">
        <v>0</v>
      </c>
      <c r="J17" s="6"/>
      <c r="K17" s="8" t="s">
        <v>252</v>
      </c>
      <c r="L17" s="11">
        <v>0</v>
      </c>
      <c r="M17" s="6">
        <v>0</v>
      </c>
      <c r="N17" s="8" t="s">
        <v>252</v>
      </c>
      <c r="O17" s="11">
        <v>0</v>
      </c>
      <c r="P17" s="6">
        <v>0</v>
      </c>
      <c r="Q17" s="8" t="s">
        <v>252</v>
      </c>
      <c r="R17" s="9">
        <f t="shared" si="0"/>
        <v>0</v>
      </c>
      <c r="S17" s="6">
        <f t="shared" si="1"/>
        <v>0</v>
      </c>
    </row>
  </sheetData>
  <mergeCells count="5">
    <mergeCell ref="B5:N5"/>
    <mergeCell ref="R5:S5"/>
    <mergeCell ref="I6:K6"/>
    <mergeCell ref="L6:N6"/>
    <mergeCell ref="O6:Q6"/>
  </mergeCells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D5:U18"/>
  <sheetViews>
    <sheetView topLeftCell="E21" zoomScale="84" zoomScaleNormal="84" workbookViewId="0">
      <selection activeCell="P40" sqref="P40"/>
    </sheetView>
  </sheetViews>
  <sheetFormatPr defaultRowHeight="14.4" x14ac:dyDescent="0.3"/>
  <cols>
    <col min="1" max="2" width="0" hidden="1" customWidth="1"/>
    <col min="3" max="3" width="3.33203125" customWidth="1"/>
    <col min="5" max="5" width="11.44140625" customWidth="1"/>
    <col min="6" max="6" width="13.88671875" bestFit="1" customWidth="1"/>
    <col min="8" max="8" width="8.6640625" bestFit="1" customWidth="1"/>
    <col min="9" max="9" width="12.88671875" bestFit="1" customWidth="1"/>
    <col min="10" max="10" width="10.33203125" bestFit="1" customWidth="1"/>
    <col min="13" max="13" width="21.44140625" customWidth="1"/>
    <col min="16" max="16" width="23" customWidth="1"/>
    <col min="18" max="18" width="11.33203125" bestFit="1" customWidth="1"/>
    <col min="19" max="19" width="25.88671875" customWidth="1"/>
    <col min="22" max="22" width="3.33203125" customWidth="1"/>
  </cols>
  <sheetData>
    <row r="5" spans="4:21" ht="18" x14ac:dyDescent="0.35">
      <c r="D5" s="44" t="s">
        <v>0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6"/>
      <c r="Q5" s="1" t="s">
        <v>1</v>
      </c>
      <c r="R5" s="2" t="s">
        <v>267</v>
      </c>
      <c r="S5" s="1" t="s">
        <v>2</v>
      </c>
      <c r="T5" s="47"/>
      <c r="U5" s="48"/>
    </row>
    <row r="6" spans="4:21" ht="54" x14ac:dyDescent="0.3">
      <c r="D6" s="4" t="s">
        <v>3</v>
      </c>
      <c r="E6" s="4" t="s">
        <v>4</v>
      </c>
      <c r="F6" s="4" t="s">
        <v>5</v>
      </c>
      <c r="G6" s="5" t="s">
        <v>6</v>
      </c>
      <c r="H6" s="4" t="s">
        <v>7</v>
      </c>
      <c r="I6" s="4" t="s">
        <v>8</v>
      </c>
      <c r="J6" s="5"/>
      <c r="K6" s="49" t="s">
        <v>9</v>
      </c>
      <c r="L6" s="50"/>
      <c r="M6" s="51"/>
      <c r="N6" s="49" t="s">
        <v>10</v>
      </c>
      <c r="O6" s="50"/>
      <c r="P6" s="51"/>
      <c r="Q6" s="49" t="s">
        <v>11</v>
      </c>
      <c r="R6" s="50"/>
      <c r="S6" s="51"/>
      <c r="T6" s="4" t="s">
        <v>12</v>
      </c>
      <c r="U6" s="4" t="s">
        <v>13</v>
      </c>
    </row>
    <row r="7" spans="4:21" ht="18" x14ac:dyDescent="0.3">
      <c r="D7" s="3"/>
      <c r="E7" s="4"/>
      <c r="F7" s="4"/>
      <c r="G7" s="5"/>
      <c r="H7" s="4"/>
      <c r="I7" s="4"/>
      <c r="J7" s="5" t="s">
        <v>14</v>
      </c>
      <c r="K7" s="5" t="s">
        <v>15</v>
      </c>
      <c r="L7" s="5" t="s">
        <v>16</v>
      </c>
      <c r="M7" s="5" t="s">
        <v>17</v>
      </c>
      <c r="N7" s="5" t="s">
        <v>15</v>
      </c>
      <c r="O7" s="5" t="s">
        <v>16</v>
      </c>
      <c r="P7" s="5" t="s">
        <v>17</v>
      </c>
      <c r="Q7" s="5" t="s">
        <v>15</v>
      </c>
      <c r="R7" s="5" t="s">
        <v>16</v>
      </c>
      <c r="S7" s="5" t="s">
        <v>17</v>
      </c>
      <c r="T7" s="9" t="s">
        <v>50</v>
      </c>
      <c r="U7" s="6"/>
    </row>
    <row r="8" spans="4:21" ht="18" x14ac:dyDescent="0.35">
      <c r="D8" s="6">
        <v>1</v>
      </c>
      <c r="E8" s="13" t="s">
        <v>18</v>
      </c>
      <c r="F8" s="6" t="s">
        <v>232</v>
      </c>
      <c r="G8" s="6">
        <v>83831</v>
      </c>
      <c r="H8" s="6">
        <v>899</v>
      </c>
      <c r="I8" s="6" t="s">
        <v>27</v>
      </c>
      <c r="J8" s="6" t="s">
        <v>209</v>
      </c>
      <c r="K8" s="11">
        <v>146</v>
      </c>
      <c r="L8" s="6">
        <v>54</v>
      </c>
      <c r="M8" s="8" t="s">
        <v>268</v>
      </c>
      <c r="N8" s="11">
        <v>146</v>
      </c>
      <c r="O8" s="6">
        <v>146</v>
      </c>
      <c r="P8" s="8"/>
      <c r="Q8" s="11">
        <v>146</v>
      </c>
      <c r="R8" s="6">
        <v>146</v>
      </c>
      <c r="S8" s="8"/>
      <c r="T8" s="9">
        <f t="shared" ref="T8:T18" si="0">K8+N8+Q8</f>
        <v>438</v>
      </c>
      <c r="U8" s="6">
        <f>R8+O8+L8</f>
        <v>346</v>
      </c>
    </row>
    <row r="9" spans="4:21" ht="18" x14ac:dyDescent="0.35">
      <c r="D9" s="6">
        <v>2</v>
      </c>
      <c r="E9" s="7" t="s">
        <v>212</v>
      </c>
      <c r="F9" s="6" t="s">
        <v>225</v>
      </c>
      <c r="G9" s="6">
        <v>2123</v>
      </c>
      <c r="H9" s="6">
        <v>418.2</v>
      </c>
      <c r="I9" s="6" t="s">
        <v>24</v>
      </c>
      <c r="J9" s="6" t="s">
        <v>129</v>
      </c>
      <c r="K9" s="11">
        <v>88</v>
      </c>
      <c r="L9" s="6">
        <v>52</v>
      </c>
      <c r="M9" s="8"/>
      <c r="N9" s="11">
        <v>88</v>
      </c>
      <c r="O9" s="6">
        <v>88</v>
      </c>
      <c r="P9" s="8"/>
      <c r="Q9" s="11">
        <v>88</v>
      </c>
      <c r="R9" s="6">
        <v>88</v>
      </c>
      <c r="S9" s="8"/>
      <c r="T9" s="9">
        <f t="shared" si="0"/>
        <v>264</v>
      </c>
      <c r="U9" s="6">
        <f t="shared" ref="U9:U18" si="1">R9+O9+L9</f>
        <v>228</v>
      </c>
    </row>
    <row r="10" spans="4:21" ht="18" x14ac:dyDescent="0.35">
      <c r="D10" s="6">
        <v>3</v>
      </c>
      <c r="E10" s="17" t="s">
        <v>77</v>
      </c>
      <c r="F10" s="6" t="s">
        <v>23</v>
      </c>
      <c r="G10" s="6">
        <v>86292</v>
      </c>
      <c r="H10" s="6">
        <v>914.4</v>
      </c>
      <c r="I10" s="6" t="s">
        <v>236</v>
      </c>
      <c r="J10" s="6" t="s">
        <v>237</v>
      </c>
      <c r="K10" s="11">
        <v>36</v>
      </c>
      <c r="L10" s="6">
        <v>29</v>
      </c>
      <c r="M10" s="8"/>
      <c r="N10" s="11">
        <v>0</v>
      </c>
      <c r="O10" s="6">
        <v>0</v>
      </c>
      <c r="P10" s="8" t="s">
        <v>270</v>
      </c>
      <c r="Q10" s="11">
        <v>36</v>
      </c>
      <c r="R10" s="6">
        <v>32</v>
      </c>
      <c r="S10" s="8"/>
      <c r="T10" s="9">
        <f t="shared" si="0"/>
        <v>72</v>
      </c>
      <c r="U10" s="6">
        <f t="shared" si="1"/>
        <v>61</v>
      </c>
    </row>
    <row r="11" spans="4:21" ht="18" x14ac:dyDescent="0.35">
      <c r="D11" s="10">
        <v>4</v>
      </c>
      <c r="E11" s="17" t="s">
        <v>25</v>
      </c>
      <c r="F11" s="6" t="s">
        <v>258</v>
      </c>
      <c r="G11" s="10">
        <v>2123</v>
      </c>
      <c r="H11" s="6">
        <v>428.7</v>
      </c>
      <c r="I11" s="6" t="s">
        <v>24</v>
      </c>
      <c r="J11" s="6" t="s">
        <v>129</v>
      </c>
      <c r="K11" s="11">
        <v>88</v>
      </c>
      <c r="L11" s="6">
        <v>73</v>
      </c>
      <c r="M11" s="8"/>
      <c r="N11" s="11">
        <v>0</v>
      </c>
      <c r="O11" s="6">
        <v>0</v>
      </c>
      <c r="P11" s="8" t="s">
        <v>163</v>
      </c>
      <c r="Q11" s="11">
        <v>88</v>
      </c>
      <c r="R11" s="6">
        <v>88</v>
      </c>
      <c r="S11" s="8"/>
      <c r="T11" s="9">
        <f t="shared" si="0"/>
        <v>176</v>
      </c>
      <c r="U11" s="6">
        <f t="shared" si="1"/>
        <v>161</v>
      </c>
    </row>
    <row r="12" spans="4:21" ht="18" x14ac:dyDescent="0.35">
      <c r="D12" s="14">
        <v>5</v>
      </c>
      <c r="E12" s="13" t="s">
        <v>28</v>
      </c>
      <c r="F12" s="6" t="s">
        <v>258</v>
      </c>
      <c r="G12" s="10">
        <v>2123</v>
      </c>
      <c r="H12" s="6">
        <v>428.7</v>
      </c>
      <c r="I12" s="6" t="s">
        <v>24</v>
      </c>
      <c r="J12" s="6" t="s">
        <v>129</v>
      </c>
      <c r="K12" s="11">
        <v>88</v>
      </c>
      <c r="L12" s="6">
        <v>30</v>
      </c>
      <c r="M12" s="8" t="s">
        <v>268</v>
      </c>
      <c r="N12" s="11">
        <v>0</v>
      </c>
      <c r="O12" s="6">
        <v>0</v>
      </c>
      <c r="P12" s="8" t="s">
        <v>163</v>
      </c>
      <c r="Q12" s="11">
        <v>0</v>
      </c>
      <c r="R12" s="6">
        <v>0</v>
      </c>
      <c r="S12" s="8" t="s">
        <v>250</v>
      </c>
      <c r="T12" s="9">
        <f t="shared" si="0"/>
        <v>88</v>
      </c>
      <c r="U12" s="6">
        <f t="shared" si="1"/>
        <v>30</v>
      </c>
    </row>
    <row r="13" spans="4:21" ht="18" x14ac:dyDescent="0.35">
      <c r="D13" s="6">
        <v>6</v>
      </c>
      <c r="E13" s="7" t="s">
        <v>30</v>
      </c>
      <c r="F13" s="6" t="s">
        <v>47</v>
      </c>
      <c r="G13" s="10">
        <v>99719</v>
      </c>
      <c r="H13" s="6">
        <v>1107</v>
      </c>
      <c r="I13" s="6" t="s">
        <v>27</v>
      </c>
      <c r="J13" s="11" t="s">
        <v>129</v>
      </c>
      <c r="K13" s="11">
        <v>88</v>
      </c>
      <c r="L13" s="6">
        <v>66</v>
      </c>
      <c r="M13" s="8"/>
      <c r="N13" s="11">
        <v>88</v>
      </c>
      <c r="O13" s="6">
        <v>88</v>
      </c>
      <c r="P13" s="8"/>
      <c r="Q13" s="11">
        <v>88</v>
      </c>
      <c r="R13" s="6">
        <v>88</v>
      </c>
      <c r="S13" s="8"/>
      <c r="T13" s="9">
        <f t="shared" si="0"/>
        <v>264</v>
      </c>
      <c r="U13" s="6">
        <f t="shared" si="1"/>
        <v>242</v>
      </c>
    </row>
    <row r="14" spans="4:21" ht="36" x14ac:dyDescent="0.3">
      <c r="D14" s="40">
        <v>7</v>
      </c>
      <c r="E14" s="42" t="s">
        <v>31</v>
      </c>
      <c r="F14" s="40" t="s">
        <v>47</v>
      </c>
      <c r="G14" s="6">
        <v>1792</v>
      </c>
      <c r="H14" s="6">
        <v>6100</v>
      </c>
      <c r="I14" s="6" t="s">
        <v>49</v>
      </c>
      <c r="J14" s="6" t="s">
        <v>256</v>
      </c>
      <c r="K14" s="6">
        <v>12</v>
      </c>
      <c r="L14" s="6">
        <v>12</v>
      </c>
      <c r="M14" s="8" t="s">
        <v>177</v>
      </c>
      <c r="N14" s="6">
        <v>0</v>
      </c>
      <c r="O14" s="6">
        <v>0</v>
      </c>
      <c r="P14" s="8"/>
      <c r="Q14" s="6">
        <v>5</v>
      </c>
      <c r="R14" s="6">
        <v>5</v>
      </c>
      <c r="S14" s="19" t="s">
        <v>274</v>
      </c>
      <c r="T14" s="9">
        <f t="shared" si="0"/>
        <v>17</v>
      </c>
      <c r="U14" s="6">
        <f t="shared" si="1"/>
        <v>17</v>
      </c>
    </row>
    <row r="15" spans="4:21" ht="18" x14ac:dyDescent="0.35">
      <c r="D15" s="41"/>
      <c r="E15" s="43"/>
      <c r="F15" s="41"/>
      <c r="G15" s="6">
        <v>1770</v>
      </c>
      <c r="H15" s="6">
        <v>6100</v>
      </c>
      <c r="I15" s="6" t="s">
        <v>49</v>
      </c>
      <c r="J15" s="6" t="s">
        <v>256</v>
      </c>
      <c r="K15" s="11">
        <v>13</v>
      </c>
      <c r="L15" s="6">
        <v>13</v>
      </c>
      <c r="M15" s="8"/>
      <c r="N15" s="11">
        <v>12</v>
      </c>
      <c r="O15" s="6">
        <v>12</v>
      </c>
      <c r="P15" s="8" t="s">
        <v>257</v>
      </c>
      <c r="Q15" s="11">
        <v>0</v>
      </c>
      <c r="R15" s="6">
        <v>0</v>
      </c>
      <c r="S15" s="8"/>
      <c r="T15" s="9">
        <f t="shared" si="0"/>
        <v>25</v>
      </c>
      <c r="U15" s="6">
        <f t="shared" si="1"/>
        <v>25</v>
      </c>
    </row>
    <row r="16" spans="4:21" ht="18" x14ac:dyDescent="0.35">
      <c r="D16" s="10">
        <v>8</v>
      </c>
      <c r="E16" s="17" t="s">
        <v>33</v>
      </c>
      <c r="F16" s="6" t="s">
        <v>47</v>
      </c>
      <c r="G16" s="6">
        <v>99719</v>
      </c>
      <c r="H16" s="6">
        <v>1107</v>
      </c>
      <c r="I16" s="6" t="s">
        <v>27</v>
      </c>
      <c r="J16" s="6" t="s">
        <v>129</v>
      </c>
      <c r="K16" s="11">
        <v>88</v>
      </c>
      <c r="L16" s="6">
        <v>38</v>
      </c>
      <c r="M16" s="8" t="s">
        <v>268</v>
      </c>
      <c r="N16" s="11">
        <v>0</v>
      </c>
      <c r="O16" s="6">
        <v>0</v>
      </c>
      <c r="P16" s="8" t="s">
        <v>271</v>
      </c>
      <c r="Q16" s="11">
        <v>0</v>
      </c>
      <c r="R16" s="6">
        <v>0</v>
      </c>
      <c r="S16" s="8" t="s">
        <v>275</v>
      </c>
      <c r="T16" s="9">
        <f t="shared" si="0"/>
        <v>88</v>
      </c>
      <c r="U16" s="6">
        <f t="shared" si="1"/>
        <v>38</v>
      </c>
    </row>
    <row r="17" spans="4:21" ht="18" x14ac:dyDescent="0.35">
      <c r="D17" s="6">
        <v>9</v>
      </c>
      <c r="E17" s="7" t="s">
        <v>34</v>
      </c>
      <c r="F17" s="6" t="s">
        <v>64</v>
      </c>
      <c r="G17" s="6">
        <v>90129</v>
      </c>
      <c r="H17" s="6">
        <v>2540</v>
      </c>
      <c r="I17" s="6" t="s">
        <v>49</v>
      </c>
      <c r="J17" s="6" t="s">
        <v>235</v>
      </c>
      <c r="K17" s="11">
        <v>96</v>
      </c>
      <c r="L17" s="6">
        <v>93</v>
      </c>
      <c r="M17" s="8"/>
      <c r="N17" s="11">
        <v>96</v>
      </c>
      <c r="O17" s="6">
        <v>96</v>
      </c>
      <c r="P17" s="8" t="s">
        <v>272</v>
      </c>
      <c r="Q17" s="11">
        <v>96</v>
      </c>
      <c r="R17" s="6">
        <v>88</v>
      </c>
      <c r="S17" s="8"/>
      <c r="T17" s="9">
        <f t="shared" si="0"/>
        <v>288</v>
      </c>
      <c r="U17" s="6">
        <f t="shared" si="1"/>
        <v>277</v>
      </c>
    </row>
    <row r="18" spans="4:21" ht="18" x14ac:dyDescent="0.35">
      <c r="D18" s="6">
        <v>10</v>
      </c>
      <c r="E18" s="7" t="s">
        <v>35</v>
      </c>
      <c r="F18" s="6" t="s">
        <v>19</v>
      </c>
      <c r="G18" s="6">
        <v>2122</v>
      </c>
      <c r="H18" s="6">
        <v>796.5</v>
      </c>
      <c r="I18" s="6" t="s">
        <v>138</v>
      </c>
      <c r="J18" s="6" t="s">
        <v>209</v>
      </c>
      <c r="K18" s="11">
        <v>0</v>
      </c>
      <c r="L18" s="6">
        <v>0</v>
      </c>
      <c r="M18" s="8" t="s">
        <v>269</v>
      </c>
      <c r="N18" s="11">
        <v>0</v>
      </c>
      <c r="O18" s="6">
        <v>0</v>
      </c>
      <c r="P18" s="8" t="s">
        <v>252</v>
      </c>
      <c r="Q18" s="11">
        <v>0</v>
      </c>
      <c r="R18" s="6">
        <v>0</v>
      </c>
      <c r="S18" s="8" t="s">
        <v>275</v>
      </c>
      <c r="T18" s="9">
        <f t="shared" si="0"/>
        <v>0</v>
      </c>
      <c r="U18" s="6">
        <f t="shared" si="1"/>
        <v>0</v>
      </c>
    </row>
  </sheetData>
  <mergeCells count="8">
    <mergeCell ref="E14:E15"/>
    <mergeCell ref="F14:F15"/>
    <mergeCell ref="D5:P5"/>
    <mergeCell ref="T5:U5"/>
    <mergeCell ref="K6:M6"/>
    <mergeCell ref="N6:P6"/>
    <mergeCell ref="Q6:S6"/>
    <mergeCell ref="D14:D1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D5:U17"/>
  <sheetViews>
    <sheetView topLeftCell="C7" zoomScale="86" zoomScaleNormal="86" workbookViewId="0">
      <selection activeCell="P22" sqref="P22"/>
    </sheetView>
  </sheetViews>
  <sheetFormatPr defaultRowHeight="14.4" x14ac:dyDescent="0.3"/>
  <cols>
    <col min="1" max="2" width="0" hidden="1" customWidth="1"/>
    <col min="3" max="3" width="5" customWidth="1"/>
    <col min="4" max="4" width="7" customWidth="1"/>
    <col min="5" max="5" width="11.44140625" customWidth="1"/>
    <col min="6" max="6" width="13.88671875" bestFit="1" customWidth="1"/>
    <col min="8" max="8" width="8.6640625" bestFit="1" customWidth="1"/>
    <col min="9" max="9" width="12.88671875" bestFit="1" customWidth="1"/>
    <col min="10" max="10" width="10.33203125" bestFit="1" customWidth="1"/>
    <col min="13" max="13" width="14.33203125" customWidth="1"/>
    <col min="16" max="16" width="15.33203125" customWidth="1"/>
    <col min="18" max="18" width="11.33203125" bestFit="1" customWidth="1"/>
    <col min="19" max="19" width="11.109375" bestFit="1" customWidth="1"/>
    <col min="22" max="22" width="3.33203125" customWidth="1"/>
  </cols>
  <sheetData>
    <row r="5" spans="4:21" ht="18" x14ac:dyDescent="0.35">
      <c r="D5" s="44" t="s">
        <v>0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6"/>
      <c r="Q5" s="1" t="s">
        <v>1</v>
      </c>
      <c r="R5" s="2" t="s">
        <v>273</v>
      </c>
      <c r="S5" s="1" t="s">
        <v>2</v>
      </c>
      <c r="T5" s="47"/>
      <c r="U5" s="48"/>
    </row>
    <row r="6" spans="4:21" ht="54" x14ac:dyDescent="0.3">
      <c r="D6" s="4" t="s">
        <v>3</v>
      </c>
      <c r="E6" s="4" t="s">
        <v>4</v>
      </c>
      <c r="F6" s="4" t="s">
        <v>5</v>
      </c>
      <c r="G6" s="5" t="s">
        <v>6</v>
      </c>
      <c r="H6" s="4" t="s">
        <v>7</v>
      </c>
      <c r="I6" s="4" t="s">
        <v>8</v>
      </c>
      <c r="J6" s="5"/>
      <c r="K6" s="49" t="s">
        <v>9</v>
      </c>
      <c r="L6" s="50"/>
      <c r="M6" s="51"/>
      <c r="N6" s="49" t="s">
        <v>10</v>
      </c>
      <c r="O6" s="50"/>
      <c r="P6" s="51"/>
      <c r="Q6" s="49" t="s">
        <v>11</v>
      </c>
      <c r="R6" s="50"/>
      <c r="S6" s="51"/>
      <c r="T6" s="4" t="s">
        <v>12</v>
      </c>
      <c r="U6" s="4" t="s">
        <v>13</v>
      </c>
    </row>
    <row r="7" spans="4:21" ht="18" x14ac:dyDescent="0.3">
      <c r="D7" s="3"/>
      <c r="E7" s="4"/>
      <c r="F7" s="4"/>
      <c r="G7" s="5"/>
      <c r="H7" s="4"/>
      <c r="I7" s="4"/>
      <c r="J7" s="5" t="s">
        <v>14</v>
      </c>
      <c r="K7" s="5" t="s">
        <v>15</v>
      </c>
      <c r="L7" s="5" t="s">
        <v>16</v>
      </c>
      <c r="M7" s="5" t="s">
        <v>17</v>
      </c>
      <c r="N7" s="5" t="s">
        <v>15</v>
      </c>
      <c r="O7" s="5" t="s">
        <v>16</v>
      </c>
      <c r="P7" s="5" t="s">
        <v>17</v>
      </c>
      <c r="Q7" s="5" t="s">
        <v>15</v>
      </c>
      <c r="R7" s="5" t="s">
        <v>16</v>
      </c>
      <c r="S7" s="5" t="s">
        <v>17</v>
      </c>
      <c r="T7" s="9" t="s">
        <v>50</v>
      </c>
      <c r="U7" s="6"/>
    </row>
    <row r="8" spans="4:21" ht="18" x14ac:dyDescent="0.35">
      <c r="D8" s="6">
        <v>1</v>
      </c>
      <c r="E8" s="13" t="s">
        <v>18</v>
      </c>
      <c r="F8" s="6" t="s">
        <v>232</v>
      </c>
      <c r="G8" s="6">
        <v>83831</v>
      </c>
      <c r="H8" s="6">
        <v>899</v>
      </c>
      <c r="I8" s="6" t="s">
        <v>27</v>
      </c>
      <c r="J8" s="6" t="s">
        <v>209</v>
      </c>
      <c r="K8" s="11">
        <v>146</v>
      </c>
      <c r="L8" s="6">
        <v>120</v>
      </c>
      <c r="M8" s="8"/>
      <c r="N8" s="11">
        <v>0</v>
      </c>
      <c r="O8" s="6">
        <v>0</v>
      </c>
      <c r="P8" s="8" t="s">
        <v>163</v>
      </c>
      <c r="Q8" s="11">
        <v>146</v>
      </c>
      <c r="R8" s="6"/>
      <c r="S8" s="8"/>
      <c r="T8" s="9">
        <f t="shared" ref="T8:T17" si="0">K8+N8+Q8</f>
        <v>292</v>
      </c>
      <c r="U8" s="6">
        <f>R8+O8+L8</f>
        <v>120</v>
      </c>
    </row>
    <row r="9" spans="4:21" ht="18" x14ac:dyDescent="0.35">
      <c r="D9" s="6">
        <v>2</v>
      </c>
      <c r="E9" s="7" t="s">
        <v>212</v>
      </c>
      <c r="F9" s="6" t="s">
        <v>225</v>
      </c>
      <c r="G9" s="6">
        <v>2123</v>
      </c>
      <c r="H9" s="6">
        <v>418.2</v>
      </c>
      <c r="I9" s="6" t="s">
        <v>24</v>
      </c>
      <c r="J9" s="6" t="s">
        <v>129</v>
      </c>
      <c r="K9" s="11">
        <v>88</v>
      </c>
      <c r="L9" s="6">
        <v>80</v>
      </c>
      <c r="M9" s="8"/>
      <c r="N9" s="11">
        <v>88</v>
      </c>
      <c r="O9" s="6">
        <v>88</v>
      </c>
      <c r="P9" s="8"/>
      <c r="Q9" s="11">
        <v>88</v>
      </c>
      <c r="R9" s="6"/>
      <c r="S9" s="8"/>
      <c r="T9" s="9">
        <f t="shared" si="0"/>
        <v>264</v>
      </c>
      <c r="U9" s="6">
        <f t="shared" ref="U9:U17" si="1">R9+O9+L9</f>
        <v>168</v>
      </c>
    </row>
    <row r="10" spans="4:21" ht="18" x14ac:dyDescent="0.35">
      <c r="D10" s="6">
        <v>3</v>
      </c>
      <c r="E10" s="17" t="s">
        <v>77</v>
      </c>
      <c r="F10" s="6" t="s">
        <v>23</v>
      </c>
      <c r="G10" s="6">
        <v>86292</v>
      </c>
      <c r="H10" s="6">
        <v>914.4</v>
      </c>
      <c r="I10" s="6" t="s">
        <v>236</v>
      </c>
      <c r="J10" s="6" t="s">
        <v>237</v>
      </c>
      <c r="K10" s="11">
        <v>36</v>
      </c>
      <c r="L10" s="6">
        <v>20</v>
      </c>
      <c r="M10" s="8"/>
      <c r="N10" s="11">
        <v>0</v>
      </c>
      <c r="O10" s="6">
        <v>0</v>
      </c>
      <c r="P10" s="8" t="s">
        <v>163</v>
      </c>
      <c r="Q10" s="11">
        <v>0</v>
      </c>
      <c r="R10" s="6"/>
      <c r="S10" s="8"/>
      <c r="T10" s="9">
        <f t="shared" si="0"/>
        <v>36</v>
      </c>
      <c r="U10" s="6">
        <f t="shared" si="1"/>
        <v>20</v>
      </c>
    </row>
    <row r="11" spans="4:21" ht="18" x14ac:dyDescent="0.35">
      <c r="D11" s="10">
        <v>4</v>
      </c>
      <c r="E11" s="17" t="s">
        <v>25</v>
      </c>
      <c r="F11" s="6" t="s">
        <v>258</v>
      </c>
      <c r="G11" s="10">
        <v>2123</v>
      </c>
      <c r="H11" s="6">
        <v>428.7</v>
      </c>
      <c r="I11" s="6" t="s">
        <v>24</v>
      </c>
      <c r="J11" s="6" t="s">
        <v>129</v>
      </c>
      <c r="K11" s="11">
        <v>88</v>
      </c>
      <c r="L11" s="6">
        <v>88</v>
      </c>
      <c r="M11" s="8"/>
      <c r="N11" s="11">
        <v>88</v>
      </c>
      <c r="O11" s="6">
        <v>88</v>
      </c>
      <c r="P11" s="8"/>
      <c r="Q11" s="11">
        <v>0</v>
      </c>
      <c r="R11" s="6"/>
      <c r="S11" s="8"/>
      <c r="T11" s="9">
        <f t="shared" si="0"/>
        <v>176</v>
      </c>
      <c r="U11" s="6">
        <f t="shared" si="1"/>
        <v>176</v>
      </c>
    </row>
    <row r="12" spans="4:21" ht="18" x14ac:dyDescent="0.35">
      <c r="D12" s="14">
        <v>5</v>
      </c>
      <c r="E12" s="13" t="s">
        <v>28</v>
      </c>
      <c r="F12" s="6" t="s">
        <v>258</v>
      </c>
      <c r="G12" s="10">
        <v>2123</v>
      </c>
      <c r="H12" s="6">
        <v>428.7</v>
      </c>
      <c r="I12" s="6" t="s">
        <v>24</v>
      </c>
      <c r="J12" s="6" t="s">
        <v>129</v>
      </c>
      <c r="K12" s="11">
        <v>88</v>
      </c>
      <c r="L12" s="6">
        <v>23</v>
      </c>
      <c r="M12" s="8"/>
      <c r="N12" s="11">
        <v>0</v>
      </c>
      <c r="O12" s="6">
        <v>0</v>
      </c>
      <c r="P12" s="8" t="s">
        <v>163</v>
      </c>
      <c r="Q12" s="11">
        <v>0</v>
      </c>
      <c r="R12" s="6"/>
      <c r="S12" s="8"/>
      <c r="T12" s="9">
        <f t="shared" si="0"/>
        <v>88</v>
      </c>
      <c r="U12" s="6">
        <f t="shared" si="1"/>
        <v>23</v>
      </c>
    </row>
    <row r="13" spans="4:21" ht="18" x14ac:dyDescent="0.35">
      <c r="D13" s="6">
        <v>6</v>
      </c>
      <c r="E13" s="7" t="s">
        <v>30</v>
      </c>
      <c r="F13" s="6" t="s">
        <v>47</v>
      </c>
      <c r="G13" s="10">
        <v>99719</v>
      </c>
      <c r="H13" s="6">
        <v>1107</v>
      </c>
      <c r="I13" s="6" t="s">
        <v>27</v>
      </c>
      <c r="J13" s="11" t="s">
        <v>129</v>
      </c>
      <c r="K13" s="11">
        <v>88</v>
      </c>
      <c r="L13" s="6">
        <v>88</v>
      </c>
      <c r="M13" s="8"/>
      <c r="N13" s="11">
        <v>0</v>
      </c>
      <c r="O13" s="6">
        <v>0</v>
      </c>
      <c r="P13" s="8" t="s">
        <v>163</v>
      </c>
      <c r="Q13" s="11">
        <v>88</v>
      </c>
      <c r="R13" s="6"/>
      <c r="S13" s="8"/>
      <c r="T13" s="9">
        <f t="shared" si="0"/>
        <v>176</v>
      </c>
      <c r="U13" s="6">
        <f t="shared" si="1"/>
        <v>88</v>
      </c>
    </row>
    <row r="14" spans="4:21" ht="18" x14ac:dyDescent="0.35">
      <c r="D14" s="10">
        <v>7</v>
      </c>
      <c r="E14" s="13" t="s">
        <v>31</v>
      </c>
      <c r="F14" s="14" t="s">
        <v>47</v>
      </c>
      <c r="G14" s="6">
        <v>1792</v>
      </c>
      <c r="H14" s="6">
        <v>6100</v>
      </c>
      <c r="I14" s="6" t="s">
        <v>49</v>
      </c>
      <c r="J14" s="6" t="s">
        <v>256</v>
      </c>
      <c r="K14" s="11">
        <v>29</v>
      </c>
      <c r="L14" s="6">
        <v>24</v>
      </c>
      <c r="M14" s="8"/>
      <c r="N14" s="11">
        <v>29</v>
      </c>
      <c r="O14" s="6">
        <v>29</v>
      </c>
      <c r="P14" s="8"/>
      <c r="Q14" s="11">
        <v>29</v>
      </c>
      <c r="R14" s="6"/>
      <c r="S14" s="8"/>
      <c r="T14" s="9">
        <f t="shared" si="0"/>
        <v>87</v>
      </c>
      <c r="U14" s="6">
        <f t="shared" si="1"/>
        <v>53</v>
      </c>
    </row>
    <row r="15" spans="4:21" ht="18" x14ac:dyDescent="0.35">
      <c r="D15" s="10">
        <v>8</v>
      </c>
      <c r="E15" s="17" t="s">
        <v>33</v>
      </c>
      <c r="F15" s="6" t="s">
        <v>47</v>
      </c>
      <c r="G15" s="6">
        <v>99719</v>
      </c>
      <c r="H15" s="6">
        <v>1107</v>
      </c>
      <c r="I15" s="6" t="s">
        <v>27</v>
      </c>
      <c r="J15" s="6" t="s">
        <v>129</v>
      </c>
      <c r="K15" s="11">
        <v>88</v>
      </c>
      <c r="L15" s="6">
        <v>31</v>
      </c>
      <c r="M15" s="8"/>
      <c r="N15" s="11">
        <v>0</v>
      </c>
      <c r="O15" s="6">
        <v>0</v>
      </c>
      <c r="P15" s="8" t="s">
        <v>163</v>
      </c>
      <c r="Q15" s="11">
        <v>0</v>
      </c>
      <c r="R15" s="6"/>
      <c r="S15" s="8"/>
      <c r="T15" s="9">
        <f t="shared" si="0"/>
        <v>88</v>
      </c>
      <c r="U15" s="6">
        <f t="shared" si="1"/>
        <v>31</v>
      </c>
    </row>
    <row r="16" spans="4:21" ht="18" x14ac:dyDescent="0.35">
      <c r="D16" s="6">
        <v>9</v>
      </c>
      <c r="E16" s="7" t="s">
        <v>34</v>
      </c>
      <c r="F16" s="6" t="s">
        <v>64</v>
      </c>
      <c r="G16" s="6">
        <v>90129</v>
      </c>
      <c r="H16" s="6">
        <v>2540</v>
      </c>
      <c r="I16" s="6" t="s">
        <v>49</v>
      </c>
      <c r="J16" s="6" t="s">
        <v>235</v>
      </c>
      <c r="K16" s="11">
        <v>96</v>
      </c>
      <c r="L16" s="6">
        <v>93</v>
      </c>
      <c r="M16" s="8"/>
      <c r="N16" s="11">
        <v>96</v>
      </c>
      <c r="O16" s="6">
        <v>89</v>
      </c>
      <c r="P16" s="8"/>
      <c r="Q16" s="11">
        <v>96</v>
      </c>
      <c r="R16" s="6"/>
      <c r="S16" s="8"/>
      <c r="T16" s="9">
        <f t="shared" si="0"/>
        <v>288</v>
      </c>
      <c r="U16" s="6">
        <f t="shared" si="1"/>
        <v>182</v>
      </c>
    </row>
    <row r="17" spans="4:21" ht="18" x14ac:dyDescent="0.35">
      <c r="D17" s="6">
        <v>10</v>
      </c>
      <c r="E17" s="7" t="s">
        <v>35</v>
      </c>
      <c r="F17" s="6" t="s">
        <v>19</v>
      </c>
      <c r="G17" s="6">
        <v>2122</v>
      </c>
      <c r="H17" s="6">
        <v>796.5</v>
      </c>
      <c r="I17" s="6" t="s">
        <v>138</v>
      </c>
      <c r="J17" s="6" t="s">
        <v>209</v>
      </c>
      <c r="K17" s="11">
        <v>0</v>
      </c>
      <c r="L17" s="6">
        <v>0</v>
      </c>
      <c r="M17" s="8" t="s">
        <v>252</v>
      </c>
      <c r="N17" s="11">
        <v>0</v>
      </c>
      <c r="O17" s="6">
        <v>0</v>
      </c>
      <c r="P17" s="8" t="s">
        <v>163</v>
      </c>
      <c r="Q17" s="11">
        <v>0</v>
      </c>
      <c r="R17" s="6"/>
      <c r="S17" s="8"/>
      <c r="T17" s="9">
        <f t="shared" si="0"/>
        <v>0</v>
      </c>
      <c r="U17" s="6">
        <f t="shared" si="1"/>
        <v>0</v>
      </c>
    </row>
  </sheetData>
  <mergeCells count="5">
    <mergeCell ref="D5:P5"/>
    <mergeCell ref="T5:U5"/>
    <mergeCell ref="K6:M6"/>
    <mergeCell ref="N6:P6"/>
    <mergeCell ref="Q6:S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6:S19"/>
  <sheetViews>
    <sheetView topLeftCell="A4" zoomScale="85" zoomScaleNormal="85" workbookViewId="0">
      <selection activeCell="N23" sqref="N23"/>
    </sheetView>
  </sheetViews>
  <sheetFormatPr defaultRowHeight="14.4" x14ac:dyDescent="0.3"/>
  <cols>
    <col min="4" max="4" width="13.88671875" bestFit="1" customWidth="1"/>
    <col min="6" max="6" width="8.6640625" bestFit="1" customWidth="1"/>
    <col min="7" max="7" width="12.88671875" bestFit="1" customWidth="1"/>
    <col min="8" max="8" width="10.33203125" bestFit="1" customWidth="1"/>
    <col min="11" max="11" width="11.109375" bestFit="1" customWidth="1"/>
    <col min="16" max="16" width="11.33203125" bestFit="1" customWidth="1"/>
    <col min="17" max="17" width="30.109375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276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x14ac:dyDescent="0.35">
      <c r="B9" s="6">
        <v>1</v>
      </c>
      <c r="C9" s="42" t="s">
        <v>18</v>
      </c>
      <c r="D9" s="6" t="s">
        <v>232</v>
      </c>
      <c r="E9" s="6">
        <v>83831</v>
      </c>
      <c r="F9" s="6">
        <v>899</v>
      </c>
      <c r="G9" s="6" t="s">
        <v>27</v>
      </c>
      <c r="H9" s="6" t="s">
        <v>209</v>
      </c>
      <c r="I9" s="11">
        <v>146</v>
      </c>
      <c r="J9" s="6">
        <v>146</v>
      </c>
      <c r="K9" s="8"/>
      <c r="L9" s="11"/>
      <c r="M9" s="6"/>
      <c r="N9" s="8"/>
      <c r="O9" s="11">
        <v>0</v>
      </c>
      <c r="P9" s="6"/>
      <c r="Q9" s="8"/>
      <c r="R9" s="9">
        <f t="shared" ref="R9:R19" si="0">I9+L9+O9</f>
        <v>146</v>
      </c>
      <c r="S9" s="6">
        <f>P9+M9+J9</f>
        <v>146</v>
      </c>
    </row>
    <row r="10" spans="2:19" ht="18" x14ac:dyDescent="0.35">
      <c r="B10" s="6"/>
      <c r="C10" s="43"/>
      <c r="D10" s="6" t="s">
        <v>277</v>
      </c>
      <c r="E10" s="6">
        <v>2191</v>
      </c>
      <c r="F10" s="6">
        <v>489</v>
      </c>
      <c r="G10" s="6" t="s">
        <v>278</v>
      </c>
      <c r="H10" s="6" t="s">
        <v>214</v>
      </c>
      <c r="I10" s="11"/>
      <c r="J10" s="6"/>
      <c r="K10" s="8"/>
      <c r="L10" s="11"/>
      <c r="M10" s="6"/>
      <c r="N10" s="8"/>
      <c r="O10" s="11">
        <v>30</v>
      </c>
      <c r="P10" s="6">
        <v>20</v>
      </c>
      <c r="Q10" s="8" t="s">
        <v>279</v>
      </c>
      <c r="R10" s="9">
        <f t="shared" si="0"/>
        <v>30</v>
      </c>
      <c r="S10" s="6">
        <f t="shared" ref="S10:S12" si="1">P10+M10+J10</f>
        <v>20</v>
      </c>
    </row>
    <row r="11" spans="2:19" ht="18" x14ac:dyDescent="0.35">
      <c r="B11" s="6">
        <v>2</v>
      </c>
      <c r="C11" s="7" t="s">
        <v>212</v>
      </c>
      <c r="D11" s="6" t="s">
        <v>225</v>
      </c>
      <c r="E11" s="6">
        <v>2123</v>
      </c>
      <c r="F11" s="6">
        <v>418.2</v>
      </c>
      <c r="G11" s="6" t="s">
        <v>24</v>
      </c>
      <c r="H11" s="6" t="s">
        <v>129</v>
      </c>
      <c r="I11" s="11">
        <v>88</v>
      </c>
      <c r="J11" s="6">
        <v>88</v>
      </c>
      <c r="K11" s="8"/>
      <c r="L11" s="11"/>
      <c r="M11" s="6"/>
      <c r="N11" s="8"/>
      <c r="O11" s="11">
        <v>88</v>
      </c>
      <c r="P11" s="6">
        <v>88</v>
      </c>
      <c r="Q11" s="8"/>
      <c r="R11" s="9">
        <f t="shared" si="0"/>
        <v>176</v>
      </c>
      <c r="S11" s="6">
        <f t="shared" si="1"/>
        <v>176</v>
      </c>
    </row>
    <row r="12" spans="2:19" ht="18" x14ac:dyDescent="0.35">
      <c r="B12" s="6">
        <v>3</v>
      </c>
      <c r="C12" s="17" t="s">
        <v>77</v>
      </c>
      <c r="D12" s="6" t="s">
        <v>23</v>
      </c>
      <c r="E12" s="6">
        <v>86292</v>
      </c>
      <c r="F12" s="6">
        <v>914.4</v>
      </c>
      <c r="G12" s="6" t="s">
        <v>236</v>
      </c>
      <c r="H12" s="6" t="s">
        <v>237</v>
      </c>
      <c r="I12" s="11">
        <v>0</v>
      </c>
      <c r="J12" s="6">
        <v>0</v>
      </c>
      <c r="K12" s="8" t="s">
        <v>163</v>
      </c>
      <c r="L12" s="11"/>
      <c r="M12" s="6"/>
      <c r="N12" s="8"/>
      <c r="O12" s="11">
        <v>36</v>
      </c>
      <c r="P12" s="6">
        <v>30</v>
      </c>
      <c r="Q12" s="8" t="s">
        <v>280</v>
      </c>
      <c r="R12" s="9">
        <f t="shared" si="0"/>
        <v>36</v>
      </c>
      <c r="S12" s="6">
        <f t="shared" si="1"/>
        <v>30</v>
      </c>
    </row>
    <row r="13" spans="2:19" ht="18" x14ac:dyDescent="0.35">
      <c r="B13" s="10">
        <v>4</v>
      </c>
      <c r="C13" s="17" t="s">
        <v>25</v>
      </c>
      <c r="D13" s="6" t="s">
        <v>258</v>
      </c>
      <c r="E13" s="10">
        <v>2123</v>
      </c>
      <c r="F13" s="6">
        <v>428.7</v>
      </c>
      <c r="G13" s="6" t="s">
        <v>24</v>
      </c>
      <c r="H13" s="6" t="s">
        <v>129</v>
      </c>
      <c r="I13" s="11">
        <v>88</v>
      </c>
      <c r="J13" s="6">
        <v>88</v>
      </c>
      <c r="K13" s="8"/>
      <c r="L13" s="11"/>
      <c r="M13" s="6"/>
      <c r="N13" s="8"/>
      <c r="O13" s="11">
        <v>0</v>
      </c>
      <c r="P13" s="6">
        <v>0</v>
      </c>
      <c r="Q13" s="8"/>
      <c r="R13" s="9">
        <f t="shared" si="0"/>
        <v>88</v>
      </c>
      <c r="S13" s="6">
        <f t="shared" ref="S13:S19" si="2">P13+M13+J13</f>
        <v>88</v>
      </c>
    </row>
    <row r="14" spans="2:19" ht="18" x14ac:dyDescent="0.35">
      <c r="B14" s="14">
        <v>5</v>
      </c>
      <c r="C14" s="13" t="s">
        <v>28</v>
      </c>
      <c r="D14" s="6" t="s">
        <v>258</v>
      </c>
      <c r="E14" s="10">
        <v>2123</v>
      </c>
      <c r="F14" s="6">
        <v>428.7</v>
      </c>
      <c r="G14" s="6" t="s">
        <v>24</v>
      </c>
      <c r="H14" s="6" t="s">
        <v>129</v>
      </c>
      <c r="I14" s="11">
        <v>0</v>
      </c>
      <c r="J14" s="6">
        <v>0</v>
      </c>
      <c r="K14" s="8" t="s">
        <v>163</v>
      </c>
      <c r="L14" s="11"/>
      <c r="M14" s="6"/>
      <c r="N14" s="8"/>
      <c r="O14" s="11">
        <v>88</v>
      </c>
      <c r="P14" s="6">
        <v>55</v>
      </c>
      <c r="Q14" s="8"/>
      <c r="R14" s="9">
        <f t="shared" si="0"/>
        <v>88</v>
      </c>
      <c r="S14" s="6">
        <f t="shared" si="2"/>
        <v>55</v>
      </c>
    </row>
    <row r="15" spans="2:19" ht="18" x14ac:dyDescent="0.35">
      <c r="B15" s="6">
        <v>6</v>
      </c>
      <c r="C15" s="7" t="s">
        <v>30</v>
      </c>
      <c r="D15" s="6" t="s">
        <v>47</v>
      </c>
      <c r="E15" s="10">
        <v>99719</v>
      </c>
      <c r="F15" s="6">
        <v>1107</v>
      </c>
      <c r="G15" s="6" t="s">
        <v>27</v>
      </c>
      <c r="H15" s="11" t="s">
        <v>129</v>
      </c>
      <c r="I15" s="11">
        <v>0</v>
      </c>
      <c r="J15" s="6">
        <v>0</v>
      </c>
      <c r="K15" s="8" t="s">
        <v>163</v>
      </c>
      <c r="L15" s="11"/>
      <c r="M15" s="6"/>
      <c r="N15" s="8"/>
      <c r="O15" s="11">
        <v>88</v>
      </c>
      <c r="P15" s="6">
        <v>88</v>
      </c>
      <c r="Q15" s="8"/>
      <c r="R15" s="9">
        <f t="shared" si="0"/>
        <v>88</v>
      </c>
      <c r="S15" s="6">
        <f t="shared" si="2"/>
        <v>88</v>
      </c>
    </row>
    <row r="16" spans="2:19" ht="18" x14ac:dyDescent="0.35">
      <c r="B16" s="10">
        <v>7</v>
      </c>
      <c r="C16" s="13" t="s">
        <v>31</v>
      </c>
      <c r="D16" s="14" t="s">
        <v>47</v>
      </c>
      <c r="E16" s="6">
        <v>1792</v>
      </c>
      <c r="F16" s="6">
        <v>6100</v>
      </c>
      <c r="G16" s="6" t="s">
        <v>49</v>
      </c>
      <c r="H16" s="6" t="s">
        <v>256</v>
      </c>
      <c r="I16" s="11">
        <v>0</v>
      </c>
      <c r="J16" s="6">
        <v>0</v>
      </c>
      <c r="K16" s="8" t="s">
        <v>163</v>
      </c>
      <c r="L16" s="11"/>
      <c r="M16" s="6"/>
      <c r="N16" s="8"/>
      <c r="O16" s="11">
        <v>15</v>
      </c>
      <c r="P16" s="6">
        <v>15</v>
      </c>
      <c r="Q16" s="8" t="s">
        <v>177</v>
      </c>
      <c r="R16" s="9">
        <f t="shared" si="0"/>
        <v>15</v>
      </c>
      <c r="S16" s="6">
        <f t="shared" si="2"/>
        <v>15</v>
      </c>
    </row>
    <row r="17" spans="2:19" ht="18" x14ac:dyDescent="0.35">
      <c r="B17" s="10">
        <v>8</v>
      </c>
      <c r="C17" s="17" t="s">
        <v>33</v>
      </c>
      <c r="D17" s="6" t="s">
        <v>47</v>
      </c>
      <c r="E17" s="6">
        <v>99719</v>
      </c>
      <c r="F17" s="6">
        <v>1107</v>
      </c>
      <c r="G17" s="6" t="s">
        <v>27</v>
      </c>
      <c r="H17" s="6" t="s">
        <v>129</v>
      </c>
      <c r="I17" s="11">
        <v>0</v>
      </c>
      <c r="J17" s="6">
        <v>0</v>
      </c>
      <c r="K17" s="8" t="s">
        <v>163</v>
      </c>
      <c r="L17" s="11"/>
      <c r="M17" s="6"/>
      <c r="N17" s="8"/>
      <c r="O17" s="11">
        <v>0</v>
      </c>
      <c r="P17" s="6">
        <v>0</v>
      </c>
      <c r="Q17" s="8" t="s">
        <v>281</v>
      </c>
      <c r="R17" s="9">
        <f t="shared" si="0"/>
        <v>0</v>
      </c>
      <c r="S17" s="6">
        <f t="shared" si="2"/>
        <v>0</v>
      </c>
    </row>
    <row r="18" spans="2:19" ht="18" x14ac:dyDescent="0.35">
      <c r="B18" s="6">
        <v>9</v>
      </c>
      <c r="C18" s="7" t="s">
        <v>34</v>
      </c>
      <c r="D18" s="6" t="s">
        <v>64</v>
      </c>
      <c r="E18" s="6">
        <v>90129</v>
      </c>
      <c r="F18" s="6">
        <v>2540</v>
      </c>
      <c r="G18" s="6" t="s">
        <v>49</v>
      </c>
      <c r="H18" s="6" t="s">
        <v>235</v>
      </c>
      <c r="I18" s="11">
        <v>96</v>
      </c>
      <c r="J18" s="6">
        <v>93</v>
      </c>
      <c r="K18" s="8"/>
      <c r="L18" s="11"/>
      <c r="M18" s="6"/>
      <c r="N18" s="8"/>
      <c r="O18" s="11">
        <v>96</v>
      </c>
      <c r="P18" s="6">
        <v>96</v>
      </c>
      <c r="Q18" s="8"/>
      <c r="R18" s="9">
        <f t="shared" si="0"/>
        <v>192</v>
      </c>
      <c r="S18" s="6">
        <f t="shared" si="2"/>
        <v>189</v>
      </c>
    </row>
    <row r="19" spans="2:19" ht="18" x14ac:dyDescent="0.35">
      <c r="B19" s="6">
        <v>10</v>
      </c>
      <c r="C19" s="7" t="s">
        <v>35</v>
      </c>
      <c r="D19" s="6" t="s">
        <v>19</v>
      </c>
      <c r="E19" s="6">
        <v>2122</v>
      </c>
      <c r="F19" s="6">
        <v>796.5</v>
      </c>
      <c r="G19" s="6" t="s">
        <v>138</v>
      </c>
      <c r="H19" s="6" t="s">
        <v>209</v>
      </c>
      <c r="I19" s="11">
        <v>0</v>
      </c>
      <c r="J19" s="6">
        <v>0</v>
      </c>
      <c r="K19" s="8" t="s">
        <v>252</v>
      </c>
      <c r="L19" s="11"/>
      <c r="M19" s="6"/>
      <c r="N19" s="8"/>
      <c r="O19" s="11">
        <v>76</v>
      </c>
      <c r="P19" s="6">
        <v>55</v>
      </c>
      <c r="Q19" s="8" t="s">
        <v>282</v>
      </c>
      <c r="R19" s="9">
        <f t="shared" si="0"/>
        <v>76</v>
      </c>
      <c r="S19" s="6">
        <f t="shared" si="2"/>
        <v>55</v>
      </c>
    </row>
  </sheetData>
  <mergeCells count="6">
    <mergeCell ref="C9:C10"/>
    <mergeCell ref="B6:N6"/>
    <mergeCell ref="R6:S6"/>
    <mergeCell ref="I7:K7"/>
    <mergeCell ref="L7:N7"/>
    <mergeCell ref="O7:Q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6:S24"/>
  <sheetViews>
    <sheetView topLeftCell="C7" zoomScale="85" zoomScaleNormal="85" workbookViewId="0">
      <selection activeCell="Q23" sqref="Q23"/>
    </sheetView>
  </sheetViews>
  <sheetFormatPr defaultRowHeight="14.4" x14ac:dyDescent="0.3"/>
  <cols>
    <col min="4" max="4" width="16" bestFit="1" customWidth="1"/>
    <col min="6" max="6" width="8.6640625" bestFit="1" customWidth="1"/>
    <col min="7" max="7" width="12.88671875" bestFit="1" customWidth="1"/>
    <col min="8" max="8" width="10.33203125" bestFit="1" customWidth="1"/>
    <col min="11" max="11" width="39.33203125" bestFit="1" customWidth="1"/>
    <col min="14" max="14" width="23.5546875" customWidth="1"/>
    <col min="16" max="16" width="11.33203125" bestFit="1" customWidth="1"/>
    <col min="17" max="17" width="21.33203125" bestFit="1" customWidth="1"/>
    <col min="20" max="20" width="4.33203125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283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x14ac:dyDescent="0.35">
      <c r="B9" s="6">
        <v>1</v>
      </c>
      <c r="C9" s="13" t="s">
        <v>18</v>
      </c>
      <c r="D9" s="6" t="s">
        <v>284</v>
      </c>
      <c r="E9" s="6">
        <v>83809</v>
      </c>
      <c r="F9" s="6">
        <v>1188</v>
      </c>
      <c r="G9" s="6" t="s">
        <v>24</v>
      </c>
      <c r="H9" s="6" t="s">
        <v>209</v>
      </c>
      <c r="I9" s="11">
        <v>146</v>
      </c>
      <c r="J9" s="6">
        <v>91</v>
      </c>
      <c r="K9" s="8" t="s">
        <v>286</v>
      </c>
      <c r="L9" s="11">
        <v>146</v>
      </c>
      <c r="M9" s="6">
        <v>73</v>
      </c>
      <c r="N9" s="8" t="s">
        <v>290</v>
      </c>
      <c r="O9" s="11">
        <v>0</v>
      </c>
      <c r="P9" s="6">
        <v>0</v>
      </c>
      <c r="Q9" s="8" t="s">
        <v>290</v>
      </c>
      <c r="R9" s="9">
        <f t="shared" ref="R9:R22" si="0">I9+L9+O9</f>
        <v>292</v>
      </c>
      <c r="S9" s="6">
        <f>P9+M9+J9</f>
        <v>164</v>
      </c>
    </row>
    <row r="10" spans="2:19" ht="18" x14ac:dyDescent="0.35">
      <c r="B10" s="6">
        <v>2</v>
      </c>
      <c r="C10" s="7" t="s">
        <v>212</v>
      </c>
      <c r="D10" s="6" t="s">
        <v>225</v>
      </c>
      <c r="E10" s="6">
        <v>2123</v>
      </c>
      <c r="F10" s="6">
        <v>418.2</v>
      </c>
      <c r="G10" s="6" t="s">
        <v>24</v>
      </c>
      <c r="H10" s="6" t="s">
        <v>129</v>
      </c>
      <c r="I10" s="11">
        <v>88</v>
      </c>
      <c r="J10" s="6">
        <v>68</v>
      </c>
      <c r="K10" s="8" t="s">
        <v>150</v>
      </c>
      <c r="L10" s="11">
        <v>88</v>
      </c>
      <c r="M10" s="6">
        <v>40</v>
      </c>
      <c r="N10" s="8" t="s">
        <v>148</v>
      </c>
      <c r="O10" s="11">
        <v>88</v>
      </c>
      <c r="P10" s="6">
        <v>46</v>
      </c>
      <c r="Q10" s="8" t="s">
        <v>294</v>
      </c>
      <c r="R10" s="9">
        <f t="shared" si="0"/>
        <v>264</v>
      </c>
      <c r="S10" s="6">
        <f t="shared" ref="S10:S22" si="1">P10+M10+J10</f>
        <v>154</v>
      </c>
    </row>
    <row r="11" spans="2:19" ht="18" x14ac:dyDescent="0.35">
      <c r="B11" s="6">
        <v>3</v>
      </c>
      <c r="C11" s="17" t="s">
        <v>77</v>
      </c>
      <c r="D11" s="6" t="s">
        <v>23</v>
      </c>
      <c r="E11" s="6">
        <v>86292</v>
      </c>
      <c r="F11" s="6">
        <v>914.4</v>
      </c>
      <c r="G11" s="6" t="s">
        <v>236</v>
      </c>
      <c r="H11" s="6" t="s">
        <v>293</v>
      </c>
      <c r="I11" s="11">
        <v>36</v>
      </c>
      <c r="J11" s="6">
        <v>17</v>
      </c>
      <c r="K11" s="8" t="s">
        <v>148</v>
      </c>
      <c r="L11" s="11">
        <v>36</v>
      </c>
      <c r="M11" s="6">
        <v>36</v>
      </c>
      <c r="N11" s="8"/>
      <c r="O11" s="11">
        <v>36</v>
      </c>
      <c r="P11" s="6">
        <v>34</v>
      </c>
      <c r="Q11" s="8"/>
      <c r="R11" s="9">
        <f t="shared" si="0"/>
        <v>108</v>
      </c>
      <c r="S11" s="6">
        <f t="shared" si="1"/>
        <v>87</v>
      </c>
    </row>
    <row r="12" spans="2:19" ht="18" x14ac:dyDescent="0.35">
      <c r="B12" s="10">
        <v>4</v>
      </c>
      <c r="C12" s="17" t="s">
        <v>25</v>
      </c>
      <c r="D12" s="6" t="s">
        <v>258</v>
      </c>
      <c r="E12" s="10">
        <v>2123</v>
      </c>
      <c r="F12" s="6">
        <v>428.7</v>
      </c>
      <c r="G12" s="6" t="s">
        <v>24</v>
      </c>
      <c r="H12" s="6" t="s">
        <v>129</v>
      </c>
      <c r="I12" s="11">
        <v>0</v>
      </c>
      <c r="J12" s="6">
        <v>0</v>
      </c>
      <c r="K12" s="8" t="s">
        <v>148</v>
      </c>
      <c r="L12" s="11">
        <v>0</v>
      </c>
      <c r="M12" s="6">
        <v>0</v>
      </c>
      <c r="N12" s="8" t="s">
        <v>148</v>
      </c>
      <c r="O12" s="11">
        <v>88</v>
      </c>
      <c r="P12" s="6">
        <v>88</v>
      </c>
      <c r="Q12" s="8"/>
      <c r="R12" s="9">
        <f t="shared" si="0"/>
        <v>88</v>
      </c>
      <c r="S12" s="6">
        <f t="shared" si="1"/>
        <v>88</v>
      </c>
    </row>
    <row r="13" spans="2:19" ht="18" x14ac:dyDescent="0.35">
      <c r="B13" s="40">
        <v>5</v>
      </c>
      <c r="C13" s="42" t="s">
        <v>28</v>
      </c>
      <c r="D13" s="6" t="s">
        <v>258</v>
      </c>
      <c r="E13" s="10">
        <v>2123</v>
      </c>
      <c r="F13" s="6">
        <v>428.7</v>
      </c>
      <c r="G13" s="6" t="s">
        <v>24</v>
      </c>
      <c r="H13" s="6" t="s">
        <v>129</v>
      </c>
      <c r="I13" s="11">
        <v>88</v>
      </c>
      <c r="J13" s="6">
        <v>25</v>
      </c>
      <c r="K13" s="8" t="s">
        <v>148</v>
      </c>
      <c r="L13" s="11">
        <v>88</v>
      </c>
      <c r="M13" s="6">
        <v>60</v>
      </c>
      <c r="N13" s="8"/>
      <c r="O13" s="11">
        <v>0</v>
      </c>
      <c r="P13" s="6">
        <v>0</v>
      </c>
      <c r="Q13" s="8"/>
      <c r="R13" s="9">
        <f t="shared" si="0"/>
        <v>176</v>
      </c>
      <c r="S13" s="6">
        <f t="shared" si="1"/>
        <v>85</v>
      </c>
    </row>
    <row r="14" spans="2:19" ht="18" x14ac:dyDescent="0.35">
      <c r="B14" s="41"/>
      <c r="C14" s="43"/>
      <c r="D14" s="6" t="s">
        <v>213</v>
      </c>
      <c r="E14" s="6">
        <v>98812</v>
      </c>
      <c r="F14" s="6">
        <v>292</v>
      </c>
      <c r="G14" s="6" t="s">
        <v>27</v>
      </c>
      <c r="H14" s="6" t="s">
        <v>209</v>
      </c>
      <c r="I14" s="11">
        <v>0</v>
      </c>
      <c r="J14" s="6">
        <v>0</v>
      </c>
      <c r="K14" s="8"/>
      <c r="L14" s="11">
        <v>146</v>
      </c>
      <c r="M14" s="6">
        <v>40</v>
      </c>
      <c r="N14" s="8" t="s">
        <v>291</v>
      </c>
      <c r="O14" s="11">
        <v>146</v>
      </c>
      <c r="P14" s="6">
        <v>146</v>
      </c>
      <c r="Q14" s="8"/>
      <c r="R14" s="9">
        <f t="shared" si="0"/>
        <v>292</v>
      </c>
      <c r="S14" s="6">
        <f t="shared" si="1"/>
        <v>186</v>
      </c>
    </row>
    <row r="15" spans="2:19" ht="18" x14ac:dyDescent="0.35">
      <c r="B15" s="6">
        <v>6</v>
      </c>
      <c r="C15" s="7" t="s">
        <v>30</v>
      </c>
      <c r="D15" s="6" t="s">
        <v>47</v>
      </c>
      <c r="E15" s="10">
        <v>99719</v>
      </c>
      <c r="F15" s="6">
        <v>1107</v>
      </c>
      <c r="G15" s="6" t="s">
        <v>27</v>
      </c>
      <c r="H15" s="11" t="s">
        <v>129</v>
      </c>
      <c r="I15" s="11">
        <v>0</v>
      </c>
      <c r="J15" s="6">
        <v>0</v>
      </c>
      <c r="K15" s="8" t="s">
        <v>148</v>
      </c>
      <c r="L15" s="11">
        <v>0</v>
      </c>
      <c r="M15" s="6">
        <v>0</v>
      </c>
      <c r="N15" s="8" t="s">
        <v>148</v>
      </c>
      <c r="O15" s="11">
        <v>88</v>
      </c>
      <c r="P15" s="6">
        <v>88</v>
      </c>
      <c r="Q15" s="8"/>
      <c r="R15" s="9">
        <f t="shared" si="0"/>
        <v>88</v>
      </c>
      <c r="S15" s="6">
        <f t="shared" si="1"/>
        <v>88</v>
      </c>
    </row>
    <row r="16" spans="2:19" ht="18" x14ac:dyDescent="0.35">
      <c r="B16" s="40">
        <v>7</v>
      </c>
      <c r="C16" s="55" t="s">
        <v>31</v>
      </c>
      <c r="D16" s="14" t="s">
        <v>47</v>
      </c>
      <c r="E16" s="6">
        <v>1792</v>
      </c>
      <c r="F16" s="6">
        <v>5000</v>
      </c>
      <c r="G16" s="6" t="s">
        <v>49</v>
      </c>
      <c r="H16" s="6" t="s">
        <v>204</v>
      </c>
      <c r="I16" s="11">
        <v>31</v>
      </c>
      <c r="J16" s="6">
        <v>15</v>
      </c>
      <c r="K16" s="8" t="s">
        <v>287</v>
      </c>
      <c r="L16" s="11">
        <v>31</v>
      </c>
      <c r="M16" s="6">
        <v>16</v>
      </c>
      <c r="N16" s="8" t="s">
        <v>289</v>
      </c>
      <c r="O16" s="11">
        <v>0</v>
      </c>
      <c r="P16" s="6">
        <v>0</v>
      </c>
      <c r="Q16" s="8"/>
      <c r="R16" s="9">
        <f t="shared" si="0"/>
        <v>62</v>
      </c>
      <c r="S16" s="6">
        <f t="shared" si="1"/>
        <v>31</v>
      </c>
    </row>
    <row r="17" spans="2:19" ht="18" x14ac:dyDescent="0.35">
      <c r="B17" s="52"/>
      <c r="C17" s="55"/>
      <c r="D17" s="14" t="s">
        <v>47</v>
      </c>
      <c r="E17" s="6">
        <v>2439</v>
      </c>
      <c r="F17" s="6">
        <v>230</v>
      </c>
      <c r="G17" s="6" t="s">
        <v>27</v>
      </c>
      <c r="H17" s="6" t="s">
        <v>209</v>
      </c>
      <c r="I17" s="11">
        <v>0</v>
      </c>
      <c r="J17" s="6">
        <v>0</v>
      </c>
      <c r="K17" s="8"/>
      <c r="L17" s="11">
        <v>146</v>
      </c>
      <c r="M17" s="6">
        <v>55</v>
      </c>
      <c r="N17" s="8" t="s">
        <v>180</v>
      </c>
      <c r="O17" s="11">
        <v>146</v>
      </c>
      <c r="P17" s="6">
        <v>65</v>
      </c>
      <c r="Q17" s="8"/>
      <c r="R17" s="9">
        <f t="shared" si="0"/>
        <v>292</v>
      </c>
      <c r="S17" s="6">
        <f t="shared" si="1"/>
        <v>120</v>
      </c>
    </row>
    <row r="18" spans="2:19" ht="18" x14ac:dyDescent="0.35">
      <c r="B18" s="41"/>
      <c r="C18" s="55"/>
      <c r="D18" s="14" t="s">
        <v>19</v>
      </c>
      <c r="E18" s="6">
        <v>2191</v>
      </c>
      <c r="F18" s="6">
        <v>489.7</v>
      </c>
      <c r="G18" s="6" t="s">
        <v>20</v>
      </c>
      <c r="H18" s="6" t="s">
        <v>292</v>
      </c>
      <c r="I18" s="11">
        <v>0</v>
      </c>
      <c r="J18" s="6">
        <v>0</v>
      </c>
      <c r="K18" s="8"/>
      <c r="L18" s="11">
        <v>0</v>
      </c>
      <c r="M18" s="6">
        <v>0</v>
      </c>
      <c r="N18" s="8"/>
      <c r="O18" s="11">
        <v>30</v>
      </c>
      <c r="P18" s="6">
        <v>30</v>
      </c>
      <c r="Q18" s="8" t="s">
        <v>180</v>
      </c>
      <c r="R18" s="9">
        <f t="shared" si="0"/>
        <v>30</v>
      </c>
      <c r="S18" s="6">
        <f t="shared" si="1"/>
        <v>30</v>
      </c>
    </row>
    <row r="19" spans="2:19" ht="18" x14ac:dyDescent="0.35">
      <c r="B19" s="40">
        <v>8</v>
      </c>
      <c r="C19" s="42" t="s">
        <v>33</v>
      </c>
      <c r="D19" s="6" t="s">
        <v>47</v>
      </c>
      <c r="E19" s="6">
        <v>2439</v>
      </c>
      <c r="F19" s="6">
        <v>5000</v>
      </c>
      <c r="G19" s="6" t="s">
        <v>49</v>
      </c>
      <c r="H19" s="6" t="s">
        <v>204</v>
      </c>
      <c r="I19" s="11">
        <v>31</v>
      </c>
      <c r="J19" s="6">
        <v>22</v>
      </c>
      <c r="K19" s="8" t="s">
        <v>288</v>
      </c>
      <c r="L19" s="11">
        <v>31</v>
      </c>
      <c r="M19" s="6">
        <v>31</v>
      </c>
      <c r="N19" s="8"/>
      <c r="O19" s="11">
        <v>6</v>
      </c>
      <c r="P19" s="6">
        <v>6</v>
      </c>
      <c r="Q19" s="8" t="s">
        <v>289</v>
      </c>
      <c r="R19" s="9">
        <f t="shared" si="0"/>
        <v>68</v>
      </c>
      <c r="S19" s="6">
        <f t="shared" si="1"/>
        <v>59</v>
      </c>
    </row>
    <row r="20" spans="2:19" ht="18" x14ac:dyDescent="0.35">
      <c r="B20" s="41"/>
      <c r="C20" s="43"/>
      <c r="D20" s="6" t="s">
        <v>47</v>
      </c>
      <c r="E20" s="6">
        <v>1770</v>
      </c>
      <c r="F20" s="6">
        <v>6100</v>
      </c>
      <c r="G20" s="6" t="s">
        <v>49</v>
      </c>
      <c r="H20" s="6" t="s">
        <v>256</v>
      </c>
      <c r="I20" s="11">
        <v>0</v>
      </c>
      <c r="J20" s="6">
        <v>0</v>
      </c>
      <c r="K20" s="8"/>
      <c r="L20" s="11">
        <v>0</v>
      </c>
      <c r="M20" s="6">
        <v>0</v>
      </c>
      <c r="N20" s="8"/>
      <c r="O20" s="11">
        <v>29</v>
      </c>
      <c r="P20" s="6">
        <v>7</v>
      </c>
      <c r="Q20" s="8" t="s">
        <v>180</v>
      </c>
      <c r="R20" s="9">
        <f t="shared" si="0"/>
        <v>29</v>
      </c>
      <c r="S20" s="6">
        <f t="shared" si="1"/>
        <v>7</v>
      </c>
    </row>
    <row r="21" spans="2:19" ht="18" x14ac:dyDescent="0.35">
      <c r="B21" s="6">
        <v>9</v>
      </c>
      <c r="C21" s="7" t="s">
        <v>34</v>
      </c>
      <c r="D21" s="6" t="s">
        <v>64</v>
      </c>
      <c r="E21" s="6">
        <v>90129</v>
      </c>
      <c r="F21" s="6">
        <v>2540</v>
      </c>
      <c r="G21" s="6" t="s">
        <v>49</v>
      </c>
      <c r="H21" s="6" t="s">
        <v>235</v>
      </c>
      <c r="I21" s="11">
        <v>96</v>
      </c>
      <c r="J21" s="6">
        <v>84</v>
      </c>
      <c r="K21" s="8"/>
      <c r="L21" s="11">
        <v>0</v>
      </c>
      <c r="M21" s="6">
        <v>0</v>
      </c>
      <c r="N21" s="8" t="s">
        <v>90</v>
      </c>
      <c r="O21" s="11">
        <v>0</v>
      </c>
      <c r="P21" s="6">
        <v>0</v>
      </c>
      <c r="Q21" s="8" t="s">
        <v>90</v>
      </c>
      <c r="R21" s="9">
        <f t="shared" si="0"/>
        <v>96</v>
      </c>
      <c r="S21" s="6">
        <f t="shared" si="1"/>
        <v>84</v>
      </c>
    </row>
    <row r="22" spans="2:19" ht="18" x14ac:dyDescent="0.35">
      <c r="B22" s="6">
        <v>10</v>
      </c>
      <c r="C22" s="7" t="s">
        <v>35</v>
      </c>
      <c r="D22" s="6" t="s">
        <v>19</v>
      </c>
      <c r="E22" s="6">
        <v>2122</v>
      </c>
      <c r="F22" s="6">
        <v>796.5</v>
      </c>
      <c r="G22" s="6" t="s">
        <v>138</v>
      </c>
      <c r="H22" s="6" t="s">
        <v>209</v>
      </c>
      <c r="I22" s="11">
        <v>73</v>
      </c>
      <c r="J22" s="6">
        <v>20</v>
      </c>
      <c r="K22" s="8" t="s">
        <v>148</v>
      </c>
      <c r="L22" s="11">
        <v>73</v>
      </c>
      <c r="M22" s="6">
        <v>73</v>
      </c>
      <c r="N22" s="8"/>
      <c r="O22" s="11">
        <v>146</v>
      </c>
      <c r="P22" s="6">
        <v>131</v>
      </c>
      <c r="Q22" s="8" t="s">
        <v>90</v>
      </c>
      <c r="R22" s="9">
        <f t="shared" si="0"/>
        <v>292</v>
      </c>
      <c r="S22" s="6">
        <f t="shared" si="1"/>
        <v>224</v>
      </c>
    </row>
    <row r="23" spans="2:19" x14ac:dyDescent="0.3">
      <c r="K23" s="21" t="s">
        <v>285</v>
      </c>
      <c r="L23" s="20"/>
    </row>
    <row r="24" spans="2:19" x14ac:dyDescent="0.3">
      <c r="K24" s="22"/>
    </row>
  </sheetData>
  <mergeCells count="11">
    <mergeCell ref="B19:B20"/>
    <mergeCell ref="C19:C20"/>
    <mergeCell ref="R6:S6"/>
    <mergeCell ref="I7:K7"/>
    <mergeCell ref="L7:N7"/>
    <mergeCell ref="O7:Q7"/>
    <mergeCell ref="B16:B18"/>
    <mergeCell ref="C16:C18"/>
    <mergeCell ref="B13:B14"/>
    <mergeCell ref="C13:C14"/>
    <mergeCell ref="B6:N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6:S25"/>
  <sheetViews>
    <sheetView topLeftCell="A4" zoomScale="85" zoomScaleNormal="85" workbookViewId="0">
      <selection activeCell="P24" sqref="P24"/>
    </sheetView>
  </sheetViews>
  <sheetFormatPr defaultRowHeight="14.4" x14ac:dyDescent="0.3"/>
  <cols>
    <col min="1" max="1" width="6.33203125" customWidth="1"/>
    <col min="4" max="4" width="16" bestFit="1" customWidth="1"/>
    <col min="6" max="6" width="8.6640625" bestFit="1" customWidth="1"/>
    <col min="7" max="7" width="12.88671875" bestFit="1" customWidth="1"/>
    <col min="8" max="8" width="10.33203125" bestFit="1" customWidth="1"/>
    <col min="11" max="11" width="24.109375" customWidth="1"/>
    <col min="14" max="14" width="20.88671875" bestFit="1" customWidth="1"/>
    <col min="16" max="16" width="11.33203125" bestFit="1" customWidth="1"/>
    <col min="17" max="17" width="15.33203125" customWidth="1"/>
    <col min="20" max="20" width="4.33203125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283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x14ac:dyDescent="0.35">
      <c r="B9" s="6">
        <v>1</v>
      </c>
      <c r="C9" s="13" t="s">
        <v>18</v>
      </c>
      <c r="D9" s="6" t="s">
        <v>284</v>
      </c>
      <c r="E9" s="6">
        <v>83809</v>
      </c>
      <c r="F9" s="6">
        <v>1188</v>
      </c>
      <c r="G9" s="6" t="s">
        <v>24</v>
      </c>
      <c r="H9" s="6" t="s">
        <v>209</v>
      </c>
      <c r="I9" s="11">
        <v>0</v>
      </c>
      <c r="J9" s="6">
        <v>0</v>
      </c>
      <c r="K9" s="8" t="s">
        <v>290</v>
      </c>
      <c r="L9" s="11">
        <v>0</v>
      </c>
      <c r="M9" s="6">
        <v>0</v>
      </c>
      <c r="N9" s="8" t="s">
        <v>290</v>
      </c>
      <c r="O9" s="11">
        <v>0</v>
      </c>
      <c r="P9" s="6">
        <v>0</v>
      </c>
      <c r="Q9" s="8"/>
      <c r="R9" s="9">
        <f t="shared" ref="R9:R23" si="0">I9+L9+O9</f>
        <v>0</v>
      </c>
      <c r="S9" s="6">
        <f>P9+M9+J9</f>
        <v>0</v>
      </c>
    </row>
    <row r="10" spans="2:19" ht="18" x14ac:dyDescent="0.35">
      <c r="B10" s="40">
        <v>2</v>
      </c>
      <c r="C10" s="42" t="s">
        <v>212</v>
      </c>
      <c r="D10" s="6" t="s">
        <v>225</v>
      </c>
      <c r="E10" s="6">
        <v>2123</v>
      </c>
      <c r="F10" s="6">
        <v>418.2</v>
      </c>
      <c r="G10" s="6" t="s">
        <v>24</v>
      </c>
      <c r="H10" s="6" t="s">
        <v>129</v>
      </c>
      <c r="I10" s="11">
        <v>0</v>
      </c>
      <c r="J10" s="6">
        <v>0</v>
      </c>
      <c r="K10" s="8" t="s">
        <v>295</v>
      </c>
      <c r="L10" s="11">
        <v>0</v>
      </c>
      <c r="M10" s="6">
        <v>0</v>
      </c>
      <c r="N10" s="8"/>
      <c r="O10" s="11"/>
      <c r="P10" s="6"/>
      <c r="Q10" s="8"/>
      <c r="R10" s="9">
        <f t="shared" si="0"/>
        <v>0</v>
      </c>
      <c r="S10" s="6">
        <f t="shared" ref="S10:S23" si="1">P10+M10+J10</f>
        <v>0</v>
      </c>
    </row>
    <row r="11" spans="2:19" ht="18" x14ac:dyDescent="0.35">
      <c r="B11" s="41"/>
      <c r="C11" s="43"/>
      <c r="D11" s="6" t="s">
        <v>23</v>
      </c>
      <c r="E11" s="6">
        <v>86292</v>
      </c>
      <c r="F11" s="6">
        <v>914.4</v>
      </c>
      <c r="G11" s="6" t="s">
        <v>61</v>
      </c>
      <c r="H11" s="6" t="s">
        <v>203</v>
      </c>
      <c r="I11" s="11">
        <v>0</v>
      </c>
      <c r="J11" s="6">
        <v>0</v>
      </c>
      <c r="K11" s="8"/>
      <c r="L11" s="11">
        <v>55</v>
      </c>
      <c r="M11" s="6">
        <v>45</v>
      </c>
      <c r="N11" s="8" t="s">
        <v>299</v>
      </c>
      <c r="O11" s="11">
        <v>55</v>
      </c>
      <c r="P11" s="6">
        <v>55</v>
      </c>
      <c r="Q11" s="8"/>
      <c r="R11" s="9">
        <f t="shared" si="0"/>
        <v>110</v>
      </c>
      <c r="S11" s="6">
        <f t="shared" si="1"/>
        <v>100</v>
      </c>
    </row>
    <row r="12" spans="2:19" ht="18" x14ac:dyDescent="0.35">
      <c r="B12" s="6">
        <v>3</v>
      </c>
      <c r="C12" s="17" t="s">
        <v>77</v>
      </c>
      <c r="D12" s="6" t="s">
        <v>23</v>
      </c>
      <c r="E12" s="6">
        <v>86292</v>
      </c>
      <c r="F12" s="6">
        <v>914.4</v>
      </c>
      <c r="G12" s="6" t="s">
        <v>236</v>
      </c>
      <c r="H12" s="6" t="s">
        <v>293</v>
      </c>
      <c r="I12" s="11">
        <v>36</v>
      </c>
      <c r="J12" s="6">
        <v>13</v>
      </c>
      <c r="K12" s="8" t="s">
        <v>148</v>
      </c>
      <c r="L12" s="11">
        <v>36</v>
      </c>
      <c r="M12" s="6">
        <v>8</v>
      </c>
      <c r="N12" s="8" t="s">
        <v>148</v>
      </c>
      <c r="O12" s="11">
        <v>36</v>
      </c>
      <c r="P12" s="6">
        <v>22</v>
      </c>
      <c r="Q12" s="8"/>
      <c r="R12" s="9">
        <f t="shared" si="0"/>
        <v>108</v>
      </c>
      <c r="S12" s="6">
        <f t="shared" si="1"/>
        <v>43</v>
      </c>
    </row>
    <row r="13" spans="2:19" ht="18" x14ac:dyDescent="0.35">
      <c r="B13" s="10">
        <v>4</v>
      </c>
      <c r="C13" s="17" t="s">
        <v>25</v>
      </c>
      <c r="D13" s="6" t="s">
        <v>26</v>
      </c>
      <c r="E13" s="10">
        <v>83831</v>
      </c>
      <c r="F13" s="6">
        <v>899</v>
      </c>
      <c r="G13" s="6" t="s">
        <v>27</v>
      </c>
      <c r="H13" s="6" t="s">
        <v>209</v>
      </c>
      <c r="I13" s="11">
        <v>146</v>
      </c>
      <c r="J13" s="6">
        <v>100</v>
      </c>
      <c r="K13" s="8" t="s">
        <v>291</v>
      </c>
      <c r="L13" s="11">
        <v>146</v>
      </c>
      <c r="M13" s="6">
        <v>115</v>
      </c>
      <c r="N13" s="8" t="s">
        <v>148</v>
      </c>
      <c r="O13" s="11">
        <v>146</v>
      </c>
      <c r="P13" s="6">
        <v>146</v>
      </c>
      <c r="Q13" s="8"/>
      <c r="R13" s="9">
        <f t="shared" si="0"/>
        <v>438</v>
      </c>
      <c r="S13" s="6">
        <f t="shared" si="1"/>
        <v>361</v>
      </c>
    </row>
    <row r="14" spans="2:19" ht="18" x14ac:dyDescent="0.35">
      <c r="B14" s="10">
        <v>5</v>
      </c>
      <c r="C14" s="17" t="s">
        <v>28</v>
      </c>
      <c r="D14" s="6" t="s">
        <v>213</v>
      </c>
      <c r="E14" s="6">
        <v>98812</v>
      </c>
      <c r="F14" s="6">
        <v>292</v>
      </c>
      <c r="G14" s="6" t="s">
        <v>27</v>
      </c>
      <c r="H14" s="6" t="s">
        <v>209</v>
      </c>
      <c r="I14" s="11">
        <v>146</v>
      </c>
      <c r="J14" s="6">
        <v>146</v>
      </c>
      <c r="K14" s="8"/>
      <c r="L14" s="11">
        <v>146</v>
      </c>
      <c r="M14" s="6">
        <v>146</v>
      </c>
      <c r="N14" s="8"/>
      <c r="O14" s="11">
        <v>146</v>
      </c>
      <c r="P14" s="6">
        <v>146</v>
      </c>
      <c r="Q14" s="8"/>
      <c r="R14" s="9">
        <f t="shared" si="0"/>
        <v>438</v>
      </c>
      <c r="S14" s="6">
        <f t="shared" si="1"/>
        <v>438</v>
      </c>
    </row>
    <row r="15" spans="2:19" ht="18" x14ac:dyDescent="0.35">
      <c r="B15" s="40">
        <v>6</v>
      </c>
      <c r="C15" s="42" t="s">
        <v>30</v>
      </c>
      <c r="D15" s="6" t="s">
        <v>47</v>
      </c>
      <c r="E15" s="10">
        <v>99719</v>
      </c>
      <c r="F15" s="6">
        <v>1107</v>
      </c>
      <c r="G15" s="6" t="s">
        <v>49</v>
      </c>
      <c r="H15" s="11" t="s">
        <v>214</v>
      </c>
      <c r="I15" s="11">
        <v>73</v>
      </c>
      <c r="J15" s="6">
        <v>43</v>
      </c>
      <c r="K15" s="8" t="s">
        <v>148</v>
      </c>
      <c r="L15" s="11">
        <v>0</v>
      </c>
      <c r="M15" s="6">
        <v>0</v>
      </c>
      <c r="N15" s="8" t="s">
        <v>148</v>
      </c>
      <c r="O15" s="11">
        <v>0</v>
      </c>
      <c r="P15" s="6">
        <v>0</v>
      </c>
      <c r="Q15" s="8"/>
      <c r="R15" s="9">
        <f t="shared" si="0"/>
        <v>73</v>
      </c>
      <c r="S15" s="6">
        <f t="shared" si="1"/>
        <v>43</v>
      </c>
    </row>
    <row r="16" spans="2:19" ht="18" x14ac:dyDescent="0.35">
      <c r="B16" s="41"/>
      <c r="C16" s="43"/>
      <c r="D16" s="6" t="s">
        <v>47</v>
      </c>
      <c r="E16" s="10">
        <v>99719</v>
      </c>
      <c r="F16" s="6">
        <v>1107</v>
      </c>
      <c r="G16" s="6" t="s">
        <v>49</v>
      </c>
      <c r="H16" s="11" t="s">
        <v>129</v>
      </c>
      <c r="I16" s="11">
        <v>0</v>
      </c>
      <c r="J16" s="6">
        <v>0</v>
      </c>
      <c r="K16" s="8"/>
      <c r="L16" s="11">
        <v>0</v>
      </c>
      <c r="M16" s="6">
        <v>0</v>
      </c>
      <c r="N16" s="8"/>
      <c r="O16" s="11">
        <v>88</v>
      </c>
      <c r="P16" s="6">
        <v>74</v>
      </c>
      <c r="Q16" s="8"/>
      <c r="R16" s="9">
        <f t="shared" si="0"/>
        <v>88</v>
      </c>
      <c r="S16" s="6">
        <f t="shared" si="1"/>
        <v>74</v>
      </c>
    </row>
    <row r="17" spans="2:19" ht="18" x14ac:dyDescent="0.35">
      <c r="B17" s="10">
        <v>7</v>
      </c>
      <c r="C17" s="7" t="s">
        <v>31</v>
      </c>
      <c r="D17" s="14" t="s">
        <v>19</v>
      </c>
      <c r="E17" s="6">
        <v>2191</v>
      </c>
      <c r="F17" s="6">
        <v>489.7</v>
      </c>
      <c r="G17" s="6" t="s">
        <v>20</v>
      </c>
      <c r="H17" s="6" t="s">
        <v>297</v>
      </c>
      <c r="I17" s="11">
        <v>63</v>
      </c>
      <c r="J17" s="6">
        <v>20</v>
      </c>
      <c r="K17" s="8" t="s">
        <v>296</v>
      </c>
      <c r="L17" s="11">
        <v>63</v>
      </c>
      <c r="M17" s="6">
        <v>60</v>
      </c>
      <c r="N17" s="8"/>
      <c r="O17" s="11">
        <v>63</v>
      </c>
      <c r="P17" s="6">
        <v>32</v>
      </c>
      <c r="Q17" s="8"/>
      <c r="R17" s="9">
        <f t="shared" si="0"/>
        <v>189</v>
      </c>
      <c r="S17" s="6">
        <f t="shared" si="1"/>
        <v>112</v>
      </c>
    </row>
    <row r="18" spans="2:19" ht="18" x14ac:dyDescent="0.35">
      <c r="B18" s="40">
        <v>8</v>
      </c>
      <c r="C18" s="42" t="s">
        <v>33</v>
      </c>
      <c r="D18" s="6" t="s">
        <v>47</v>
      </c>
      <c r="E18" s="6">
        <v>1770</v>
      </c>
      <c r="F18" s="6">
        <v>6100</v>
      </c>
      <c r="G18" s="6" t="s">
        <v>49</v>
      </c>
      <c r="H18" s="6" t="s">
        <v>256</v>
      </c>
      <c r="I18" s="11">
        <v>29</v>
      </c>
      <c r="J18" s="6">
        <v>13</v>
      </c>
      <c r="K18" s="8" t="s">
        <v>289</v>
      </c>
      <c r="L18" s="11">
        <v>0</v>
      </c>
      <c r="M18" s="6">
        <v>0</v>
      </c>
      <c r="N18" s="8"/>
      <c r="O18" s="11">
        <v>0</v>
      </c>
      <c r="P18" s="6">
        <v>0</v>
      </c>
      <c r="Q18" s="8"/>
      <c r="R18" s="9">
        <f t="shared" si="0"/>
        <v>29</v>
      </c>
      <c r="S18" s="6">
        <f t="shared" si="1"/>
        <v>13</v>
      </c>
    </row>
    <row r="19" spans="2:19" ht="18" x14ac:dyDescent="0.35">
      <c r="B19" s="52"/>
      <c r="C19" s="53"/>
      <c r="D19" s="6" t="s">
        <v>47</v>
      </c>
      <c r="E19" s="6">
        <v>99721</v>
      </c>
      <c r="F19" s="6">
        <v>215</v>
      </c>
      <c r="G19" s="6" t="s">
        <v>27</v>
      </c>
      <c r="H19" s="6" t="s">
        <v>209</v>
      </c>
      <c r="I19" s="11">
        <v>0</v>
      </c>
      <c r="J19" s="6">
        <v>0</v>
      </c>
      <c r="K19" s="8"/>
      <c r="L19" s="11">
        <v>146</v>
      </c>
      <c r="M19" s="6">
        <v>20</v>
      </c>
      <c r="N19" s="8" t="s">
        <v>180</v>
      </c>
      <c r="O19" s="11">
        <v>0</v>
      </c>
      <c r="P19" s="6">
        <v>0</v>
      </c>
      <c r="Q19" s="8"/>
      <c r="R19" s="9">
        <f t="shared" si="0"/>
        <v>146</v>
      </c>
      <c r="S19" s="6">
        <f t="shared" si="1"/>
        <v>20</v>
      </c>
    </row>
    <row r="20" spans="2:19" ht="18" x14ac:dyDescent="0.35">
      <c r="B20" s="52"/>
      <c r="C20" s="53"/>
      <c r="D20" s="6" t="s">
        <v>23</v>
      </c>
      <c r="E20" s="6">
        <v>86292</v>
      </c>
      <c r="F20" s="6">
        <v>914.4</v>
      </c>
      <c r="G20" s="6" t="s">
        <v>298</v>
      </c>
      <c r="H20" s="6" t="s">
        <v>129</v>
      </c>
      <c r="I20" s="11">
        <v>0</v>
      </c>
      <c r="J20" s="6">
        <v>0</v>
      </c>
      <c r="K20" s="8"/>
      <c r="L20" s="11">
        <v>88</v>
      </c>
      <c r="M20" s="6">
        <v>51</v>
      </c>
      <c r="N20" s="8" t="s">
        <v>180</v>
      </c>
      <c r="O20" s="11">
        <v>67</v>
      </c>
      <c r="P20" s="6">
        <v>67</v>
      </c>
      <c r="Q20" s="8"/>
      <c r="R20" s="9">
        <f t="shared" si="0"/>
        <v>155</v>
      </c>
      <c r="S20" s="6">
        <f t="shared" si="1"/>
        <v>118</v>
      </c>
    </row>
    <row r="21" spans="2:19" ht="18" x14ac:dyDescent="0.35">
      <c r="B21" s="41"/>
      <c r="C21" s="43"/>
      <c r="D21" s="6" t="s">
        <v>23</v>
      </c>
      <c r="E21" s="6">
        <v>86292</v>
      </c>
      <c r="F21" s="6">
        <v>914.4</v>
      </c>
      <c r="G21" s="6" t="s">
        <v>301</v>
      </c>
      <c r="H21" s="6" t="s">
        <v>129</v>
      </c>
      <c r="I21" s="11">
        <v>0</v>
      </c>
      <c r="J21" s="6">
        <v>0</v>
      </c>
      <c r="K21" s="8"/>
      <c r="L21" s="11">
        <v>0</v>
      </c>
      <c r="M21" s="6">
        <v>0</v>
      </c>
      <c r="N21" s="8"/>
      <c r="O21" s="11">
        <v>21</v>
      </c>
      <c r="P21" s="6">
        <v>21</v>
      </c>
      <c r="Q21" s="8"/>
      <c r="R21" s="9">
        <f t="shared" si="0"/>
        <v>21</v>
      </c>
      <c r="S21" s="6">
        <f t="shared" si="1"/>
        <v>21</v>
      </c>
    </row>
    <row r="22" spans="2:19" ht="18" x14ac:dyDescent="0.35">
      <c r="B22" s="6">
        <v>9</v>
      </c>
      <c r="C22" s="7" t="s">
        <v>34</v>
      </c>
      <c r="D22" s="6" t="s">
        <v>64</v>
      </c>
      <c r="E22" s="6">
        <v>90129</v>
      </c>
      <c r="F22" s="6">
        <v>2540</v>
      </c>
      <c r="G22" s="6" t="s">
        <v>49</v>
      </c>
      <c r="H22" s="6" t="s">
        <v>227</v>
      </c>
      <c r="I22" s="11">
        <v>0</v>
      </c>
      <c r="J22" s="6">
        <v>0</v>
      </c>
      <c r="K22" s="8" t="s">
        <v>90</v>
      </c>
      <c r="L22" s="11">
        <v>0</v>
      </c>
      <c r="M22" s="6">
        <v>0</v>
      </c>
      <c r="N22" s="8" t="s">
        <v>90</v>
      </c>
      <c r="O22" s="11">
        <v>0</v>
      </c>
      <c r="P22" s="6">
        <v>0</v>
      </c>
      <c r="Q22" s="8"/>
      <c r="R22" s="9">
        <f t="shared" si="0"/>
        <v>0</v>
      </c>
      <c r="S22" s="6">
        <f t="shared" si="1"/>
        <v>0</v>
      </c>
    </row>
    <row r="23" spans="2:19" ht="18" x14ac:dyDescent="0.35">
      <c r="B23" s="6">
        <v>10</v>
      </c>
      <c r="C23" s="7" t="s">
        <v>35</v>
      </c>
      <c r="D23" s="6" t="s">
        <v>19</v>
      </c>
      <c r="E23" s="6">
        <v>2122</v>
      </c>
      <c r="F23" s="6">
        <v>796.5</v>
      </c>
      <c r="G23" s="6" t="s">
        <v>138</v>
      </c>
      <c r="H23" s="6" t="s">
        <v>209</v>
      </c>
      <c r="I23" s="11">
        <v>146</v>
      </c>
      <c r="J23" s="6">
        <v>146</v>
      </c>
      <c r="K23" s="8"/>
      <c r="L23" s="11">
        <v>146</v>
      </c>
      <c r="M23" s="6">
        <v>146</v>
      </c>
      <c r="N23" s="8"/>
      <c r="O23" s="11">
        <v>146</v>
      </c>
      <c r="P23" s="6">
        <v>146</v>
      </c>
      <c r="Q23" s="8"/>
      <c r="R23" s="9">
        <f t="shared" si="0"/>
        <v>438</v>
      </c>
      <c r="S23" s="6">
        <f t="shared" si="1"/>
        <v>438</v>
      </c>
    </row>
    <row r="24" spans="2:19" x14ac:dyDescent="0.3">
      <c r="K24" s="21"/>
      <c r="L24" s="20"/>
    </row>
    <row r="25" spans="2:19" x14ac:dyDescent="0.3">
      <c r="K25" s="22"/>
    </row>
  </sheetData>
  <mergeCells count="11">
    <mergeCell ref="B18:B21"/>
    <mergeCell ref="C18:C21"/>
    <mergeCell ref="R6:S6"/>
    <mergeCell ref="I7:K7"/>
    <mergeCell ref="L7:N7"/>
    <mergeCell ref="O7:Q7"/>
    <mergeCell ref="B15:B16"/>
    <mergeCell ref="C15:C16"/>
    <mergeCell ref="B10:B11"/>
    <mergeCell ref="C10:C11"/>
    <mergeCell ref="B6:N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6:S23"/>
  <sheetViews>
    <sheetView topLeftCell="A4" zoomScale="85" zoomScaleNormal="85" workbookViewId="0">
      <selection activeCell="A5" sqref="A5:T22"/>
    </sheetView>
  </sheetViews>
  <sheetFormatPr defaultRowHeight="14.4" x14ac:dyDescent="0.3"/>
  <cols>
    <col min="1" max="1" width="6.33203125" customWidth="1"/>
    <col min="4" max="4" width="16" bestFit="1" customWidth="1"/>
    <col min="6" max="6" width="8.6640625" bestFit="1" customWidth="1"/>
    <col min="7" max="7" width="12.88671875" bestFit="1" customWidth="1"/>
    <col min="8" max="8" width="10.33203125" bestFit="1" customWidth="1"/>
    <col min="11" max="11" width="19.5546875" customWidth="1"/>
    <col min="14" max="14" width="16.109375" customWidth="1"/>
    <col min="16" max="16" width="11.33203125" bestFit="1" customWidth="1"/>
    <col min="17" max="17" width="24.33203125" bestFit="1" customWidth="1"/>
    <col min="20" max="20" width="4.33203125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300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x14ac:dyDescent="0.35">
      <c r="B9" s="6">
        <v>1</v>
      </c>
      <c r="C9" s="13" t="s">
        <v>18</v>
      </c>
      <c r="D9" s="14" t="s">
        <v>19</v>
      </c>
      <c r="E9" s="6">
        <v>2191</v>
      </c>
      <c r="F9" s="6">
        <v>489.7</v>
      </c>
      <c r="G9" s="6" t="s">
        <v>20</v>
      </c>
      <c r="H9" s="6" t="s">
        <v>214</v>
      </c>
      <c r="I9" s="11">
        <v>73</v>
      </c>
      <c r="J9" s="6">
        <v>73</v>
      </c>
      <c r="K9" s="8"/>
      <c r="L9" s="11">
        <v>73</v>
      </c>
      <c r="M9" s="6">
        <v>70</v>
      </c>
      <c r="N9" s="23" t="s">
        <v>81</v>
      </c>
      <c r="O9" s="11">
        <v>73</v>
      </c>
      <c r="P9" s="6">
        <v>73</v>
      </c>
      <c r="Q9" s="8"/>
      <c r="R9" s="9">
        <f t="shared" ref="R9:R21" si="0">I9+L9+O9</f>
        <v>219</v>
      </c>
      <c r="S9" s="6">
        <f>P9+M9+J9</f>
        <v>216</v>
      </c>
    </row>
    <row r="10" spans="2:19" ht="18" x14ac:dyDescent="0.35">
      <c r="B10" s="14">
        <v>2</v>
      </c>
      <c r="C10" s="7" t="s">
        <v>212</v>
      </c>
      <c r="D10" s="6" t="s">
        <v>23</v>
      </c>
      <c r="E10" s="6">
        <v>86292</v>
      </c>
      <c r="F10" s="6">
        <v>914.4</v>
      </c>
      <c r="G10" s="6" t="s">
        <v>61</v>
      </c>
      <c r="H10" s="6" t="s">
        <v>297</v>
      </c>
      <c r="I10" s="11">
        <v>64</v>
      </c>
      <c r="J10" s="6">
        <v>64</v>
      </c>
      <c r="K10" s="8"/>
      <c r="L10" s="11">
        <v>64</v>
      </c>
      <c r="M10" s="6">
        <v>61</v>
      </c>
      <c r="N10" s="23" t="s">
        <v>81</v>
      </c>
      <c r="O10" s="11">
        <v>64</v>
      </c>
      <c r="P10" s="6">
        <v>64</v>
      </c>
      <c r="Q10" s="8"/>
      <c r="R10" s="9">
        <f t="shared" si="0"/>
        <v>192</v>
      </c>
      <c r="S10" s="6">
        <f t="shared" ref="S10:S21" si="1">P10+M10+J10</f>
        <v>189</v>
      </c>
    </row>
    <row r="11" spans="2:19" ht="18" x14ac:dyDescent="0.35">
      <c r="B11" s="6">
        <v>3</v>
      </c>
      <c r="C11" s="17" t="s">
        <v>77</v>
      </c>
      <c r="D11" s="6" t="s">
        <v>23</v>
      </c>
      <c r="E11" s="6">
        <v>86292</v>
      </c>
      <c r="F11" s="6">
        <v>914.4</v>
      </c>
      <c r="G11" s="6" t="s">
        <v>61</v>
      </c>
      <c r="H11" s="6" t="s">
        <v>297</v>
      </c>
      <c r="I11" s="11">
        <v>64</v>
      </c>
      <c r="J11" s="6">
        <v>64</v>
      </c>
      <c r="K11" s="8"/>
      <c r="L11" s="11">
        <v>64</v>
      </c>
      <c r="M11" s="6">
        <v>62</v>
      </c>
      <c r="N11" s="23" t="s">
        <v>81</v>
      </c>
      <c r="O11" s="11">
        <v>64</v>
      </c>
      <c r="P11" s="6">
        <v>64</v>
      </c>
      <c r="Q11" s="8"/>
      <c r="R11" s="9">
        <f t="shared" si="0"/>
        <v>192</v>
      </c>
      <c r="S11" s="6">
        <f t="shared" si="1"/>
        <v>190</v>
      </c>
    </row>
    <row r="12" spans="2:19" ht="18" x14ac:dyDescent="0.35">
      <c r="B12" s="40">
        <v>4</v>
      </c>
      <c r="C12" s="42" t="s">
        <v>25</v>
      </c>
      <c r="D12" s="6" t="s">
        <v>26</v>
      </c>
      <c r="E12" s="10">
        <v>83831</v>
      </c>
      <c r="F12" s="6">
        <v>899</v>
      </c>
      <c r="G12" s="6" t="s">
        <v>27</v>
      </c>
      <c r="H12" s="6" t="s">
        <v>209</v>
      </c>
      <c r="I12" s="11">
        <v>146</v>
      </c>
      <c r="J12" s="6">
        <v>74</v>
      </c>
      <c r="K12" s="8" t="s">
        <v>148</v>
      </c>
      <c r="L12" s="11">
        <v>0</v>
      </c>
      <c r="M12" s="6">
        <v>0</v>
      </c>
      <c r="N12" s="8" t="s">
        <v>148</v>
      </c>
      <c r="O12" s="11">
        <v>146</v>
      </c>
      <c r="P12" s="6">
        <v>74</v>
      </c>
      <c r="Q12" s="8" t="s">
        <v>289</v>
      </c>
      <c r="R12" s="9">
        <f t="shared" si="0"/>
        <v>292</v>
      </c>
      <c r="S12" s="6">
        <f t="shared" si="1"/>
        <v>148</v>
      </c>
    </row>
    <row r="13" spans="2:19" ht="18" x14ac:dyDescent="0.35">
      <c r="B13" s="41"/>
      <c r="C13" s="43"/>
      <c r="D13" s="6" t="s">
        <v>302</v>
      </c>
      <c r="E13" s="10">
        <v>2123</v>
      </c>
      <c r="F13" s="6">
        <v>418.2</v>
      </c>
      <c r="G13" s="6" t="s">
        <v>303</v>
      </c>
      <c r="H13" s="6" t="s">
        <v>214</v>
      </c>
      <c r="I13" s="11">
        <v>0</v>
      </c>
      <c r="J13" s="6">
        <v>0</v>
      </c>
      <c r="K13" s="8"/>
      <c r="L13" s="11">
        <v>0</v>
      </c>
      <c r="M13" s="6">
        <v>0</v>
      </c>
      <c r="N13" s="8"/>
      <c r="O13" s="11">
        <v>73</v>
      </c>
      <c r="P13" s="6">
        <v>5</v>
      </c>
      <c r="Q13" s="8" t="s">
        <v>180</v>
      </c>
      <c r="R13" s="9">
        <f t="shared" si="0"/>
        <v>73</v>
      </c>
      <c r="S13" s="6">
        <f t="shared" si="1"/>
        <v>5</v>
      </c>
    </row>
    <row r="14" spans="2:19" ht="18" x14ac:dyDescent="0.35">
      <c r="B14" s="10">
        <v>5</v>
      </c>
      <c r="C14" s="17" t="s">
        <v>28</v>
      </c>
      <c r="D14" s="6" t="s">
        <v>213</v>
      </c>
      <c r="E14" s="6">
        <v>98812</v>
      </c>
      <c r="F14" s="6">
        <v>292</v>
      </c>
      <c r="G14" s="6" t="s">
        <v>27</v>
      </c>
      <c r="H14" s="6" t="s">
        <v>209</v>
      </c>
      <c r="I14" s="11">
        <v>146</v>
      </c>
      <c r="J14" s="6">
        <v>146</v>
      </c>
      <c r="K14" s="8"/>
      <c r="L14" s="11">
        <v>0</v>
      </c>
      <c r="M14" s="6">
        <v>0</v>
      </c>
      <c r="N14" s="8" t="s">
        <v>148</v>
      </c>
      <c r="O14" s="11">
        <v>146</v>
      </c>
      <c r="P14" s="6">
        <v>146</v>
      </c>
      <c r="Q14" s="8"/>
      <c r="R14" s="9">
        <f t="shared" si="0"/>
        <v>292</v>
      </c>
      <c r="S14" s="6">
        <f t="shared" si="1"/>
        <v>292</v>
      </c>
    </row>
    <row r="15" spans="2:19" ht="18" x14ac:dyDescent="0.35">
      <c r="B15" s="6">
        <v>6</v>
      </c>
      <c r="C15" s="7" t="s">
        <v>30</v>
      </c>
      <c r="D15" s="6" t="s">
        <v>47</v>
      </c>
      <c r="E15" s="10">
        <v>99719</v>
      </c>
      <c r="F15" s="6">
        <v>1107</v>
      </c>
      <c r="G15" s="6" t="s">
        <v>61</v>
      </c>
      <c r="H15" s="11" t="s">
        <v>129</v>
      </c>
      <c r="I15" s="11">
        <v>88</v>
      </c>
      <c r="J15" s="6">
        <v>82</v>
      </c>
      <c r="K15" s="8"/>
      <c r="L15" s="11">
        <v>0</v>
      </c>
      <c r="M15" s="6">
        <v>0</v>
      </c>
      <c r="N15" s="8" t="s">
        <v>148</v>
      </c>
      <c r="O15" s="11">
        <v>88</v>
      </c>
      <c r="P15" s="6">
        <v>88</v>
      </c>
      <c r="Q15" s="8"/>
      <c r="R15" s="9">
        <f t="shared" si="0"/>
        <v>176</v>
      </c>
      <c r="S15" s="6">
        <f t="shared" si="1"/>
        <v>170</v>
      </c>
    </row>
    <row r="16" spans="2:19" ht="18" x14ac:dyDescent="0.35">
      <c r="B16" s="40">
        <v>7</v>
      </c>
      <c r="C16" s="42" t="s">
        <v>31</v>
      </c>
      <c r="D16" s="6" t="s">
        <v>47</v>
      </c>
      <c r="E16" s="10">
        <v>86805</v>
      </c>
      <c r="F16" s="6">
        <v>1095</v>
      </c>
      <c r="G16" s="6" t="s">
        <v>27</v>
      </c>
      <c r="H16" s="11" t="s">
        <v>129</v>
      </c>
      <c r="I16" s="11">
        <v>88</v>
      </c>
      <c r="J16" s="6">
        <v>41</v>
      </c>
      <c r="K16" s="8" t="s">
        <v>180</v>
      </c>
      <c r="L16" s="11">
        <v>0</v>
      </c>
      <c r="M16" s="6">
        <v>0</v>
      </c>
      <c r="N16" s="8"/>
      <c r="O16" s="11">
        <v>0</v>
      </c>
      <c r="P16" s="6">
        <v>0</v>
      </c>
      <c r="Q16" s="8"/>
      <c r="R16" s="9">
        <f t="shared" si="0"/>
        <v>88</v>
      </c>
      <c r="S16" s="6">
        <f t="shared" si="1"/>
        <v>41</v>
      </c>
    </row>
    <row r="17" spans="2:19" ht="18" x14ac:dyDescent="0.35">
      <c r="B17" s="41"/>
      <c r="C17" s="43"/>
      <c r="D17" s="6" t="s">
        <v>47</v>
      </c>
      <c r="E17" s="10">
        <v>2439</v>
      </c>
      <c r="F17" s="6">
        <v>5000</v>
      </c>
      <c r="G17" s="6" t="s">
        <v>49</v>
      </c>
      <c r="H17" s="11" t="s">
        <v>204</v>
      </c>
      <c r="I17" s="11">
        <v>31</v>
      </c>
      <c r="J17" s="6">
        <v>17</v>
      </c>
      <c r="K17" s="8" t="s">
        <v>180</v>
      </c>
      <c r="L17" s="11">
        <v>31</v>
      </c>
      <c r="M17" s="6">
        <v>31</v>
      </c>
      <c r="N17" s="8"/>
      <c r="O17" s="11">
        <v>31</v>
      </c>
      <c r="P17" s="6">
        <v>28</v>
      </c>
      <c r="Q17" s="8" t="s">
        <v>288</v>
      </c>
      <c r="R17" s="9">
        <f t="shared" si="0"/>
        <v>93</v>
      </c>
      <c r="S17" s="6">
        <f t="shared" si="1"/>
        <v>76</v>
      </c>
    </row>
    <row r="18" spans="2:19" ht="18" x14ac:dyDescent="0.35">
      <c r="B18" s="40">
        <v>8</v>
      </c>
      <c r="C18" s="42" t="s">
        <v>33</v>
      </c>
      <c r="D18" s="6" t="s">
        <v>23</v>
      </c>
      <c r="E18" s="6">
        <v>86292</v>
      </c>
      <c r="F18" s="6">
        <v>914.4</v>
      </c>
      <c r="G18" s="6" t="s">
        <v>298</v>
      </c>
      <c r="H18" s="6" t="s">
        <v>129</v>
      </c>
      <c r="I18" s="11">
        <v>88</v>
      </c>
      <c r="J18" s="6">
        <v>88</v>
      </c>
      <c r="K18" s="8"/>
      <c r="L18" s="11">
        <v>40</v>
      </c>
      <c r="M18" s="6">
        <v>40</v>
      </c>
      <c r="N18" s="8"/>
      <c r="O18" s="11">
        <v>88</v>
      </c>
      <c r="P18" s="6">
        <v>88</v>
      </c>
      <c r="Q18" s="8"/>
      <c r="R18" s="9">
        <f t="shared" si="0"/>
        <v>216</v>
      </c>
      <c r="S18" s="6">
        <f t="shared" si="1"/>
        <v>216</v>
      </c>
    </row>
    <row r="19" spans="2:19" ht="18" x14ac:dyDescent="0.35">
      <c r="B19" s="41"/>
      <c r="C19" s="43"/>
      <c r="D19" s="6" t="s">
        <v>23</v>
      </c>
      <c r="E19" s="6">
        <v>86292</v>
      </c>
      <c r="F19" s="6">
        <v>914.4</v>
      </c>
      <c r="G19" s="6" t="s">
        <v>301</v>
      </c>
      <c r="H19" s="6" t="s">
        <v>129</v>
      </c>
      <c r="I19" s="11">
        <v>0</v>
      </c>
      <c r="J19" s="6">
        <v>0</v>
      </c>
      <c r="K19" s="8"/>
      <c r="L19" s="11">
        <v>48</v>
      </c>
      <c r="M19" s="6">
        <v>48</v>
      </c>
      <c r="N19" s="8"/>
      <c r="O19" s="11">
        <v>0</v>
      </c>
      <c r="P19" s="6">
        <v>0</v>
      </c>
      <c r="Q19" s="8"/>
      <c r="R19" s="9">
        <f t="shared" si="0"/>
        <v>48</v>
      </c>
      <c r="S19" s="6">
        <f t="shared" si="1"/>
        <v>48</v>
      </c>
    </row>
    <row r="20" spans="2:19" ht="18" x14ac:dyDescent="0.35">
      <c r="B20" s="6">
        <v>9</v>
      </c>
      <c r="C20" s="7" t="s">
        <v>34</v>
      </c>
      <c r="D20" s="6" t="s">
        <v>64</v>
      </c>
      <c r="E20" s="6">
        <v>90129</v>
      </c>
      <c r="F20" s="6">
        <v>2540</v>
      </c>
      <c r="G20" s="6" t="s">
        <v>49</v>
      </c>
      <c r="H20" s="6" t="s">
        <v>227</v>
      </c>
      <c r="I20" s="11">
        <v>0</v>
      </c>
      <c r="J20" s="6">
        <v>0</v>
      </c>
      <c r="K20" s="8" t="s">
        <v>90</v>
      </c>
      <c r="L20" s="11">
        <v>0</v>
      </c>
      <c r="M20" s="6">
        <v>0</v>
      </c>
      <c r="N20" s="8" t="s">
        <v>90</v>
      </c>
      <c r="O20" s="11">
        <v>0</v>
      </c>
      <c r="P20" s="6">
        <v>0</v>
      </c>
      <c r="Q20" s="8" t="s">
        <v>90</v>
      </c>
      <c r="R20" s="9">
        <f t="shared" si="0"/>
        <v>0</v>
      </c>
      <c r="S20" s="6">
        <f t="shared" si="1"/>
        <v>0</v>
      </c>
    </row>
    <row r="21" spans="2:19" ht="18" x14ac:dyDescent="0.35">
      <c r="B21" s="6">
        <v>10</v>
      </c>
      <c r="C21" s="7" t="s">
        <v>35</v>
      </c>
      <c r="D21" s="6" t="s">
        <v>19</v>
      </c>
      <c r="E21" s="6">
        <v>2122</v>
      </c>
      <c r="F21" s="6">
        <v>796.5</v>
      </c>
      <c r="G21" s="6" t="s">
        <v>138</v>
      </c>
      <c r="H21" s="6" t="s">
        <v>209</v>
      </c>
      <c r="I21" s="11">
        <v>146</v>
      </c>
      <c r="J21" s="6">
        <v>50</v>
      </c>
      <c r="K21" s="8" t="s">
        <v>148</v>
      </c>
      <c r="L21" s="11">
        <v>0</v>
      </c>
      <c r="M21" s="6">
        <v>0</v>
      </c>
      <c r="N21" s="8" t="s">
        <v>148</v>
      </c>
      <c r="O21" s="11">
        <v>146</v>
      </c>
      <c r="P21" s="6">
        <v>146</v>
      </c>
      <c r="Q21" s="8"/>
      <c r="R21" s="9">
        <f t="shared" si="0"/>
        <v>292</v>
      </c>
      <c r="S21" s="6">
        <f t="shared" si="1"/>
        <v>196</v>
      </c>
    </row>
    <row r="22" spans="2:19" x14ac:dyDescent="0.3">
      <c r="K22" s="21"/>
      <c r="L22" s="20"/>
    </row>
    <row r="23" spans="2:19" x14ac:dyDescent="0.3">
      <c r="K23" s="22"/>
    </row>
  </sheetData>
  <mergeCells count="11">
    <mergeCell ref="B18:B19"/>
    <mergeCell ref="C18:C19"/>
    <mergeCell ref="B16:B17"/>
    <mergeCell ref="C16:C17"/>
    <mergeCell ref="B6:N6"/>
    <mergeCell ref="R6:S6"/>
    <mergeCell ref="I7:K7"/>
    <mergeCell ref="L7:N7"/>
    <mergeCell ref="O7:Q7"/>
    <mergeCell ref="B12:B13"/>
    <mergeCell ref="C12:C1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6:S23"/>
  <sheetViews>
    <sheetView topLeftCell="H4" zoomScale="85" zoomScaleNormal="85" workbookViewId="0">
      <selection activeCell="A5" sqref="A5:T22"/>
    </sheetView>
  </sheetViews>
  <sheetFormatPr defaultRowHeight="14.4" x14ac:dyDescent="0.3"/>
  <cols>
    <col min="1" max="1" width="6.33203125" customWidth="1"/>
    <col min="4" max="4" width="16" bestFit="1" customWidth="1"/>
    <col min="6" max="6" width="8.6640625" bestFit="1" customWidth="1"/>
    <col min="7" max="7" width="12.88671875" bestFit="1" customWidth="1"/>
    <col min="8" max="8" width="10.33203125" bestFit="1" customWidth="1"/>
    <col min="11" max="11" width="28.33203125" bestFit="1" customWidth="1"/>
    <col min="14" max="14" width="39.6640625" customWidth="1"/>
    <col min="16" max="16" width="11.33203125" bestFit="1" customWidth="1"/>
    <col min="17" max="17" width="35.6640625" bestFit="1" customWidth="1"/>
    <col min="20" max="20" width="4.33203125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304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x14ac:dyDescent="0.35">
      <c r="B9" s="6">
        <v>1</v>
      </c>
      <c r="C9" s="13" t="s">
        <v>18</v>
      </c>
      <c r="D9" s="14" t="s">
        <v>19</v>
      </c>
      <c r="E9" s="6">
        <v>2191</v>
      </c>
      <c r="F9" s="6">
        <v>489.7</v>
      </c>
      <c r="G9" s="6" t="s">
        <v>20</v>
      </c>
      <c r="H9" s="6" t="s">
        <v>214</v>
      </c>
      <c r="I9" s="11">
        <v>73</v>
      </c>
      <c r="J9" s="6">
        <v>55</v>
      </c>
      <c r="K9" s="8" t="s">
        <v>307</v>
      </c>
      <c r="L9" s="11">
        <v>73</v>
      </c>
      <c r="M9" s="6">
        <v>73</v>
      </c>
      <c r="N9" s="23"/>
      <c r="O9" s="11">
        <v>73</v>
      </c>
      <c r="P9" s="6">
        <v>73</v>
      </c>
      <c r="Q9" s="8"/>
      <c r="R9" s="9">
        <f t="shared" ref="R9:R21" si="0">I9+L9+O9</f>
        <v>219</v>
      </c>
      <c r="S9" s="6">
        <f>P9+M9+J9</f>
        <v>201</v>
      </c>
    </row>
    <row r="10" spans="2:19" ht="18" x14ac:dyDescent="0.35">
      <c r="B10" s="14">
        <v>2</v>
      </c>
      <c r="C10" s="7" t="s">
        <v>212</v>
      </c>
      <c r="D10" s="6" t="s">
        <v>23</v>
      </c>
      <c r="E10" s="6">
        <v>86292</v>
      </c>
      <c r="F10" s="6">
        <v>914.4</v>
      </c>
      <c r="G10" s="6" t="s">
        <v>61</v>
      </c>
      <c r="H10" s="6" t="s">
        <v>297</v>
      </c>
      <c r="I10" s="11">
        <v>64</v>
      </c>
      <c r="J10" s="6">
        <v>62</v>
      </c>
      <c r="K10" s="8" t="s">
        <v>150</v>
      </c>
      <c r="L10" s="11">
        <v>64</v>
      </c>
      <c r="M10" s="6">
        <v>64</v>
      </c>
      <c r="N10" s="23"/>
      <c r="O10" s="11">
        <v>64</v>
      </c>
      <c r="P10" s="6">
        <v>64</v>
      </c>
      <c r="Q10" s="8"/>
      <c r="R10" s="9">
        <f t="shared" si="0"/>
        <v>192</v>
      </c>
      <c r="S10" s="6">
        <f t="shared" ref="S10:S21" si="1">P10+M10+J10</f>
        <v>190</v>
      </c>
    </row>
    <row r="11" spans="2:19" ht="18" x14ac:dyDescent="0.35">
      <c r="B11" s="40">
        <v>3</v>
      </c>
      <c r="C11" s="42" t="s">
        <v>77</v>
      </c>
      <c r="D11" s="6" t="s">
        <v>23</v>
      </c>
      <c r="E11" s="6">
        <v>86292</v>
      </c>
      <c r="F11" s="6">
        <v>914.4</v>
      </c>
      <c r="G11" s="6" t="s">
        <v>61</v>
      </c>
      <c r="H11" s="6" t="s">
        <v>297</v>
      </c>
      <c r="I11" s="11">
        <v>64</v>
      </c>
      <c r="J11" s="6">
        <v>64</v>
      </c>
      <c r="K11" s="8"/>
      <c r="L11" s="11">
        <v>0</v>
      </c>
      <c r="M11" s="6">
        <v>0</v>
      </c>
      <c r="N11" s="23"/>
      <c r="O11" s="11">
        <v>0</v>
      </c>
      <c r="P11" s="6">
        <v>0</v>
      </c>
      <c r="Q11" s="8"/>
      <c r="R11" s="9">
        <f t="shared" si="0"/>
        <v>64</v>
      </c>
      <c r="S11" s="6">
        <f t="shared" si="1"/>
        <v>64</v>
      </c>
    </row>
    <row r="12" spans="2:19" ht="18" x14ac:dyDescent="0.35">
      <c r="B12" s="41"/>
      <c r="C12" s="43"/>
      <c r="D12" s="6" t="s">
        <v>23</v>
      </c>
      <c r="E12" s="6">
        <v>86292</v>
      </c>
      <c r="F12" s="6">
        <v>914.4</v>
      </c>
      <c r="G12" s="6" t="s">
        <v>308</v>
      </c>
      <c r="H12" s="6" t="s">
        <v>293</v>
      </c>
      <c r="I12" s="11">
        <v>0</v>
      </c>
      <c r="J12" s="6">
        <v>0</v>
      </c>
      <c r="K12" s="8"/>
      <c r="L12" s="11">
        <v>36</v>
      </c>
      <c r="M12" s="6">
        <v>28</v>
      </c>
      <c r="N12" s="8" t="s">
        <v>44</v>
      </c>
      <c r="O12" s="11">
        <v>36</v>
      </c>
      <c r="P12" s="6">
        <v>36</v>
      </c>
      <c r="Q12" s="8"/>
      <c r="R12" s="9"/>
      <c r="S12" s="6"/>
    </row>
    <row r="13" spans="2:19" ht="18" x14ac:dyDescent="0.35">
      <c r="B13" s="6">
        <v>4</v>
      </c>
      <c r="C13" s="7" t="s">
        <v>25</v>
      </c>
      <c r="D13" s="6" t="s">
        <v>302</v>
      </c>
      <c r="E13" s="10">
        <v>2123</v>
      </c>
      <c r="F13" s="6">
        <v>418.2</v>
      </c>
      <c r="G13" s="6" t="s">
        <v>303</v>
      </c>
      <c r="H13" s="6" t="s">
        <v>214</v>
      </c>
      <c r="I13" s="11">
        <v>73</v>
      </c>
      <c r="J13" s="6">
        <v>15</v>
      </c>
      <c r="K13" s="8" t="s">
        <v>306</v>
      </c>
      <c r="L13" s="11">
        <v>73</v>
      </c>
      <c r="M13" s="6">
        <v>0</v>
      </c>
      <c r="N13" s="8" t="s">
        <v>57</v>
      </c>
      <c r="O13" s="11">
        <v>64</v>
      </c>
      <c r="P13" s="6">
        <v>44</v>
      </c>
      <c r="Q13" s="8" t="s">
        <v>57</v>
      </c>
      <c r="R13" s="9">
        <f t="shared" si="0"/>
        <v>210</v>
      </c>
      <c r="S13" s="6">
        <f t="shared" si="1"/>
        <v>59</v>
      </c>
    </row>
    <row r="14" spans="2:19" ht="18" x14ac:dyDescent="0.35">
      <c r="B14" s="10">
        <v>5</v>
      </c>
      <c r="C14" s="42" t="s">
        <v>28</v>
      </c>
      <c r="D14" s="24" t="s">
        <v>213</v>
      </c>
      <c r="E14" s="6">
        <v>98812</v>
      </c>
      <c r="F14" s="6">
        <v>292</v>
      </c>
      <c r="G14" s="6" t="s">
        <v>27</v>
      </c>
      <c r="H14" s="6" t="s">
        <v>209</v>
      </c>
      <c r="I14" s="11">
        <v>146</v>
      </c>
      <c r="J14" s="6">
        <v>40</v>
      </c>
      <c r="K14" s="8" t="s">
        <v>306</v>
      </c>
      <c r="L14" s="11">
        <v>146</v>
      </c>
      <c r="M14" s="6">
        <v>146</v>
      </c>
      <c r="N14" s="8"/>
      <c r="O14" s="11">
        <v>84</v>
      </c>
      <c r="P14" s="6">
        <v>84</v>
      </c>
      <c r="Q14" s="8" t="s">
        <v>289</v>
      </c>
      <c r="R14" s="9">
        <f t="shared" si="0"/>
        <v>376</v>
      </c>
      <c r="S14" s="6">
        <f t="shared" si="1"/>
        <v>270</v>
      </c>
    </row>
    <row r="15" spans="2:19" ht="18" x14ac:dyDescent="0.35">
      <c r="B15" s="10"/>
      <c r="C15" s="43"/>
      <c r="D15" s="6" t="s">
        <v>47</v>
      </c>
      <c r="E15" s="10">
        <v>99721</v>
      </c>
      <c r="F15" s="6">
        <v>215</v>
      </c>
      <c r="G15" s="6" t="s">
        <v>27</v>
      </c>
      <c r="H15" s="6" t="s">
        <v>209</v>
      </c>
      <c r="I15" s="11">
        <v>0</v>
      </c>
      <c r="J15" s="6">
        <v>0</v>
      </c>
      <c r="K15" s="8"/>
      <c r="L15" s="11">
        <v>0</v>
      </c>
      <c r="M15" s="6">
        <v>0</v>
      </c>
      <c r="N15" s="8"/>
      <c r="O15" s="11">
        <v>30</v>
      </c>
      <c r="P15" s="6">
        <v>26</v>
      </c>
      <c r="Q15" s="8" t="s">
        <v>310</v>
      </c>
      <c r="R15" s="9">
        <f t="shared" si="0"/>
        <v>30</v>
      </c>
      <c r="S15" s="6">
        <f t="shared" si="1"/>
        <v>26</v>
      </c>
    </row>
    <row r="16" spans="2:19" ht="18" x14ac:dyDescent="0.35">
      <c r="B16" s="6">
        <v>6</v>
      </c>
      <c r="C16" s="7" t="s">
        <v>30</v>
      </c>
      <c r="D16" s="6" t="s">
        <v>47</v>
      </c>
      <c r="E16" s="10">
        <v>99719</v>
      </c>
      <c r="F16" s="6">
        <v>1107</v>
      </c>
      <c r="G16" s="6" t="s">
        <v>61</v>
      </c>
      <c r="H16" s="11" t="s">
        <v>129</v>
      </c>
      <c r="I16" s="11">
        <v>88</v>
      </c>
      <c r="J16" s="6">
        <v>44</v>
      </c>
      <c r="K16" s="8" t="s">
        <v>305</v>
      </c>
      <c r="L16" s="11">
        <v>88</v>
      </c>
      <c r="M16" s="6">
        <v>0</v>
      </c>
      <c r="N16" s="8" t="s">
        <v>57</v>
      </c>
      <c r="O16" s="11">
        <v>88</v>
      </c>
      <c r="P16" s="6">
        <v>88</v>
      </c>
      <c r="Q16" s="8"/>
      <c r="R16" s="9">
        <f t="shared" si="0"/>
        <v>264</v>
      </c>
      <c r="S16" s="6">
        <f t="shared" si="1"/>
        <v>132</v>
      </c>
    </row>
    <row r="17" spans="2:19" ht="18" x14ac:dyDescent="0.35">
      <c r="B17" s="14">
        <v>7</v>
      </c>
      <c r="C17" s="13" t="s">
        <v>31</v>
      </c>
      <c r="D17" s="6" t="s">
        <v>47</v>
      </c>
      <c r="E17" s="10">
        <v>2439</v>
      </c>
      <c r="F17" s="6">
        <v>5000</v>
      </c>
      <c r="G17" s="6" t="s">
        <v>49</v>
      </c>
      <c r="H17" s="11" t="s">
        <v>204</v>
      </c>
      <c r="I17" s="11">
        <v>31</v>
      </c>
      <c r="J17" s="6">
        <v>31</v>
      </c>
      <c r="K17" s="8"/>
      <c r="L17" s="11">
        <v>31</v>
      </c>
      <c r="M17" s="6">
        <v>31</v>
      </c>
      <c r="N17" s="8"/>
      <c r="O17" s="11">
        <v>31</v>
      </c>
      <c r="P17" s="6">
        <v>23</v>
      </c>
      <c r="Q17" s="8" t="s">
        <v>311</v>
      </c>
      <c r="R17" s="9">
        <f t="shared" si="0"/>
        <v>93</v>
      </c>
      <c r="S17" s="6">
        <f t="shared" si="1"/>
        <v>85</v>
      </c>
    </row>
    <row r="18" spans="2:19" ht="18" x14ac:dyDescent="0.35">
      <c r="B18" s="40">
        <v>8</v>
      </c>
      <c r="C18" s="42" t="s">
        <v>33</v>
      </c>
      <c r="D18" s="6" t="s">
        <v>23</v>
      </c>
      <c r="E18" s="6">
        <v>86292</v>
      </c>
      <c r="F18" s="6">
        <v>914.4</v>
      </c>
      <c r="G18" s="6" t="s">
        <v>298</v>
      </c>
      <c r="H18" s="6" t="s">
        <v>129</v>
      </c>
      <c r="I18" s="11">
        <v>0</v>
      </c>
      <c r="J18" s="6">
        <v>0</v>
      </c>
      <c r="K18" s="8"/>
      <c r="L18" s="11">
        <v>44</v>
      </c>
      <c r="M18" s="6">
        <v>44</v>
      </c>
      <c r="N18" s="8"/>
      <c r="O18" s="11">
        <v>44</v>
      </c>
      <c r="P18" s="6">
        <v>44</v>
      </c>
      <c r="Q18" s="8"/>
      <c r="R18" s="9">
        <f t="shared" si="0"/>
        <v>88</v>
      </c>
      <c r="S18" s="6">
        <f t="shared" si="1"/>
        <v>88</v>
      </c>
    </row>
    <row r="19" spans="2:19" ht="18" x14ac:dyDescent="0.35">
      <c r="B19" s="41"/>
      <c r="C19" s="43"/>
      <c r="D19" s="6" t="s">
        <v>23</v>
      </c>
      <c r="E19" s="6">
        <v>86292</v>
      </c>
      <c r="F19" s="6">
        <v>914.4</v>
      </c>
      <c r="G19" s="6" t="s">
        <v>301</v>
      </c>
      <c r="H19" s="6" t="s">
        <v>129</v>
      </c>
      <c r="I19" s="11">
        <v>88</v>
      </c>
      <c r="J19" s="6">
        <v>88</v>
      </c>
      <c r="K19" s="8"/>
      <c r="L19" s="11">
        <v>44</v>
      </c>
      <c r="M19" s="6">
        <v>44</v>
      </c>
      <c r="N19" s="8"/>
      <c r="O19" s="11">
        <v>44</v>
      </c>
      <c r="P19" s="6">
        <v>44</v>
      </c>
      <c r="Q19" s="8"/>
      <c r="R19" s="9">
        <f t="shared" si="0"/>
        <v>176</v>
      </c>
      <c r="S19" s="6">
        <f t="shared" si="1"/>
        <v>176</v>
      </c>
    </row>
    <row r="20" spans="2:19" ht="18" x14ac:dyDescent="0.35">
      <c r="B20" s="6">
        <v>9</v>
      </c>
      <c r="C20" s="7" t="s">
        <v>34</v>
      </c>
      <c r="D20" s="6" t="s">
        <v>64</v>
      </c>
      <c r="E20" s="6">
        <v>90129</v>
      </c>
      <c r="F20" s="6">
        <v>2540</v>
      </c>
      <c r="G20" s="6" t="s">
        <v>49</v>
      </c>
      <c r="H20" s="6" t="s">
        <v>227</v>
      </c>
      <c r="I20" s="11">
        <v>0</v>
      </c>
      <c r="J20" s="6">
        <v>0</v>
      </c>
      <c r="K20" s="8" t="s">
        <v>90</v>
      </c>
      <c r="L20" s="11">
        <v>0</v>
      </c>
      <c r="M20" s="6">
        <v>0</v>
      </c>
      <c r="N20" s="8" t="s">
        <v>90</v>
      </c>
      <c r="O20" s="11">
        <v>0</v>
      </c>
      <c r="P20" s="6">
        <v>0</v>
      </c>
      <c r="Q20" s="8" t="s">
        <v>90</v>
      </c>
      <c r="R20" s="9">
        <f t="shared" si="0"/>
        <v>0</v>
      </c>
      <c r="S20" s="6">
        <f t="shared" si="1"/>
        <v>0</v>
      </c>
    </row>
    <row r="21" spans="2:19" ht="18" x14ac:dyDescent="0.35">
      <c r="B21" s="6">
        <v>10</v>
      </c>
      <c r="C21" s="7" t="s">
        <v>35</v>
      </c>
      <c r="D21" s="6" t="s">
        <v>19</v>
      </c>
      <c r="E21" s="6">
        <v>2122</v>
      </c>
      <c r="F21" s="6">
        <v>796.5</v>
      </c>
      <c r="G21" s="6" t="s">
        <v>138</v>
      </c>
      <c r="H21" s="6" t="s">
        <v>209</v>
      </c>
      <c r="I21" s="11">
        <v>146</v>
      </c>
      <c r="J21" s="6">
        <v>74</v>
      </c>
      <c r="K21" s="8" t="s">
        <v>305</v>
      </c>
      <c r="L21" s="11">
        <v>146</v>
      </c>
      <c r="M21" s="6">
        <v>0</v>
      </c>
      <c r="N21" s="8" t="s">
        <v>57</v>
      </c>
      <c r="O21" s="11">
        <v>146</v>
      </c>
      <c r="P21" s="6">
        <v>146</v>
      </c>
      <c r="Q21" s="8"/>
      <c r="R21" s="9">
        <f t="shared" si="0"/>
        <v>438</v>
      </c>
      <c r="S21" s="6">
        <f t="shared" si="1"/>
        <v>220</v>
      </c>
    </row>
    <row r="22" spans="2:19" x14ac:dyDescent="0.3">
      <c r="K22" s="21"/>
      <c r="L22" s="20"/>
    </row>
    <row r="23" spans="2:19" x14ac:dyDescent="0.3">
      <c r="K23" s="22"/>
      <c r="N23" t="s">
        <v>309</v>
      </c>
    </row>
  </sheetData>
  <mergeCells count="10">
    <mergeCell ref="B18:B19"/>
    <mergeCell ref="C18:C19"/>
    <mergeCell ref="B6:N6"/>
    <mergeCell ref="R6:S6"/>
    <mergeCell ref="I7:K7"/>
    <mergeCell ref="L7:N7"/>
    <mergeCell ref="O7:Q7"/>
    <mergeCell ref="B11:B12"/>
    <mergeCell ref="C11:C12"/>
    <mergeCell ref="C14:C1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6:S26"/>
  <sheetViews>
    <sheetView topLeftCell="A20" zoomScale="85" zoomScaleNormal="85" workbookViewId="0">
      <selection activeCell="Q31" sqref="Q31"/>
    </sheetView>
  </sheetViews>
  <sheetFormatPr defaultRowHeight="14.4" x14ac:dyDescent="0.3"/>
  <cols>
    <col min="1" max="1" width="6.33203125" customWidth="1"/>
    <col min="4" max="4" width="16" bestFit="1" customWidth="1"/>
    <col min="6" max="6" width="8.6640625" bestFit="1" customWidth="1"/>
    <col min="7" max="7" width="12.88671875" bestFit="1" customWidth="1"/>
    <col min="8" max="8" width="10.33203125" bestFit="1" customWidth="1"/>
    <col min="11" max="11" width="28.33203125" bestFit="1" customWidth="1"/>
    <col min="14" max="14" width="31.6640625" customWidth="1"/>
    <col min="16" max="16" width="11.33203125" bestFit="1" customWidth="1"/>
    <col min="17" max="17" width="35.6640625" bestFit="1" customWidth="1"/>
    <col min="20" max="20" width="4.33203125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312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x14ac:dyDescent="0.35">
      <c r="B9" s="6">
        <v>1</v>
      </c>
      <c r="C9" s="13" t="s">
        <v>18</v>
      </c>
      <c r="D9" s="14" t="s">
        <v>19</v>
      </c>
      <c r="E9" s="6">
        <v>2191</v>
      </c>
      <c r="F9" s="6">
        <v>489.7</v>
      </c>
      <c r="G9" s="6" t="s">
        <v>20</v>
      </c>
      <c r="H9" s="6" t="s">
        <v>214</v>
      </c>
      <c r="I9" s="11">
        <v>73</v>
      </c>
      <c r="J9" s="6">
        <v>60</v>
      </c>
      <c r="K9" s="8" t="s">
        <v>314</v>
      </c>
      <c r="L9" s="11">
        <v>73</v>
      </c>
      <c r="M9" s="6">
        <v>73</v>
      </c>
      <c r="N9" s="23"/>
      <c r="O9" s="11">
        <v>0</v>
      </c>
      <c r="P9" s="6">
        <v>0</v>
      </c>
      <c r="Q9" s="8" t="s">
        <v>275</v>
      </c>
      <c r="R9" s="9">
        <f t="shared" ref="R9:R24" si="0">I9+L9+O9</f>
        <v>146</v>
      </c>
      <c r="S9" s="6">
        <f>P9+M9+J9</f>
        <v>133</v>
      </c>
    </row>
    <row r="10" spans="2:19" ht="18" x14ac:dyDescent="0.35">
      <c r="B10" s="14">
        <v>2</v>
      </c>
      <c r="C10" s="7" t="s">
        <v>212</v>
      </c>
      <c r="D10" s="6" t="s">
        <v>23</v>
      </c>
      <c r="E10" s="6">
        <v>86292</v>
      </c>
      <c r="F10" s="6">
        <v>914.4</v>
      </c>
      <c r="G10" s="6" t="s">
        <v>61</v>
      </c>
      <c r="H10" s="6" t="s">
        <v>297</v>
      </c>
      <c r="I10" s="11">
        <v>64</v>
      </c>
      <c r="J10" s="6">
        <v>64</v>
      </c>
      <c r="K10" s="8"/>
      <c r="L10" s="11">
        <v>64</v>
      </c>
      <c r="M10" s="6">
        <v>64</v>
      </c>
      <c r="N10" s="23"/>
      <c r="O10" s="11">
        <v>64</v>
      </c>
      <c r="P10" s="6">
        <v>40</v>
      </c>
      <c r="Q10" s="8" t="s">
        <v>330</v>
      </c>
      <c r="R10" s="9">
        <f t="shared" si="0"/>
        <v>192</v>
      </c>
      <c r="S10" s="6">
        <f t="shared" ref="S10:S24" si="1">P10+M10+J10</f>
        <v>168</v>
      </c>
    </row>
    <row r="11" spans="2:19" ht="18" hidden="1" x14ac:dyDescent="0.35">
      <c r="B11" s="40">
        <v>3</v>
      </c>
      <c r="C11" s="42" t="s">
        <v>77</v>
      </c>
      <c r="D11" s="6" t="s">
        <v>23</v>
      </c>
      <c r="E11" s="6">
        <v>86292</v>
      </c>
      <c r="F11" s="6">
        <v>914.4</v>
      </c>
      <c r="G11" s="6" t="s">
        <v>61</v>
      </c>
      <c r="H11" s="6" t="s">
        <v>297</v>
      </c>
      <c r="I11" s="11"/>
      <c r="J11" s="6"/>
      <c r="K11" s="8"/>
      <c r="L11" s="11"/>
      <c r="M11" s="6"/>
      <c r="N11" s="23"/>
      <c r="O11" s="11"/>
      <c r="P11" s="6"/>
      <c r="Q11" s="8"/>
      <c r="R11" s="9">
        <f t="shared" si="0"/>
        <v>0</v>
      </c>
      <c r="S11" s="6">
        <f t="shared" si="1"/>
        <v>0</v>
      </c>
    </row>
    <row r="12" spans="2:19" ht="18" x14ac:dyDescent="0.35">
      <c r="B12" s="41"/>
      <c r="C12" s="43"/>
      <c r="D12" s="6" t="s">
        <v>23</v>
      </c>
      <c r="E12" s="6">
        <v>86292</v>
      </c>
      <c r="F12" s="6">
        <v>914.4</v>
      </c>
      <c r="G12" s="6" t="s">
        <v>308</v>
      </c>
      <c r="H12" s="6" t="s">
        <v>293</v>
      </c>
      <c r="I12" s="11">
        <v>36</v>
      </c>
      <c r="J12" s="6">
        <v>36</v>
      </c>
      <c r="K12" s="8"/>
      <c r="L12" s="11">
        <v>36</v>
      </c>
      <c r="M12" s="6">
        <v>36</v>
      </c>
      <c r="N12" s="8"/>
      <c r="O12" s="11">
        <v>36</v>
      </c>
      <c r="P12" s="6">
        <v>20</v>
      </c>
      <c r="Q12" s="8" t="s">
        <v>330</v>
      </c>
      <c r="R12" s="9"/>
      <c r="S12" s="6"/>
    </row>
    <row r="13" spans="2:19" ht="18" x14ac:dyDescent="0.35">
      <c r="B13" s="6">
        <v>4</v>
      </c>
      <c r="C13" s="7" t="s">
        <v>25</v>
      </c>
      <c r="D13" s="6" t="s">
        <v>302</v>
      </c>
      <c r="E13" s="10">
        <v>2123</v>
      </c>
      <c r="F13" s="6">
        <v>418.2</v>
      </c>
      <c r="G13" s="6" t="s">
        <v>303</v>
      </c>
      <c r="H13" s="6" t="s">
        <v>297</v>
      </c>
      <c r="I13" s="11">
        <v>64</v>
      </c>
      <c r="J13" s="6">
        <v>58</v>
      </c>
      <c r="K13" s="8" t="s">
        <v>315</v>
      </c>
      <c r="L13" s="11">
        <v>64</v>
      </c>
      <c r="M13" s="6">
        <v>64</v>
      </c>
      <c r="N13" s="8"/>
      <c r="O13" s="11">
        <v>64</v>
      </c>
      <c r="P13" s="6">
        <v>29</v>
      </c>
      <c r="Q13" s="8" t="s">
        <v>330</v>
      </c>
      <c r="R13" s="9">
        <f t="shared" si="0"/>
        <v>192</v>
      </c>
      <c r="S13" s="6">
        <f t="shared" si="1"/>
        <v>151</v>
      </c>
    </row>
    <row r="14" spans="2:19" ht="18" hidden="1" x14ac:dyDescent="0.35">
      <c r="B14" s="10">
        <v>5</v>
      </c>
      <c r="C14" s="42" t="s">
        <v>28</v>
      </c>
      <c r="D14" s="24" t="s">
        <v>213</v>
      </c>
      <c r="E14" s="6">
        <v>98812</v>
      </c>
      <c r="F14" s="6">
        <v>292</v>
      </c>
      <c r="G14" s="6" t="s">
        <v>27</v>
      </c>
      <c r="H14" s="6" t="s">
        <v>209</v>
      </c>
      <c r="I14" s="11"/>
      <c r="J14" s="6"/>
      <c r="K14" s="8"/>
      <c r="L14" s="11"/>
      <c r="M14" s="6"/>
      <c r="N14" s="8"/>
      <c r="O14" s="11"/>
      <c r="P14" s="6"/>
      <c r="Q14" s="8"/>
      <c r="R14" s="9">
        <f t="shared" si="0"/>
        <v>0</v>
      </c>
      <c r="S14" s="6">
        <f t="shared" si="1"/>
        <v>0</v>
      </c>
    </row>
    <row r="15" spans="2:19" ht="18" x14ac:dyDescent="0.35">
      <c r="B15" s="10">
        <v>5</v>
      </c>
      <c r="C15" s="43"/>
      <c r="D15" s="6" t="s">
        <v>47</v>
      </c>
      <c r="E15" s="10">
        <v>99721</v>
      </c>
      <c r="F15" s="6">
        <v>215</v>
      </c>
      <c r="G15" s="6" t="s">
        <v>27</v>
      </c>
      <c r="H15" s="6" t="s">
        <v>209</v>
      </c>
      <c r="I15" s="11">
        <v>146</v>
      </c>
      <c r="J15" s="6">
        <v>80</v>
      </c>
      <c r="K15" s="8" t="s">
        <v>316</v>
      </c>
      <c r="L15" s="11">
        <v>31</v>
      </c>
      <c r="M15" s="6">
        <v>31</v>
      </c>
      <c r="N15" s="8"/>
      <c r="O15" s="11">
        <v>0</v>
      </c>
      <c r="P15" s="6">
        <v>0</v>
      </c>
      <c r="Q15" s="8"/>
      <c r="R15" s="9">
        <f t="shared" si="0"/>
        <v>177</v>
      </c>
      <c r="S15" s="6">
        <f t="shared" si="1"/>
        <v>111</v>
      </c>
    </row>
    <row r="16" spans="2:19" ht="18" hidden="1" x14ac:dyDescent="0.35">
      <c r="B16" s="10"/>
      <c r="C16" s="17"/>
      <c r="D16" s="6"/>
      <c r="E16" s="10"/>
      <c r="F16" s="6"/>
      <c r="G16" s="6"/>
      <c r="H16" s="6"/>
      <c r="I16" s="11"/>
      <c r="J16" s="6"/>
      <c r="K16" s="8"/>
      <c r="L16" s="11"/>
      <c r="M16" s="6"/>
      <c r="N16" s="8"/>
      <c r="O16" s="11"/>
      <c r="P16" s="6"/>
      <c r="Q16" s="8"/>
      <c r="R16" s="9"/>
      <c r="S16" s="6"/>
    </row>
    <row r="17" spans="2:19" ht="18" x14ac:dyDescent="0.35">
      <c r="B17" s="10"/>
      <c r="C17" s="7" t="s">
        <v>28</v>
      </c>
      <c r="D17" s="6" t="s">
        <v>319</v>
      </c>
      <c r="E17" s="10">
        <v>2123</v>
      </c>
      <c r="F17" s="6">
        <v>428.75</v>
      </c>
      <c r="G17" s="6" t="s">
        <v>303</v>
      </c>
      <c r="H17" s="6" t="s">
        <v>129</v>
      </c>
      <c r="I17" s="11">
        <v>0</v>
      </c>
      <c r="J17" s="6">
        <v>0</v>
      </c>
      <c r="K17" s="8"/>
      <c r="L17" s="11">
        <v>60</v>
      </c>
      <c r="M17" s="6">
        <v>46</v>
      </c>
      <c r="N17" s="8" t="s">
        <v>44</v>
      </c>
      <c r="O17" s="11">
        <v>88</v>
      </c>
      <c r="P17" s="6">
        <v>12</v>
      </c>
      <c r="Q17" s="8" t="s">
        <v>330</v>
      </c>
      <c r="R17" s="9"/>
      <c r="S17" s="6"/>
    </row>
    <row r="18" spans="2:19" ht="18" x14ac:dyDescent="0.35">
      <c r="B18" s="6">
        <v>6</v>
      </c>
      <c r="C18" s="7" t="s">
        <v>30</v>
      </c>
      <c r="D18" s="6" t="s">
        <v>47</v>
      </c>
      <c r="E18" s="10">
        <v>99719</v>
      </c>
      <c r="F18" s="6">
        <v>1107</v>
      </c>
      <c r="G18" s="6" t="s">
        <v>61</v>
      </c>
      <c r="H18" s="11" t="s">
        <v>129</v>
      </c>
      <c r="I18" s="11">
        <v>68</v>
      </c>
      <c r="J18" s="6">
        <v>68</v>
      </c>
      <c r="K18" s="8"/>
      <c r="L18" s="11"/>
      <c r="M18" s="6"/>
      <c r="N18" s="8"/>
      <c r="O18" s="11">
        <v>0</v>
      </c>
      <c r="P18" s="6">
        <v>0</v>
      </c>
      <c r="Q18" s="8"/>
      <c r="R18" s="9">
        <f t="shared" si="0"/>
        <v>68</v>
      </c>
      <c r="S18" s="6">
        <f t="shared" si="1"/>
        <v>68</v>
      </c>
    </row>
    <row r="19" spans="2:19" ht="18" x14ac:dyDescent="0.35">
      <c r="B19" s="14"/>
      <c r="C19" s="7" t="s">
        <v>30</v>
      </c>
      <c r="D19" s="6" t="s">
        <v>47</v>
      </c>
      <c r="E19" s="10">
        <v>99719</v>
      </c>
      <c r="F19" s="6">
        <v>1107</v>
      </c>
      <c r="G19" s="6" t="s">
        <v>313</v>
      </c>
      <c r="H19" s="11" t="s">
        <v>226</v>
      </c>
      <c r="I19" s="11">
        <v>20</v>
      </c>
      <c r="J19" s="6">
        <v>20</v>
      </c>
      <c r="K19" s="8" t="s">
        <v>317</v>
      </c>
      <c r="L19" s="11">
        <v>110</v>
      </c>
      <c r="M19" s="6">
        <v>110</v>
      </c>
      <c r="N19" s="8"/>
      <c r="O19" s="11">
        <v>110</v>
      </c>
      <c r="P19" s="6">
        <v>0</v>
      </c>
      <c r="Q19" s="8" t="s">
        <v>148</v>
      </c>
      <c r="R19" s="9"/>
      <c r="S19" s="6"/>
    </row>
    <row r="20" spans="2:19" ht="18" x14ac:dyDescent="0.35">
      <c r="B20" s="14">
        <v>7</v>
      </c>
      <c r="C20" s="13" t="s">
        <v>31</v>
      </c>
      <c r="D20" s="6" t="s">
        <v>47</v>
      </c>
      <c r="E20" s="10">
        <v>1792</v>
      </c>
      <c r="F20" s="6">
        <v>6100</v>
      </c>
      <c r="G20" s="6" t="s">
        <v>49</v>
      </c>
      <c r="H20" s="11" t="s">
        <v>239</v>
      </c>
      <c r="I20" s="11">
        <v>27</v>
      </c>
      <c r="J20" s="6">
        <v>23</v>
      </c>
      <c r="K20" s="8" t="s">
        <v>317</v>
      </c>
      <c r="L20" s="11">
        <v>27</v>
      </c>
      <c r="M20" s="6">
        <v>27</v>
      </c>
      <c r="N20" s="8"/>
      <c r="O20" s="11">
        <v>27</v>
      </c>
      <c r="P20" s="6">
        <v>90</v>
      </c>
      <c r="Q20" s="8" t="s">
        <v>331</v>
      </c>
      <c r="R20" s="9">
        <f t="shared" si="0"/>
        <v>81</v>
      </c>
      <c r="S20" s="6">
        <f t="shared" si="1"/>
        <v>140</v>
      </c>
    </row>
    <row r="21" spans="2:19" ht="18" x14ac:dyDescent="0.35">
      <c r="B21" s="40">
        <v>8</v>
      </c>
      <c r="C21" s="42" t="s">
        <v>33</v>
      </c>
      <c r="D21" s="6" t="s">
        <v>23</v>
      </c>
      <c r="E21" s="6">
        <v>86292</v>
      </c>
      <c r="F21" s="6">
        <v>914.4</v>
      </c>
      <c r="G21" s="6" t="s">
        <v>298</v>
      </c>
      <c r="H21" s="6" t="s">
        <v>129</v>
      </c>
      <c r="I21" s="11">
        <v>44</v>
      </c>
      <c r="J21" s="6">
        <v>44</v>
      </c>
      <c r="K21" s="8"/>
      <c r="L21" s="11">
        <v>44</v>
      </c>
      <c r="M21" s="6">
        <v>44</v>
      </c>
      <c r="N21" s="8"/>
      <c r="O21" s="11">
        <v>44</v>
      </c>
      <c r="P21" s="6">
        <v>40</v>
      </c>
      <c r="Q21" s="8" t="s">
        <v>330</v>
      </c>
      <c r="R21" s="9">
        <f t="shared" si="0"/>
        <v>132</v>
      </c>
      <c r="S21" s="6">
        <f t="shared" si="1"/>
        <v>128</v>
      </c>
    </row>
    <row r="22" spans="2:19" ht="18" x14ac:dyDescent="0.35">
      <c r="B22" s="41"/>
      <c r="C22" s="43"/>
      <c r="D22" s="6" t="s">
        <v>23</v>
      </c>
      <c r="E22" s="6">
        <v>86292</v>
      </c>
      <c r="F22" s="6">
        <v>914.4</v>
      </c>
      <c r="G22" s="6" t="s">
        <v>301</v>
      </c>
      <c r="H22" s="6" t="s">
        <v>129</v>
      </c>
      <c r="I22" s="11">
        <v>44</v>
      </c>
      <c r="J22" s="6">
        <v>44</v>
      </c>
      <c r="K22" s="8"/>
      <c r="L22" s="11">
        <v>44</v>
      </c>
      <c r="M22" s="6">
        <v>44</v>
      </c>
      <c r="N22" s="8"/>
      <c r="O22" s="11">
        <v>44</v>
      </c>
      <c r="P22" s="6">
        <v>0</v>
      </c>
      <c r="Q22" s="8"/>
      <c r="R22" s="9">
        <f t="shared" si="0"/>
        <v>132</v>
      </c>
      <c r="S22" s="6">
        <f t="shared" si="1"/>
        <v>88</v>
      </c>
    </row>
    <row r="23" spans="2:19" ht="18" x14ac:dyDescent="0.35">
      <c r="B23" s="6">
        <v>9</v>
      </c>
      <c r="C23" s="7" t="s">
        <v>34</v>
      </c>
      <c r="D23" s="6" t="s">
        <v>64</v>
      </c>
      <c r="E23" s="6">
        <v>90129</v>
      </c>
      <c r="F23" s="6">
        <v>2540</v>
      </c>
      <c r="G23" s="6" t="s">
        <v>49</v>
      </c>
      <c r="H23" s="6" t="s">
        <v>227</v>
      </c>
      <c r="I23" s="11">
        <v>96</v>
      </c>
      <c r="J23" s="6">
        <v>0</v>
      </c>
      <c r="K23" s="8" t="s">
        <v>318</v>
      </c>
      <c r="L23" s="11">
        <v>96</v>
      </c>
      <c r="M23" s="6">
        <v>90</v>
      </c>
      <c r="N23" s="8"/>
      <c r="O23" s="11">
        <v>96</v>
      </c>
      <c r="P23" s="6">
        <v>52</v>
      </c>
      <c r="Q23" s="8" t="s">
        <v>332</v>
      </c>
      <c r="R23" s="9">
        <f t="shared" si="0"/>
        <v>288</v>
      </c>
      <c r="S23" s="6">
        <f t="shared" si="1"/>
        <v>142</v>
      </c>
    </row>
    <row r="24" spans="2:19" ht="18" x14ac:dyDescent="0.35">
      <c r="B24" s="6">
        <v>10</v>
      </c>
      <c r="C24" s="7" t="s">
        <v>35</v>
      </c>
      <c r="D24" s="6" t="s">
        <v>19</v>
      </c>
      <c r="E24" s="6">
        <v>2122</v>
      </c>
      <c r="F24" s="6">
        <v>796.5</v>
      </c>
      <c r="G24" s="6" t="s">
        <v>138</v>
      </c>
      <c r="H24" s="6" t="s">
        <v>209</v>
      </c>
      <c r="I24" s="11">
        <v>0</v>
      </c>
      <c r="J24" s="6">
        <v>0</v>
      </c>
      <c r="K24" s="8" t="s">
        <v>275</v>
      </c>
      <c r="L24" s="11">
        <v>0</v>
      </c>
      <c r="M24" s="6">
        <v>0</v>
      </c>
      <c r="N24" s="8" t="s">
        <v>275</v>
      </c>
      <c r="O24" s="11">
        <v>0</v>
      </c>
      <c r="P24" s="6">
        <v>0</v>
      </c>
      <c r="Q24" s="8" t="s">
        <v>275</v>
      </c>
      <c r="R24" s="9">
        <f t="shared" si="0"/>
        <v>0</v>
      </c>
      <c r="S24" s="6">
        <f t="shared" si="1"/>
        <v>0</v>
      </c>
    </row>
    <row r="25" spans="2:19" ht="18" x14ac:dyDescent="0.3">
      <c r="K25" s="21"/>
      <c r="L25" s="20"/>
      <c r="Q25" s="8" t="s">
        <v>333</v>
      </c>
    </row>
    <row r="26" spans="2:19" x14ac:dyDescent="0.3">
      <c r="K26" s="22"/>
      <c r="N26" t="s">
        <v>50</v>
      </c>
    </row>
  </sheetData>
  <mergeCells count="10">
    <mergeCell ref="C14:C15"/>
    <mergeCell ref="B21:B22"/>
    <mergeCell ref="C21:C22"/>
    <mergeCell ref="B6:N6"/>
    <mergeCell ref="R6:S6"/>
    <mergeCell ref="I7:K7"/>
    <mergeCell ref="L7:N7"/>
    <mergeCell ref="O7:Q7"/>
    <mergeCell ref="B11:B12"/>
    <mergeCell ref="C11:C1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6:S25"/>
  <sheetViews>
    <sheetView topLeftCell="O7" zoomScale="85" zoomScaleNormal="85" workbookViewId="0">
      <selection activeCell="Q20" sqref="Q20"/>
    </sheetView>
  </sheetViews>
  <sheetFormatPr defaultRowHeight="14.4" x14ac:dyDescent="0.3"/>
  <cols>
    <col min="1" max="1" width="6.33203125" customWidth="1"/>
    <col min="4" max="4" width="16" bestFit="1" customWidth="1"/>
    <col min="6" max="6" width="8.6640625" bestFit="1" customWidth="1"/>
    <col min="7" max="7" width="12.88671875" bestFit="1" customWidth="1"/>
    <col min="8" max="8" width="10.33203125" bestFit="1" customWidth="1"/>
    <col min="11" max="11" width="28.33203125" bestFit="1" customWidth="1"/>
    <col min="14" max="14" width="31.6640625" customWidth="1"/>
    <col min="16" max="16" width="11.33203125" bestFit="1" customWidth="1"/>
    <col min="17" max="17" width="35.6640625" bestFit="1" customWidth="1"/>
    <col min="20" max="20" width="4.33203125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312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x14ac:dyDescent="0.35">
      <c r="B9" s="6">
        <v>1</v>
      </c>
      <c r="C9" s="13" t="s">
        <v>18</v>
      </c>
      <c r="D9" s="14" t="s">
        <v>19</v>
      </c>
      <c r="E9" s="6">
        <v>2191</v>
      </c>
      <c r="F9" s="6">
        <v>489.7</v>
      </c>
      <c r="G9" s="6" t="s">
        <v>20</v>
      </c>
      <c r="H9" s="6" t="s">
        <v>214</v>
      </c>
      <c r="I9" s="11">
        <v>73</v>
      </c>
      <c r="J9" s="6">
        <v>28</v>
      </c>
      <c r="K9" s="8" t="s">
        <v>148</v>
      </c>
      <c r="L9" s="11">
        <v>73</v>
      </c>
      <c r="M9" s="6">
        <v>73</v>
      </c>
      <c r="N9" s="23"/>
      <c r="O9" s="11">
        <v>0</v>
      </c>
      <c r="P9" s="6">
        <v>0</v>
      </c>
      <c r="Q9" s="8" t="s">
        <v>275</v>
      </c>
      <c r="R9" s="9">
        <f t="shared" ref="R9:R23" si="0">I9+L9+O9</f>
        <v>146</v>
      </c>
      <c r="S9" s="6">
        <f>P9+M9+J9</f>
        <v>101</v>
      </c>
    </row>
    <row r="10" spans="2:19" ht="18" x14ac:dyDescent="0.35">
      <c r="B10" s="54">
        <v>2</v>
      </c>
      <c r="C10" s="42" t="s">
        <v>212</v>
      </c>
      <c r="D10" s="6" t="s">
        <v>23</v>
      </c>
      <c r="E10" s="6">
        <v>86292</v>
      </c>
      <c r="F10" s="6">
        <v>914.4</v>
      </c>
      <c r="G10" s="6" t="s">
        <v>61</v>
      </c>
      <c r="H10" s="6" t="s">
        <v>297</v>
      </c>
      <c r="I10" s="11">
        <v>54</v>
      </c>
      <c r="J10" s="6">
        <v>54</v>
      </c>
      <c r="K10" s="8" t="s">
        <v>335</v>
      </c>
      <c r="L10" s="11"/>
      <c r="M10" s="6"/>
      <c r="N10" s="23"/>
      <c r="O10" s="11">
        <v>0</v>
      </c>
      <c r="P10" s="6">
        <v>0</v>
      </c>
      <c r="Q10" s="8"/>
      <c r="R10" s="9">
        <f t="shared" si="0"/>
        <v>54</v>
      </c>
      <c r="S10" s="6">
        <f t="shared" ref="S10:S23" si="1">P10+M10+J10</f>
        <v>54</v>
      </c>
    </row>
    <row r="11" spans="2:19" ht="18.75" hidden="1" customHeight="1" x14ac:dyDescent="0.35">
      <c r="B11" s="54"/>
      <c r="C11" s="53"/>
      <c r="D11" s="6" t="s">
        <v>23</v>
      </c>
      <c r="E11" s="6">
        <v>86292</v>
      </c>
      <c r="F11" s="6">
        <v>914.4</v>
      </c>
      <c r="G11" s="6" t="s">
        <v>61</v>
      </c>
      <c r="H11" s="6" t="s">
        <v>297</v>
      </c>
      <c r="I11" s="11"/>
      <c r="J11" s="6"/>
      <c r="K11" s="8"/>
      <c r="L11" s="11"/>
      <c r="M11" s="6"/>
      <c r="N11" s="23"/>
      <c r="O11" s="11"/>
      <c r="P11" s="6"/>
      <c r="Q11" s="8"/>
      <c r="R11" s="9">
        <f t="shared" si="0"/>
        <v>0</v>
      </c>
      <c r="S11" s="6">
        <f t="shared" si="1"/>
        <v>0</v>
      </c>
    </row>
    <row r="12" spans="2:19" ht="18" x14ac:dyDescent="0.35">
      <c r="B12" s="54"/>
      <c r="C12" s="53"/>
      <c r="D12" s="6" t="s">
        <v>23</v>
      </c>
      <c r="E12" s="6">
        <v>86292</v>
      </c>
      <c r="F12" s="6">
        <v>914.4</v>
      </c>
      <c r="G12" s="6" t="s">
        <v>308</v>
      </c>
      <c r="H12" s="6" t="s">
        <v>293</v>
      </c>
      <c r="I12" s="11"/>
      <c r="J12" s="6"/>
      <c r="K12" s="8"/>
      <c r="L12" s="11">
        <v>36</v>
      </c>
      <c r="M12" s="6">
        <v>28</v>
      </c>
      <c r="N12" s="8" t="s">
        <v>180</v>
      </c>
      <c r="O12" s="11">
        <v>36</v>
      </c>
      <c r="P12" s="6">
        <v>34</v>
      </c>
      <c r="Q12" s="8"/>
      <c r="R12" s="9">
        <f t="shared" si="0"/>
        <v>72</v>
      </c>
      <c r="S12" s="6">
        <f t="shared" si="1"/>
        <v>62</v>
      </c>
    </row>
    <row r="13" spans="2:19" ht="18" x14ac:dyDescent="0.35">
      <c r="B13" s="10">
        <v>3</v>
      </c>
      <c r="C13" s="7" t="s">
        <v>22</v>
      </c>
      <c r="D13" s="6" t="s">
        <v>23</v>
      </c>
      <c r="E13" s="6">
        <v>86292</v>
      </c>
      <c r="F13" s="6">
        <v>914.4</v>
      </c>
      <c r="G13" s="6" t="s">
        <v>308</v>
      </c>
      <c r="H13" s="6" t="s">
        <v>293</v>
      </c>
      <c r="I13" s="11">
        <v>36</v>
      </c>
      <c r="J13" s="6">
        <v>30</v>
      </c>
      <c r="K13" s="8" t="s">
        <v>335</v>
      </c>
      <c r="L13" s="11">
        <v>36</v>
      </c>
      <c r="M13" s="6">
        <v>36</v>
      </c>
      <c r="N13" s="8"/>
      <c r="O13" s="11">
        <v>36</v>
      </c>
      <c r="P13" s="6">
        <v>34</v>
      </c>
      <c r="Q13" s="8"/>
      <c r="R13" s="9">
        <f t="shared" si="0"/>
        <v>108</v>
      </c>
      <c r="S13" s="6">
        <f t="shared" si="1"/>
        <v>100</v>
      </c>
    </row>
    <row r="14" spans="2:19" ht="18" x14ac:dyDescent="0.35">
      <c r="B14" s="6">
        <v>4</v>
      </c>
      <c r="C14" s="7" t="s">
        <v>25</v>
      </c>
      <c r="D14" s="6" t="s">
        <v>302</v>
      </c>
      <c r="E14" s="10">
        <v>2123</v>
      </c>
      <c r="F14" s="6">
        <v>418.2</v>
      </c>
      <c r="G14" s="6" t="s">
        <v>303</v>
      </c>
      <c r="H14" s="6" t="s">
        <v>297</v>
      </c>
      <c r="I14" s="11">
        <v>64</v>
      </c>
      <c r="J14" s="6">
        <v>0</v>
      </c>
      <c r="K14" s="8" t="s">
        <v>148</v>
      </c>
      <c r="L14" s="11">
        <v>64</v>
      </c>
      <c r="M14" s="6">
        <v>64</v>
      </c>
      <c r="N14" s="8"/>
      <c r="O14" s="11">
        <v>64</v>
      </c>
      <c r="P14" s="6">
        <v>30</v>
      </c>
      <c r="Q14" s="8" t="s">
        <v>148</v>
      </c>
      <c r="R14" s="9">
        <f t="shared" si="0"/>
        <v>192</v>
      </c>
      <c r="S14" s="6">
        <f t="shared" si="1"/>
        <v>94</v>
      </c>
    </row>
    <row r="15" spans="2:19" ht="18.75" hidden="1" customHeight="1" x14ac:dyDescent="0.35">
      <c r="B15" s="10">
        <v>5</v>
      </c>
      <c r="C15" s="13" t="s">
        <v>28</v>
      </c>
      <c r="D15" s="24" t="s">
        <v>213</v>
      </c>
      <c r="E15" s="6">
        <v>98812</v>
      </c>
      <c r="F15" s="6">
        <v>292</v>
      </c>
      <c r="G15" s="6" t="s">
        <v>27</v>
      </c>
      <c r="H15" s="6" t="s">
        <v>209</v>
      </c>
      <c r="I15" s="11"/>
      <c r="J15" s="6"/>
      <c r="K15" s="8"/>
      <c r="L15" s="11"/>
      <c r="M15" s="6"/>
      <c r="N15" s="8"/>
      <c r="O15" s="11"/>
      <c r="P15" s="6"/>
      <c r="Q15" s="8"/>
      <c r="R15" s="9">
        <f t="shared" si="0"/>
        <v>0</v>
      </c>
      <c r="S15" s="6">
        <f t="shared" si="1"/>
        <v>0</v>
      </c>
    </row>
    <row r="16" spans="2:19" ht="18" hidden="1" x14ac:dyDescent="0.35">
      <c r="B16" s="10"/>
      <c r="C16" s="17"/>
      <c r="D16" s="6"/>
      <c r="E16" s="10"/>
      <c r="F16" s="6"/>
      <c r="G16" s="6"/>
      <c r="H16" s="6"/>
      <c r="I16" s="11"/>
      <c r="J16" s="6"/>
      <c r="K16" s="8"/>
      <c r="L16" s="11"/>
      <c r="M16" s="6"/>
      <c r="N16" s="8"/>
      <c r="O16" s="11"/>
      <c r="P16" s="6"/>
      <c r="Q16" s="8"/>
      <c r="R16" s="9">
        <f t="shared" si="0"/>
        <v>0</v>
      </c>
      <c r="S16" s="6">
        <f t="shared" si="1"/>
        <v>0</v>
      </c>
    </row>
    <row r="17" spans="2:19" ht="18" x14ac:dyDescent="0.35">
      <c r="B17" s="10">
        <v>5</v>
      </c>
      <c r="C17" s="7" t="s">
        <v>28</v>
      </c>
      <c r="D17" s="6" t="s">
        <v>319</v>
      </c>
      <c r="E17" s="10">
        <v>2123</v>
      </c>
      <c r="F17" s="6">
        <v>428.75</v>
      </c>
      <c r="G17" s="6" t="s">
        <v>303</v>
      </c>
      <c r="H17" s="6" t="s">
        <v>129</v>
      </c>
      <c r="I17" s="11">
        <v>88</v>
      </c>
      <c r="J17" s="6">
        <v>0</v>
      </c>
      <c r="K17" s="8" t="s">
        <v>148</v>
      </c>
      <c r="L17" s="11">
        <v>88</v>
      </c>
      <c r="M17" s="6">
        <v>0</v>
      </c>
      <c r="N17" s="8" t="s">
        <v>148</v>
      </c>
      <c r="O17" s="11">
        <v>88</v>
      </c>
      <c r="P17" s="6">
        <v>0</v>
      </c>
      <c r="Q17" s="8" t="s">
        <v>338</v>
      </c>
      <c r="R17" s="9">
        <f t="shared" si="0"/>
        <v>264</v>
      </c>
      <c r="S17" s="6">
        <f t="shared" si="1"/>
        <v>0</v>
      </c>
    </row>
    <row r="18" spans="2:19" ht="18" x14ac:dyDescent="0.35">
      <c r="B18" s="14">
        <v>6</v>
      </c>
      <c r="C18" s="7" t="s">
        <v>30</v>
      </c>
      <c r="D18" s="6" t="s">
        <v>47</v>
      </c>
      <c r="E18" s="10">
        <v>99719</v>
      </c>
      <c r="F18" s="6">
        <v>1107</v>
      </c>
      <c r="G18" s="6" t="s">
        <v>313</v>
      </c>
      <c r="H18" s="11" t="s">
        <v>226</v>
      </c>
      <c r="I18" s="11">
        <v>110</v>
      </c>
      <c r="J18" s="6">
        <v>0</v>
      </c>
      <c r="K18" s="8" t="s">
        <v>148</v>
      </c>
      <c r="L18" s="11">
        <v>110</v>
      </c>
      <c r="M18" s="6">
        <v>110</v>
      </c>
      <c r="N18" s="8"/>
      <c r="O18" s="11">
        <v>110</v>
      </c>
      <c r="P18" s="6">
        <v>18</v>
      </c>
      <c r="Q18" s="8" t="s">
        <v>338</v>
      </c>
      <c r="R18" s="9">
        <f t="shared" si="0"/>
        <v>330</v>
      </c>
      <c r="S18" s="6">
        <f t="shared" si="1"/>
        <v>128</v>
      </c>
    </row>
    <row r="19" spans="2:19" ht="18" x14ac:dyDescent="0.35">
      <c r="B19" s="14">
        <v>7</v>
      </c>
      <c r="C19" s="13" t="s">
        <v>31</v>
      </c>
      <c r="D19" s="6" t="s">
        <v>23</v>
      </c>
      <c r="E19" s="6">
        <v>86292</v>
      </c>
      <c r="F19" s="6">
        <v>914.4</v>
      </c>
      <c r="G19" s="6" t="s">
        <v>308</v>
      </c>
      <c r="H19" s="6" t="s">
        <v>293</v>
      </c>
      <c r="I19" s="11">
        <v>0</v>
      </c>
      <c r="J19" s="6">
        <v>0</v>
      </c>
      <c r="K19" s="8" t="s">
        <v>334</v>
      </c>
      <c r="L19" s="11">
        <v>0</v>
      </c>
      <c r="M19" s="6">
        <v>0</v>
      </c>
      <c r="N19" s="8" t="s">
        <v>337</v>
      </c>
      <c r="O19" s="11">
        <v>36</v>
      </c>
      <c r="P19" s="6">
        <v>15</v>
      </c>
      <c r="Q19" s="8" t="s">
        <v>45</v>
      </c>
      <c r="R19" s="9">
        <f t="shared" si="0"/>
        <v>36</v>
      </c>
      <c r="S19" s="6">
        <f t="shared" si="1"/>
        <v>15</v>
      </c>
    </row>
    <row r="20" spans="2:19" ht="18" x14ac:dyDescent="0.35">
      <c r="B20" s="40">
        <v>8</v>
      </c>
      <c r="C20" s="42" t="s">
        <v>33</v>
      </c>
      <c r="D20" s="6" t="s">
        <v>23</v>
      </c>
      <c r="E20" s="6">
        <v>86292</v>
      </c>
      <c r="F20" s="6">
        <v>914.4</v>
      </c>
      <c r="G20" s="6" t="s">
        <v>298</v>
      </c>
      <c r="H20" s="6" t="s">
        <v>129</v>
      </c>
      <c r="I20" s="11">
        <v>44</v>
      </c>
      <c r="J20" s="6">
        <v>44</v>
      </c>
      <c r="K20" s="8"/>
      <c r="L20" s="11">
        <v>44</v>
      </c>
      <c r="M20" s="6">
        <v>44</v>
      </c>
      <c r="N20" s="8"/>
      <c r="O20" s="11">
        <v>44</v>
      </c>
      <c r="P20" s="6">
        <v>44</v>
      </c>
      <c r="Q20" s="8"/>
      <c r="R20" s="9">
        <f t="shared" si="0"/>
        <v>132</v>
      </c>
      <c r="S20" s="6">
        <f t="shared" si="1"/>
        <v>132</v>
      </c>
    </row>
    <row r="21" spans="2:19" ht="18" x14ac:dyDescent="0.35">
      <c r="B21" s="41"/>
      <c r="C21" s="43"/>
      <c r="D21" s="6" t="s">
        <v>23</v>
      </c>
      <c r="E21" s="6">
        <v>86292</v>
      </c>
      <c r="F21" s="6">
        <v>914.4</v>
      </c>
      <c r="G21" s="6" t="s">
        <v>301</v>
      </c>
      <c r="H21" s="6" t="s">
        <v>129</v>
      </c>
      <c r="I21" s="11">
        <v>44</v>
      </c>
      <c r="J21" s="6">
        <v>44</v>
      </c>
      <c r="K21" s="8"/>
      <c r="L21" s="11">
        <v>44</v>
      </c>
      <c r="M21" s="6">
        <v>44</v>
      </c>
      <c r="N21" s="8"/>
      <c r="O21" s="11">
        <v>44</v>
      </c>
      <c r="P21" s="6">
        <v>44</v>
      </c>
      <c r="Q21" s="8"/>
      <c r="R21" s="9">
        <f t="shared" si="0"/>
        <v>132</v>
      </c>
      <c r="S21" s="6">
        <f t="shared" si="1"/>
        <v>132</v>
      </c>
    </row>
    <row r="22" spans="2:19" ht="18" x14ac:dyDescent="0.35">
      <c r="B22" s="6">
        <v>9</v>
      </c>
      <c r="C22" s="7" t="s">
        <v>34</v>
      </c>
      <c r="D22" s="6" t="s">
        <v>64</v>
      </c>
      <c r="E22" s="6">
        <v>90129</v>
      </c>
      <c r="F22" s="6">
        <v>2540</v>
      </c>
      <c r="G22" s="6" t="s">
        <v>49</v>
      </c>
      <c r="H22" s="6" t="s">
        <v>227</v>
      </c>
      <c r="I22" s="11">
        <v>124</v>
      </c>
      <c r="J22" s="6">
        <v>92</v>
      </c>
      <c r="K22" s="8" t="s">
        <v>335</v>
      </c>
      <c r="L22" s="11">
        <v>124</v>
      </c>
      <c r="M22" s="6">
        <v>100</v>
      </c>
      <c r="N22" s="8" t="s">
        <v>336</v>
      </c>
      <c r="O22" s="11">
        <v>126</v>
      </c>
      <c r="P22" s="6">
        <v>124</v>
      </c>
      <c r="Q22" s="8"/>
      <c r="R22" s="9">
        <f t="shared" si="0"/>
        <v>374</v>
      </c>
      <c r="S22" s="6">
        <f t="shared" si="1"/>
        <v>316</v>
      </c>
    </row>
    <row r="23" spans="2:19" ht="18" x14ac:dyDescent="0.35">
      <c r="B23" s="6">
        <v>10</v>
      </c>
      <c r="C23" s="7" t="s">
        <v>35</v>
      </c>
      <c r="D23" s="6" t="s">
        <v>19</v>
      </c>
      <c r="E23" s="6">
        <v>2122</v>
      </c>
      <c r="F23" s="6">
        <v>796.5</v>
      </c>
      <c r="G23" s="6" t="s">
        <v>138</v>
      </c>
      <c r="H23" s="6" t="s">
        <v>209</v>
      </c>
      <c r="I23" s="11">
        <v>0</v>
      </c>
      <c r="J23" s="6">
        <v>0</v>
      </c>
      <c r="K23" s="8" t="s">
        <v>275</v>
      </c>
      <c r="L23" s="11">
        <v>0</v>
      </c>
      <c r="M23" s="6">
        <v>0</v>
      </c>
      <c r="N23" s="8" t="s">
        <v>275</v>
      </c>
      <c r="O23" s="11">
        <v>0</v>
      </c>
      <c r="P23" s="6">
        <v>0</v>
      </c>
      <c r="Q23" s="8" t="s">
        <v>275</v>
      </c>
      <c r="R23" s="9">
        <f t="shared" si="0"/>
        <v>0</v>
      </c>
      <c r="S23" s="6">
        <f t="shared" si="1"/>
        <v>0</v>
      </c>
    </row>
    <row r="24" spans="2:19" ht="18" x14ac:dyDescent="0.3">
      <c r="K24" s="21"/>
      <c r="L24" s="20"/>
      <c r="Q24" s="8"/>
    </row>
    <row r="25" spans="2:19" x14ac:dyDescent="0.3">
      <c r="K25" s="22"/>
      <c r="N25" t="s">
        <v>50</v>
      </c>
    </row>
  </sheetData>
  <mergeCells count="9">
    <mergeCell ref="R6:S6"/>
    <mergeCell ref="I7:K7"/>
    <mergeCell ref="L7:N7"/>
    <mergeCell ref="O7:Q7"/>
    <mergeCell ref="B20:B21"/>
    <mergeCell ref="C20:C21"/>
    <mergeCell ref="B10:B12"/>
    <mergeCell ref="C10:C12"/>
    <mergeCell ref="B6:N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5:S19"/>
  <sheetViews>
    <sheetView topLeftCell="D1" zoomScale="80" zoomScaleNormal="80" workbookViewId="0">
      <selection activeCell="B5" sqref="B5:S20"/>
    </sheetView>
  </sheetViews>
  <sheetFormatPr defaultRowHeight="14.4" x14ac:dyDescent="0.3"/>
  <cols>
    <col min="4" max="4" width="14.109375" bestFit="1" customWidth="1"/>
    <col min="5" max="5" width="8.6640625" bestFit="1" customWidth="1"/>
    <col min="6" max="6" width="9.88671875" bestFit="1" customWidth="1"/>
    <col min="7" max="7" width="13.88671875" bestFit="1" customWidth="1"/>
    <col min="11" max="11" width="23" bestFit="1" customWidth="1"/>
    <col min="14" max="14" width="28.88671875" customWidth="1"/>
    <col min="16" max="16" width="12.109375" bestFit="1" customWidth="1"/>
    <col min="17" max="17" width="26.44140625" bestFit="1" customWidth="1"/>
  </cols>
  <sheetData>
    <row r="5" spans="2:19" ht="18" x14ac:dyDescent="0.35">
      <c r="B5" s="44" t="s">
        <v>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  <c r="O5" s="1" t="s">
        <v>1</v>
      </c>
      <c r="P5" s="2" t="s">
        <v>322</v>
      </c>
      <c r="Q5" s="1" t="s">
        <v>2</v>
      </c>
      <c r="R5" s="47"/>
      <c r="S5" s="48"/>
    </row>
    <row r="6" spans="2:19" ht="72" x14ac:dyDescent="0.3">
      <c r="B6" s="4" t="s">
        <v>3</v>
      </c>
      <c r="C6" s="4" t="s">
        <v>4</v>
      </c>
      <c r="D6" s="4" t="s">
        <v>5</v>
      </c>
      <c r="E6" s="5" t="s">
        <v>6</v>
      </c>
      <c r="F6" s="4" t="s">
        <v>7</v>
      </c>
      <c r="G6" s="4" t="s">
        <v>8</v>
      </c>
      <c r="H6" s="5"/>
      <c r="I6" s="49" t="s">
        <v>9</v>
      </c>
      <c r="J6" s="50"/>
      <c r="K6" s="51"/>
      <c r="L6" s="49" t="s">
        <v>10</v>
      </c>
      <c r="M6" s="50"/>
      <c r="N6" s="51"/>
      <c r="O6" s="49" t="s">
        <v>11</v>
      </c>
      <c r="P6" s="50"/>
      <c r="Q6" s="51"/>
      <c r="R6" s="4" t="s">
        <v>12</v>
      </c>
      <c r="S6" s="4" t="s">
        <v>13</v>
      </c>
    </row>
    <row r="7" spans="2:19" ht="18" x14ac:dyDescent="0.3">
      <c r="B7" s="3"/>
      <c r="C7" s="4"/>
      <c r="D7" s="4"/>
      <c r="E7" s="5"/>
      <c r="F7" s="4"/>
      <c r="G7" s="4"/>
      <c r="H7" s="5" t="s">
        <v>14</v>
      </c>
      <c r="I7" s="5" t="s">
        <v>15</v>
      </c>
      <c r="J7" s="5" t="s">
        <v>16</v>
      </c>
      <c r="K7" s="5" t="s">
        <v>17</v>
      </c>
      <c r="L7" s="5" t="s">
        <v>15</v>
      </c>
      <c r="M7" s="5" t="s">
        <v>16</v>
      </c>
      <c r="N7" s="5" t="s">
        <v>17</v>
      </c>
      <c r="O7" s="5" t="s">
        <v>15</v>
      </c>
      <c r="P7" s="5" t="s">
        <v>16</v>
      </c>
      <c r="Q7" s="5" t="s">
        <v>17</v>
      </c>
      <c r="R7" s="9" t="s">
        <v>50</v>
      </c>
      <c r="S7" s="6"/>
    </row>
    <row r="8" spans="2:19" ht="18" x14ac:dyDescent="0.35">
      <c r="B8" s="6">
        <v>1</v>
      </c>
      <c r="C8" s="13" t="s">
        <v>18</v>
      </c>
      <c r="D8" s="14" t="s">
        <v>19</v>
      </c>
      <c r="E8" s="6">
        <v>2191</v>
      </c>
      <c r="F8" s="6">
        <v>489.7</v>
      </c>
      <c r="G8" s="6" t="s">
        <v>20</v>
      </c>
      <c r="H8" s="6" t="s">
        <v>214</v>
      </c>
      <c r="I8" s="11">
        <v>73</v>
      </c>
      <c r="J8" s="6">
        <v>73</v>
      </c>
      <c r="K8" s="8"/>
      <c r="L8" s="11">
        <v>73</v>
      </c>
      <c r="M8" s="6">
        <v>69</v>
      </c>
      <c r="N8" s="23" t="s">
        <v>321</v>
      </c>
      <c r="O8" s="11">
        <v>20</v>
      </c>
      <c r="P8" s="6">
        <v>20</v>
      </c>
      <c r="Q8" s="8" t="s">
        <v>321</v>
      </c>
      <c r="R8" s="9">
        <f>O8+L8+I8</f>
        <v>166</v>
      </c>
      <c r="S8" s="6">
        <f>P8+M8+J8</f>
        <v>162</v>
      </c>
    </row>
    <row r="9" spans="2:19" ht="18" x14ac:dyDescent="0.35">
      <c r="B9" s="40">
        <v>2</v>
      </c>
      <c r="C9" s="42" t="s">
        <v>212</v>
      </c>
      <c r="D9" s="6" t="s">
        <v>23</v>
      </c>
      <c r="E9" s="6">
        <v>86292</v>
      </c>
      <c r="F9" s="6">
        <v>914.4</v>
      </c>
      <c r="G9" s="6" t="s">
        <v>308</v>
      </c>
      <c r="H9" s="6" t="s">
        <v>293</v>
      </c>
      <c r="I9" s="11">
        <v>36</v>
      </c>
      <c r="J9" s="6">
        <v>26</v>
      </c>
      <c r="K9" s="8"/>
      <c r="L9" s="11">
        <v>36</v>
      </c>
      <c r="M9" s="6">
        <v>36</v>
      </c>
      <c r="N9" s="23"/>
      <c r="O9" s="11">
        <v>12</v>
      </c>
      <c r="P9" s="6">
        <v>12</v>
      </c>
      <c r="Q9" s="8" t="s">
        <v>177</v>
      </c>
      <c r="R9" s="9">
        <f t="shared" ref="R9:R19" si="0">O9+L9+I9</f>
        <v>84</v>
      </c>
      <c r="S9" s="6">
        <f t="shared" ref="S9:S19" si="1">P9+M9+J9</f>
        <v>74</v>
      </c>
    </row>
    <row r="10" spans="2:19" ht="18" x14ac:dyDescent="0.35">
      <c r="B10" s="41"/>
      <c r="C10" s="43"/>
      <c r="D10" s="6" t="s">
        <v>23</v>
      </c>
      <c r="E10" s="6">
        <v>86292</v>
      </c>
      <c r="F10" s="6">
        <v>914.4</v>
      </c>
      <c r="G10" s="6" t="s">
        <v>324</v>
      </c>
      <c r="H10" s="6" t="s">
        <v>203</v>
      </c>
      <c r="I10" s="11" t="s">
        <v>50</v>
      </c>
      <c r="J10" s="6" t="s">
        <v>50</v>
      </c>
      <c r="K10" s="8"/>
      <c r="L10" s="11"/>
      <c r="M10" s="6"/>
      <c r="N10" s="23"/>
      <c r="O10" s="11">
        <v>10</v>
      </c>
      <c r="P10" s="6">
        <v>4</v>
      </c>
      <c r="Q10" s="8" t="s">
        <v>325</v>
      </c>
      <c r="R10" s="9"/>
      <c r="S10" s="6"/>
    </row>
    <row r="11" spans="2:19" ht="18" x14ac:dyDescent="0.35">
      <c r="B11" s="14">
        <v>3</v>
      </c>
      <c r="C11" s="25" t="s">
        <v>77</v>
      </c>
      <c r="D11" s="6" t="s">
        <v>23</v>
      </c>
      <c r="E11" s="6">
        <v>86292</v>
      </c>
      <c r="F11" s="6">
        <v>914.4</v>
      </c>
      <c r="G11" s="6" t="s">
        <v>61</v>
      </c>
      <c r="H11" s="6" t="s">
        <v>293</v>
      </c>
      <c r="I11" s="11">
        <v>36</v>
      </c>
      <c r="J11" s="6">
        <v>27</v>
      </c>
      <c r="K11" s="8"/>
      <c r="L11" s="11">
        <v>36</v>
      </c>
      <c r="M11" s="6">
        <v>36</v>
      </c>
      <c r="N11" s="23"/>
      <c r="O11" s="11">
        <v>36</v>
      </c>
      <c r="P11" s="6">
        <v>33</v>
      </c>
      <c r="Q11" s="8"/>
      <c r="R11" s="9">
        <f t="shared" si="0"/>
        <v>108</v>
      </c>
      <c r="S11" s="6">
        <f t="shared" si="1"/>
        <v>96</v>
      </c>
    </row>
    <row r="12" spans="2:19" ht="18" x14ac:dyDescent="0.35">
      <c r="B12" s="6">
        <v>4</v>
      </c>
      <c r="C12" s="7" t="s">
        <v>25</v>
      </c>
      <c r="D12" s="6" t="s">
        <v>302</v>
      </c>
      <c r="E12" s="10">
        <v>2123</v>
      </c>
      <c r="F12" s="6">
        <v>418.2</v>
      </c>
      <c r="G12" s="6" t="s">
        <v>303</v>
      </c>
      <c r="H12" s="6" t="s">
        <v>297</v>
      </c>
      <c r="I12" s="11"/>
      <c r="J12" s="6"/>
      <c r="K12" s="8" t="s">
        <v>320</v>
      </c>
      <c r="L12" s="11">
        <v>18</v>
      </c>
      <c r="M12" s="6">
        <v>18</v>
      </c>
      <c r="N12" s="8" t="s">
        <v>323</v>
      </c>
      <c r="O12" s="11"/>
      <c r="P12" s="6"/>
      <c r="Q12" s="8" t="s">
        <v>210</v>
      </c>
      <c r="R12" s="9">
        <f t="shared" si="0"/>
        <v>18</v>
      </c>
      <c r="S12" s="6">
        <f t="shared" si="1"/>
        <v>18</v>
      </c>
    </row>
    <row r="13" spans="2:19" ht="18" x14ac:dyDescent="0.35">
      <c r="B13" s="10">
        <v>5</v>
      </c>
      <c r="C13" s="7" t="s">
        <v>28</v>
      </c>
      <c r="D13" s="6" t="s">
        <v>319</v>
      </c>
      <c r="E13" s="10">
        <v>2123</v>
      </c>
      <c r="F13" s="6">
        <v>428.75</v>
      </c>
      <c r="G13" s="6" t="s">
        <v>303</v>
      </c>
      <c r="H13" s="6" t="s">
        <v>129</v>
      </c>
      <c r="I13" s="11"/>
      <c r="J13" s="6"/>
      <c r="K13" s="8"/>
      <c r="L13" s="11">
        <v>50</v>
      </c>
      <c r="M13" s="6">
        <v>50</v>
      </c>
      <c r="N13" s="8" t="s">
        <v>323</v>
      </c>
      <c r="O13" s="11"/>
      <c r="P13" s="6"/>
      <c r="Q13" s="8" t="s">
        <v>326</v>
      </c>
      <c r="R13" s="9">
        <f t="shared" si="0"/>
        <v>50</v>
      </c>
      <c r="S13" s="6">
        <f t="shared" si="1"/>
        <v>50</v>
      </c>
    </row>
    <row r="14" spans="2:19" ht="18" x14ac:dyDescent="0.35">
      <c r="B14" s="6">
        <v>6</v>
      </c>
      <c r="C14" s="7" t="s">
        <v>30</v>
      </c>
      <c r="D14" s="6" t="s">
        <v>47</v>
      </c>
      <c r="E14" s="10">
        <v>99719</v>
      </c>
      <c r="F14" s="6">
        <v>1107</v>
      </c>
      <c r="G14" s="6" t="s">
        <v>61</v>
      </c>
      <c r="H14" s="11" t="s">
        <v>129</v>
      </c>
      <c r="I14" s="11">
        <v>88</v>
      </c>
      <c r="J14" s="6">
        <v>88</v>
      </c>
      <c r="K14" s="8"/>
      <c r="L14" s="11">
        <v>88</v>
      </c>
      <c r="M14" s="6">
        <v>88</v>
      </c>
      <c r="N14" s="8"/>
      <c r="O14" s="11">
        <v>88</v>
      </c>
      <c r="P14" s="6">
        <v>88</v>
      </c>
      <c r="Q14" s="8"/>
      <c r="R14" s="9">
        <f t="shared" si="0"/>
        <v>264</v>
      </c>
      <c r="S14" s="6">
        <f t="shared" si="1"/>
        <v>264</v>
      </c>
    </row>
    <row r="15" spans="2:19" ht="18" x14ac:dyDescent="0.35">
      <c r="B15" s="14">
        <v>7</v>
      </c>
      <c r="C15" s="13" t="s">
        <v>31</v>
      </c>
      <c r="D15" s="6" t="s">
        <v>23</v>
      </c>
      <c r="E15" s="6">
        <v>86292</v>
      </c>
      <c r="F15" s="6">
        <v>914.4</v>
      </c>
      <c r="G15" s="6" t="s">
        <v>308</v>
      </c>
      <c r="H15" s="6" t="s">
        <v>293</v>
      </c>
      <c r="I15" s="11">
        <v>36</v>
      </c>
      <c r="J15" s="6">
        <v>28</v>
      </c>
      <c r="K15" s="8"/>
      <c r="L15" s="11">
        <v>36</v>
      </c>
      <c r="M15" s="6">
        <v>36</v>
      </c>
      <c r="N15" s="8"/>
      <c r="O15" s="11">
        <v>36</v>
      </c>
      <c r="P15" s="6">
        <v>27</v>
      </c>
      <c r="Q15" s="8" t="s">
        <v>254</v>
      </c>
      <c r="R15" s="9">
        <f t="shared" si="0"/>
        <v>108</v>
      </c>
      <c r="S15" s="6">
        <f t="shared" si="1"/>
        <v>91</v>
      </c>
    </row>
    <row r="16" spans="2:19" ht="18" x14ac:dyDescent="0.35">
      <c r="B16" s="40">
        <v>8</v>
      </c>
      <c r="C16" s="42" t="s">
        <v>33</v>
      </c>
      <c r="D16" s="6" t="s">
        <v>23</v>
      </c>
      <c r="E16" s="6">
        <v>86292</v>
      </c>
      <c r="F16" s="6">
        <v>914.4</v>
      </c>
      <c r="G16" s="6" t="s">
        <v>298</v>
      </c>
      <c r="H16" s="6" t="s">
        <v>129</v>
      </c>
      <c r="I16" s="11">
        <v>44</v>
      </c>
      <c r="J16" s="6">
        <v>44</v>
      </c>
      <c r="K16" s="8"/>
      <c r="L16" s="11">
        <v>44</v>
      </c>
      <c r="M16" s="6">
        <v>44</v>
      </c>
      <c r="N16" s="8"/>
      <c r="O16" s="11">
        <v>63</v>
      </c>
      <c r="P16" s="6">
        <v>63</v>
      </c>
      <c r="Q16" s="8"/>
      <c r="R16" s="9">
        <f t="shared" si="0"/>
        <v>151</v>
      </c>
      <c r="S16" s="6">
        <f t="shared" si="1"/>
        <v>151</v>
      </c>
    </row>
    <row r="17" spans="2:19" ht="18" x14ac:dyDescent="0.35">
      <c r="B17" s="41"/>
      <c r="C17" s="43"/>
      <c r="D17" s="6" t="s">
        <v>23</v>
      </c>
      <c r="E17" s="6">
        <v>86292</v>
      </c>
      <c r="F17" s="6">
        <v>914.4</v>
      </c>
      <c r="G17" s="6" t="s">
        <v>301</v>
      </c>
      <c r="H17" s="6" t="s">
        <v>129</v>
      </c>
      <c r="I17" s="11">
        <v>44</v>
      </c>
      <c r="J17" s="6">
        <v>44</v>
      </c>
      <c r="K17" s="8"/>
      <c r="L17" s="11">
        <v>44</v>
      </c>
      <c r="M17" s="6">
        <v>44</v>
      </c>
      <c r="N17" s="8"/>
      <c r="O17" s="11">
        <v>25</v>
      </c>
      <c r="P17" s="6">
        <v>25</v>
      </c>
      <c r="Q17" s="8"/>
      <c r="R17" s="9">
        <f t="shared" si="0"/>
        <v>113</v>
      </c>
      <c r="S17" s="6">
        <f t="shared" si="1"/>
        <v>113</v>
      </c>
    </row>
    <row r="18" spans="2:19" ht="18" x14ac:dyDescent="0.35">
      <c r="B18" s="6">
        <v>9</v>
      </c>
      <c r="C18" s="7" t="s">
        <v>34</v>
      </c>
      <c r="D18" s="6" t="s">
        <v>64</v>
      </c>
      <c r="E18" s="6">
        <v>90129</v>
      </c>
      <c r="F18" s="6">
        <v>2540</v>
      </c>
      <c r="G18" s="6" t="s">
        <v>49</v>
      </c>
      <c r="H18" s="6" t="s">
        <v>227</v>
      </c>
      <c r="I18" s="11">
        <v>124</v>
      </c>
      <c r="J18" s="6">
        <v>124</v>
      </c>
      <c r="K18" s="8"/>
      <c r="L18" s="11">
        <v>124</v>
      </c>
      <c r="M18" s="6">
        <v>124</v>
      </c>
      <c r="N18" s="8" t="s">
        <v>50</v>
      </c>
      <c r="O18" s="11">
        <v>124</v>
      </c>
      <c r="P18" s="6">
        <v>124</v>
      </c>
      <c r="Q18" s="8"/>
      <c r="R18" s="9">
        <f t="shared" si="0"/>
        <v>372</v>
      </c>
      <c r="S18" s="6">
        <f t="shared" si="1"/>
        <v>372</v>
      </c>
    </row>
    <row r="19" spans="2:19" ht="18" x14ac:dyDescent="0.35">
      <c r="B19" s="6">
        <v>10</v>
      </c>
      <c r="C19" s="7" t="s">
        <v>35</v>
      </c>
      <c r="D19" s="6" t="s">
        <v>19</v>
      </c>
      <c r="E19" s="6">
        <v>2122</v>
      </c>
      <c r="F19" s="6">
        <v>796.5</v>
      </c>
      <c r="G19" s="6" t="s">
        <v>138</v>
      </c>
      <c r="H19" s="6" t="s">
        <v>209</v>
      </c>
      <c r="I19" s="11">
        <v>0</v>
      </c>
      <c r="J19" s="6">
        <v>0</v>
      </c>
      <c r="K19" s="8" t="s">
        <v>321</v>
      </c>
      <c r="L19" s="11">
        <v>0</v>
      </c>
      <c r="M19" s="6">
        <v>0</v>
      </c>
      <c r="N19" s="8" t="s">
        <v>321</v>
      </c>
      <c r="O19" s="11">
        <v>0</v>
      </c>
      <c r="P19" s="6">
        <v>0</v>
      </c>
      <c r="Q19" s="8" t="s">
        <v>321</v>
      </c>
      <c r="R19" s="9">
        <f t="shared" si="0"/>
        <v>0</v>
      </c>
      <c r="S19" s="6">
        <f t="shared" si="1"/>
        <v>0</v>
      </c>
    </row>
  </sheetData>
  <mergeCells count="9">
    <mergeCell ref="R5:S5"/>
    <mergeCell ref="I6:K6"/>
    <mergeCell ref="L6:N6"/>
    <mergeCell ref="O6:Q6"/>
    <mergeCell ref="B16:B17"/>
    <mergeCell ref="C16:C17"/>
    <mergeCell ref="C9:C10"/>
    <mergeCell ref="B9:B10"/>
    <mergeCell ref="B5:N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5:S20"/>
  <sheetViews>
    <sheetView zoomScale="70" zoomScaleNormal="70" workbookViewId="0">
      <selection activeCell="B5" sqref="B5:S22"/>
    </sheetView>
  </sheetViews>
  <sheetFormatPr defaultRowHeight="14.4" x14ac:dyDescent="0.3"/>
  <cols>
    <col min="3" max="3" width="11.33203125" customWidth="1"/>
    <col min="4" max="4" width="14" customWidth="1"/>
    <col min="7" max="7" width="17.6640625" customWidth="1"/>
    <col min="11" max="11" width="21.6640625" customWidth="1"/>
    <col min="14" max="14" width="26.5546875" customWidth="1"/>
    <col min="16" max="16" width="9.109375" customWidth="1"/>
    <col min="17" max="17" width="29.109375" customWidth="1"/>
    <col min="20" max="20" width="4.33203125" customWidth="1"/>
  </cols>
  <sheetData>
    <row r="5" spans="2:19" ht="18" x14ac:dyDescent="0.35">
      <c r="B5" s="26" t="s">
        <v>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8"/>
      <c r="O5" s="1" t="s">
        <v>1</v>
      </c>
      <c r="P5" s="2" t="s">
        <v>327</v>
      </c>
      <c r="Q5" s="1" t="s">
        <v>2</v>
      </c>
      <c r="R5" s="29"/>
      <c r="S5" s="30"/>
    </row>
    <row r="6" spans="2:19" ht="75" customHeight="1" x14ac:dyDescent="0.3">
      <c r="B6" s="4" t="s">
        <v>3</v>
      </c>
      <c r="C6" s="4" t="s">
        <v>4</v>
      </c>
      <c r="D6" s="4" t="s">
        <v>5</v>
      </c>
      <c r="E6" s="5" t="s">
        <v>6</v>
      </c>
      <c r="F6" s="4" t="s">
        <v>7</v>
      </c>
      <c r="G6" s="4" t="s">
        <v>8</v>
      </c>
      <c r="H6" s="5"/>
      <c r="I6" s="31" t="s">
        <v>9</v>
      </c>
      <c r="J6" s="32"/>
      <c r="K6" s="33"/>
      <c r="L6" s="31" t="s">
        <v>10</v>
      </c>
      <c r="M6" s="32"/>
      <c r="N6" s="33"/>
      <c r="O6" s="31" t="s">
        <v>11</v>
      </c>
      <c r="P6" s="32"/>
      <c r="Q6" s="33"/>
      <c r="R6" s="4" t="s">
        <v>12</v>
      </c>
      <c r="S6" s="4" t="s">
        <v>13</v>
      </c>
    </row>
    <row r="7" spans="2:19" ht="18" x14ac:dyDescent="0.3">
      <c r="B7" s="3"/>
      <c r="C7" s="4"/>
      <c r="D7" s="4"/>
      <c r="E7" s="5"/>
      <c r="F7" s="4"/>
      <c r="G7" s="4"/>
      <c r="H7" s="5" t="s">
        <v>14</v>
      </c>
      <c r="I7" s="5" t="s">
        <v>15</v>
      </c>
      <c r="J7" s="5" t="s">
        <v>16</v>
      </c>
      <c r="K7" s="5" t="s">
        <v>17</v>
      </c>
      <c r="L7" s="5" t="s">
        <v>15</v>
      </c>
      <c r="M7" s="5" t="s">
        <v>16</v>
      </c>
      <c r="N7" s="5" t="s">
        <v>17</v>
      </c>
      <c r="O7" s="5" t="s">
        <v>15</v>
      </c>
      <c r="P7" s="5" t="s">
        <v>16</v>
      </c>
      <c r="Q7" s="5" t="s">
        <v>17</v>
      </c>
      <c r="R7" s="9" t="s">
        <v>50</v>
      </c>
      <c r="S7" s="6"/>
    </row>
    <row r="8" spans="2:19" ht="18" x14ac:dyDescent="0.35">
      <c r="B8" s="6">
        <v>1</v>
      </c>
      <c r="C8" s="13" t="s">
        <v>18</v>
      </c>
      <c r="D8" s="14" t="s">
        <v>23</v>
      </c>
      <c r="E8" s="6">
        <v>86290</v>
      </c>
      <c r="F8" s="6">
        <v>914.14</v>
      </c>
      <c r="G8" s="6" t="s">
        <v>328</v>
      </c>
      <c r="H8" s="6" t="s">
        <v>226</v>
      </c>
      <c r="I8" s="11">
        <v>0</v>
      </c>
      <c r="J8" s="6">
        <v>0</v>
      </c>
      <c r="K8" s="8" t="s">
        <v>321</v>
      </c>
      <c r="L8" s="11">
        <v>110</v>
      </c>
      <c r="M8" s="6">
        <v>70</v>
      </c>
      <c r="N8" s="8" t="s">
        <v>287</v>
      </c>
      <c r="O8" s="11">
        <v>110</v>
      </c>
      <c r="P8" s="6">
        <v>89</v>
      </c>
      <c r="Q8" s="8" t="s">
        <v>345</v>
      </c>
      <c r="R8" s="9">
        <f>O8+L8+I8</f>
        <v>220</v>
      </c>
      <c r="S8" s="6">
        <f>P8+M8+J8</f>
        <v>159</v>
      </c>
    </row>
    <row r="9" spans="2:19" ht="18.75" hidden="1" customHeight="1" x14ac:dyDescent="0.35">
      <c r="B9" s="14">
        <v>2</v>
      </c>
      <c r="C9" s="13" t="s">
        <v>212</v>
      </c>
      <c r="D9" s="6" t="s">
        <v>23</v>
      </c>
      <c r="E9" s="6">
        <v>86292</v>
      </c>
      <c r="F9" s="6">
        <v>914.4</v>
      </c>
      <c r="G9" s="6" t="s">
        <v>308</v>
      </c>
      <c r="H9" s="6" t="s">
        <v>293</v>
      </c>
      <c r="I9" s="11">
        <v>36</v>
      </c>
      <c r="J9" s="6">
        <v>26</v>
      </c>
      <c r="K9" s="8"/>
      <c r="L9" s="11">
        <v>36</v>
      </c>
      <c r="M9" s="6"/>
      <c r="N9" s="8"/>
      <c r="O9" s="11">
        <v>36</v>
      </c>
      <c r="P9" s="6"/>
      <c r="Q9" s="23"/>
      <c r="R9" s="9">
        <f t="shared" ref="R9:R20" si="0">O9+L9+I9</f>
        <v>108</v>
      </c>
      <c r="S9" s="6">
        <f t="shared" ref="S9:S20" si="1">P9+M9+J9</f>
        <v>26</v>
      </c>
    </row>
    <row r="10" spans="2:19" ht="18" x14ac:dyDescent="0.35">
      <c r="B10" s="16"/>
      <c r="C10" s="12"/>
      <c r="D10" s="6" t="s">
        <v>23</v>
      </c>
      <c r="E10" s="6">
        <v>86292</v>
      </c>
      <c r="F10" s="6">
        <v>914.4</v>
      </c>
      <c r="G10" s="6" t="s">
        <v>324</v>
      </c>
      <c r="H10" s="6" t="s">
        <v>297</v>
      </c>
      <c r="I10" s="11">
        <v>64</v>
      </c>
      <c r="J10" s="6">
        <v>64</v>
      </c>
      <c r="K10" s="8"/>
      <c r="L10" s="11">
        <v>64</v>
      </c>
      <c r="M10" s="6">
        <v>64</v>
      </c>
      <c r="N10" s="8"/>
      <c r="O10" s="11">
        <v>0</v>
      </c>
      <c r="P10" s="6">
        <v>0</v>
      </c>
      <c r="Q10" s="23"/>
      <c r="R10" s="9">
        <f t="shared" si="0"/>
        <v>128</v>
      </c>
      <c r="S10" s="6">
        <f t="shared" si="1"/>
        <v>128</v>
      </c>
    </row>
    <row r="11" spans="2:19" ht="18" x14ac:dyDescent="0.35">
      <c r="B11" s="10"/>
      <c r="C11" s="17"/>
      <c r="D11" s="6" t="s">
        <v>23</v>
      </c>
      <c r="E11" s="6">
        <v>86292</v>
      </c>
      <c r="F11" s="6">
        <v>914.4</v>
      </c>
      <c r="G11" s="6" t="s">
        <v>298</v>
      </c>
      <c r="H11" s="6" t="s">
        <v>129</v>
      </c>
      <c r="I11" s="11">
        <v>0</v>
      </c>
      <c r="J11" s="6">
        <v>0</v>
      </c>
      <c r="K11" s="8"/>
      <c r="L11" s="11">
        <v>0</v>
      </c>
      <c r="M11" s="6">
        <v>0</v>
      </c>
      <c r="N11" s="8"/>
      <c r="O11" s="11">
        <v>88</v>
      </c>
      <c r="P11" s="6">
        <v>27</v>
      </c>
      <c r="Q11" s="8" t="s">
        <v>287</v>
      </c>
      <c r="R11" s="9"/>
      <c r="S11" s="6"/>
    </row>
    <row r="12" spans="2:19" ht="18" x14ac:dyDescent="0.35">
      <c r="B12" s="14">
        <v>3</v>
      </c>
      <c r="C12" s="13" t="s">
        <v>77</v>
      </c>
      <c r="D12" s="6" t="s">
        <v>23</v>
      </c>
      <c r="E12" s="6">
        <v>86292</v>
      </c>
      <c r="F12" s="6">
        <v>914.4</v>
      </c>
      <c r="G12" s="6" t="s">
        <v>328</v>
      </c>
      <c r="H12" s="6" t="s">
        <v>293</v>
      </c>
      <c r="I12" s="11">
        <v>36</v>
      </c>
      <c r="J12" s="6">
        <v>36</v>
      </c>
      <c r="K12" s="8"/>
      <c r="L12" s="11">
        <v>36</v>
      </c>
      <c r="M12" s="6">
        <v>34</v>
      </c>
      <c r="N12" s="8"/>
      <c r="O12" s="11">
        <v>36</v>
      </c>
      <c r="P12" s="6">
        <v>36</v>
      </c>
      <c r="Q12" s="23"/>
      <c r="R12" s="9">
        <f t="shared" si="0"/>
        <v>108</v>
      </c>
      <c r="S12" s="6">
        <f t="shared" si="1"/>
        <v>106</v>
      </c>
    </row>
    <row r="13" spans="2:19" ht="18" x14ac:dyDescent="0.35">
      <c r="B13" s="6">
        <v>4</v>
      </c>
      <c r="C13" s="7" t="s">
        <v>25</v>
      </c>
      <c r="D13" s="6" t="s">
        <v>302</v>
      </c>
      <c r="E13" s="10">
        <v>2123</v>
      </c>
      <c r="F13" s="6">
        <v>418.2</v>
      </c>
      <c r="G13" s="6" t="s">
        <v>303</v>
      </c>
      <c r="H13" s="6" t="s">
        <v>297</v>
      </c>
      <c r="I13" s="11">
        <v>0</v>
      </c>
      <c r="J13" s="6">
        <v>0</v>
      </c>
      <c r="K13" s="8" t="s">
        <v>321</v>
      </c>
      <c r="L13" s="11">
        <v>0</v>
      </c>
      <c r="M13" s="6">
        <v>0</v>
      </c>
      <c r="N13" s="8" t="s">
        <v>321</v>
      </c>
      <c r="O13" s="11">
        <v>0</v>
      </c>
      <c r="P13" s="6">
        <v>0</v>
      </c>
      <c r="Q13" s="8" t="s">
        <v>321</v>
      </c>
      <c r="R13" s="9">
        <f t="shared" si="0"/>
        <v>0</v>
      </c>
      <c r="S13" s="6">
        <f t="shared" si="1"/>
        <v>0</v>
      </c>
    </row>
    <row r="14" spans="2:19" ht="18" x14ac:dyDescent="0.35">
      <c r="B14" s="10">
        <v>5</v>
      </c>
      <c r="C14" s="7" t="s">
        <v>28</v>
      </c>
      <c r="D14" s="6" t="s">
        <v>319</v>
      </c>
      <c r="E14" s="10">
        <v>2123</v>
      </c>
      <c r="F14" s="6">
        <v>428.75</v>
      </c>
      <c r="G14" s="6" t="s">
        <v>303</v>
      </c>
      <c r="H14" s="6" t="s">
        <v>129</v>
      </c>
      <c r="I14" s="11">
        <v>0</v>
      </c>
      <c r="J14" s="6">
        <v>0</v>
      </c>
      <c r="K14" s="8" t="s">
        <v>329</v>
      </c>
      <c r="L14" s="11">
        <v>0</v>
      </c>
      <c r="M14" s="6">
        <v>0</v>
      </c>
      <c r="N14" s="8" t="s">
        <v>329</v>
      </c>
      <c r="O14" s="11">
        <v>0</v>
      </c>
      <c r="P14" s="6">
        <v>0</v>
      </c>
      <c r="Q14" s="8" t="s">
        <v>329</v>
      </c>
      <c r="R14" s="9">
        <f t="shared" si="0"/>
        <v>0</v>
      </c>
      <c r="S14" s="6">
        <f t="shared" si="1"/>
        <v>0</v>
      </c>
    </row>
    <row r="15" spans="2:19" ht="18" x14ac:dyDescent="0.35">
      <c r="B15" s="6">
        <v>6</v>
      </c>
      <c r="C15" s="7" t="s">
        <v>30</v>
      </c>
      <c r="D15" s="6" t="s">
        <v>47</v>
      </c>
      <c r="E15" s="10">
        <v>99719</v>
      </c>
      <c r="F15" s="6">
        <v>1107</v>
      </c>
      <c r="G15" s="6" t="s">
        <v>61</v>
      </c>
      <c r="H15" s="11" t="s">
        <v>129</v>
      </c>
      <c r="I15" s="11">
        <v>88</v>
      </c>
      <c r="J15" s="6">
        <v>88</v>
      </c>
      <c r="K15" s="8"/>
      <c r="L15" s="11">
        <v>0</v>
      </c>
      <c r="M15" s="6">
        <v>0</v>
      </c>
      <c r="N15" s="8" t="s">
        <v>148</v>
      </c>
      <c r="O15" s="11">
        <v>88</v>
      </c>
      <c r="P15" s="6">
        <v>88</v>
      </c>
      <c r="Q15" s="8"/>
      <c r="R15" s="9">
        <f t="shared" si="0"/>
        <v>176</v>
      </c>
      <c r="S15" s="6">
        <f t="shared" si="1"/>
        <v>176</v>
      </c>
    </row>
    <row r="16" spans="2:19" ht="18" x14ac:dyDescent="0.35">
      <c r="B16" s="6">
        <v>7</v>
      </c>
      <c r="C16" s="7" t="s">
        <v>31</v>
      </c>
      <c r="D16" s="6" t="s">
        <v>23</v>
      </c>
      <c r="E16" s="6">
        <v>86292</v>
      </c>
      <c r="F16" s="6">
        <v>914.4</v>
      </c>
      <c r="G16" s="6" t="s">
        <v>308</v>
      </c>
      <c r="H16" s="6" t="s">
        <v>293</v>
      </c>
      <c r="I16" s="11">
        <v>36</v>
      </c>
      <c r="J16" s="6">
        <v>36</v>
      </c>
      <c r="K16" s="8"/>
      <c r="L16" s="11">
        <v>36</v>
      </c>
      <c r="M16" s="6">
        <v>32</v>
      </c>
      <c r="N16" s="8" t="s">
        <v>339</v>
      </c>
      <c r="O16" s="11">
        <v>36</v>
      </c>
      <c r="P16" s="6">
        <v>31</v>
      </c>
      <c r="Q16" s="8" t="s">
        <v>150</v>
      </c>
      <c r="R16" s="9">
        <f t="shared" si="0"/>
        <v>108</v>
      </c>
      <c r="S16" s="6">
        <f t="shared" si="1"/>
        <v>99</v>
      </c>
    </row>
    <row r="17" spans="2:19" ht="18.75" hidden="1" customHeight="1" x14ac:dyDescent="0.35">
      <c r="B17" s="14">
        <v>8</v>
      </c>
      <c r="C17" s="13" t="s">
        <v>33</v>
      </c>
      <c r="D17" s="6" t="s">
        <v>23</v>
      </c>
      <c r="E17" s="6">
        <v>86292</v>
      </c>
      <c r="F17" s="6">
        <v>914.4</v>
      </c>
      <c r="G17" s="6" t="s">
        <v>298</v>
      </c>
      <c r="H17" s="6" t="s">
        <v>129</v>
      </c>
      <c r="I17" s="11">
        <v>44</v>
      </c>
      <c r="J17" s="6">
        <v>44</v>
      </c>
      <c r="K17" s="8"/>
      <c r="L17" s="11">
        <v>44</v>
      </c>
      <c r="M17" s="6"/>
      <c r="N17" s="8"/>
      <c r="O17" s="11">
        <v>44</v>
      </c>
      <c r="P17" s="6"/>
      <c r="Q17" s="8"/>
      <c r="R17" s="9">
        <f t="shared" si="0"/>
        <v>132</v>
      </c>
      <c r="S17" s="6">
        <f t="shared" si="1"/>
        <v>44</v>
      </c>
    </row>
    <row r="18" spans="2:19" ht="18" x14ac:dyDescent="0.35">
      <c r="B18" s="10"/>
      <c r="C18" s="17"/>
      <c r="D18" s="6" t="s">
        <v>23</v>
      </c>
      <c r="E18" s="6">
        <v>86292</v>
      </c>
      <c r="F18" s="6">
        <v>914.4</v>
      </c>
      <c r="G18" s="6" t="s">
        <v>346</v>
      </c>
      <c r="H18" s="6" t="s">
        <v>129</v>
      </c>
      <c r="I18" s="11">
        <v>88</v>
      </c>
      <c r="J18" s="6">
        <v>88</v>
      </c>
      <c r="K18" s="8"/>
      <c r="L18" s="11">
        <v>88</v>
      </c>
      <c r="M18" s="6">
        <v>88</v>
      </c>
      <c r="N18" s="8"/>
      <c r="O18" s="11">
        <v>88</v>
      </c>
      <c r="P18" s="6">
        <v>88</v>
      </c>
      <c r="Q18" s="8"/>
      <c r="R18" s="9">
        <f t="shared" si="0"/>
        <v>264</v>
      </c>
      <c r="S18" s="6">
        <f t="shared" si="1"/>
        <v>264</v>
      </c>
    </row>
    <row r="19" spans="2:19" ht="18" x14ac:dyDescent="0.35">
      <c r="B19" s="6">
        <v>9</v>
      </c>
      <c r="C19" s="7" t="s">
        <v>34</v>
      </c>
      <c r="D19" s="6" t="s">
        <v>64</v>
      </c>
      <c r="E19" s="6">
        <v>90129</v>
      </c>
      <c r="F19" s="6">
        <v>2540</v>
      </c>
      <c r="G19" s="6" t="s">
        <v>49</v>
      </c>
      <c r="H19" s="6" t="s">
        <v>227</v>
      </c>
      <c r="I19" s="11">
        <v>124</v>
      </c>
      <c r="J19" s="6">
        <v>124</v>
      </c>
      <c r="K19" s="8"/>
      <c r="L19" s="11">
        <v>124</v>
      </c>
      <c r="M19" s="6">
        <v>124</v>
      </c>
      <c r="N19" s="8"/>
      <c r="O19" s="11">
        <v>124</v>
      </c>
      <c r="P19" s="6">
        <v>124</v>
      </c>
      <c r="Q19" s="8" t="s">
        <v>50</v>
      </c>
      <c r="R19" s="9">
        <f t="shared" si="0"/>
        <v>372</v>
      </c>
      <c r="S19" s="6">
        <f t="shared" si="1"/>
        <v>372</v>
      </c>
    </row>
    <row r="20" spans="2:19" ht="18" x14ac:dyDescent="0.35">
      <c r="B20" s="6">
        <v>10</v>
      </c>
      <c r="C20" s="7" t="s">
        <v>35</v>
      </c>
      <c r="D20" s="6" t="s">
        <v>19</v>
      </c>
      <c r="E20" s="6">
        <v>2122</v>
      </c>
      <c r="F20" s="6">
        <v>796.5</v>
      </c>
      <c r="G20" s="6" t="s">
        <v>138</v>
      </c>
      <c r="H20" s="6" t="s">
        <v>209</v>
      </c>
      <c r="I20" s="11">
        <v>0</v>
      </c>
      <c r="J20" s="6">
        <v>0</v>
      </c>
      <c r="K20" s="8" t="s">
        <v>321</v>
      </c>
      <c r="L20" s="11">
        <v>146</v>
      </c>
      <c r="M20" s="6">
        <v>130</v>
      </c>
      <c r="N20" s="8" t="s">
        <v>287</v>
      </c>
      <c r="O20" s="11">
        <v>146</v>
      </c>
      <c r="P20" s="6">
        <v>146</v>
      </c>
      <c r="Q20" s="8"/>
      <c r="R20" s="9">
        <f t="shared" si="0"/>
        <v>292</v>
      </c>
      <c r="S20" s="6">
        <f t="shared" si="1"/>
        <v>276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D4:U18"/>
  <sheetViews>
    <sheetView topLeftCell="F1" zoomScale="85" zoomScaleNormal="85" workbookViewId="0">
      <selection activeCell="D4" sqref="D4:U18"/>
    </sheetView>
  </sheetViews>
  <sheetFormatPr defaultRowHeight="14.4" x14ac:dyDescent="0.3"/>
  <cols>
    <col min="4" max="4" width="8.88671875" bestFit="1" customWidth="1"/>
    <col min="5" max="5" width="11" bestFit="1" customWidth="1"/>
    <col min="6" max="6" width="14.109375" bestFit="1" customWidth="1"/>
    <col min="7" max="7" width="8.6640625" bestFit="1" customWidth="1"/>
    <col min="8" max="8" width="12.44140625" bestFit="1" customWidth="1"/>
    <col min="9" max="9" width="13.88671875" bestFit="1" customWidth="1"/>
    <col min="10" max="10" width="9.6640625" bestFit="1" customWidth="1"/>
    <col min="13" max="13" width="23" bestFit="1" customWidth="1"/>
    <col min="14" max="14" width="6.109375" bestFit="1" customWidth="1"/>
    <col min="15" max="15" width="8.5546875" customWidth="1"/>
    <col min="16" max="16" width="14.109375" bestFit="1" customWidth="1"/>
    <col min="17" max="17" width="7.33203125" bestFit="1" customWidth="1"/>
    <col min="18" max="18" width="8.5546875" bestFit="1" customWidth="1"/>
    <col min="19" max="19" width="18.88671875" bestFit="1" customWidth="1"/>
    <col min="20" max="20" width="12.109375" bestFit="1" customWidth="1"/>
    <col min="21" max="21" width="8.5546875" bestFit="1" customWidth="1"/>
  </cols>
  <sheetData>
    <row r="4" spans="4:21" ht="18" x14ac:dyDescent="0.35">
      <c r="D4" s="44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6"/>
      <c r="Q4" s="1" t="s">
        <v>1</v>
      </c>
      <c r="R4" s="2" t="s">
        <v>340</v>
      </c>
      <c r="S4" s="1" t="s">
        <v>2</v>
      </c>
      <c r="T4" s="47"/>
      <c r="U4" s="48"/>
    </row>
    <row r="5" spans="4:21" ht="54" x14ac:dyDescent="0.3">
      <c r="D5" s="4" t="s">
        <v>3</v>
      </c>
      <c r="E5" s="4" t="s">
        <v>4</v>
      </c>
      <c r="F5" s="4" t="s">
        <v>5</v>
      </c>
      <c r="G5" s="5" t="s">
        <v>6</v>
      </c>
      <c r="H5" s="4" t="s">
        <v>7</v>
      </c>
      <c r="I5" s="4" t="s">
        <v>8</v>
      </c>
      <c r="J5" s="5"/>
      <c r="K5" s="49" t="s">
        <v>9</v>
      </c>
      <c r="L5" s="50"/>
      <c r="M5" s="51"/>
      <c r="N5" s="49" t="s">
        <v>10</v>
      </c>
      <c r="O5" s="50"/>
      <c r="P5" s="51"/>
      <c r="Q5" s="49" t="s">
        <v>11</v>
      </c>
      <c r="R5" s="50"/>
      <c r="S5" s="51"/>
      <c r="T5" s="4" t="s">
        <v>12</v>
      </c>
      <c r="U5" s="4" t="s">
        <v>13</v>
      </c>
    </row>
    <row r="6" spans="4:21" ht="18" x14ac:dyDescent="0.3">
      <c r="D6" s="3"/>
      <c r="E6" s="4"/>
      <c r="F6" s="4"/>
      <c r="G6" s="5"/>
      <c r="H6" s="4"/>
      <c r="I6" s="4"/>
      <c r="J6" s="5" t="s">
        <v>14</v>
      </c>
      <c r="K6" s="5" t="s">
        <v>15</v>
      </c>
      <c r="L6" s="5" t="s">
        <v>16</v>
      </c>
      <c r="M6" s="5" t="s">
        <v>17</v>
      </c>
      <c r="N6" s="5" t="s">
        <v>15</v>
      </c>
      <c r="O6" s="5" t="s">
        <v>16</v>
      </c>
      <c r="P6" s="5" t="s">
        <v>17</v>
      </c>
      <c r="Q6" s="5" t="s">
        <v>15</v>
      </c>
      <c r="R6" s="5" t="s">
        <v>16</v>
      </c>
      <c r="S6" s="5" t="s">
        <v>17</v>
      </c>
      <c r="T6" s="9" t="s">
        <v>50</v>
      </c>
      <c r="U6" s="6"/>
    </row>
    <row r="7" spans="4:21" ht="18" x14ac:dyDescent="0.35">
      <c r="D7" s="10">
        <v>1</v>
      </c>
      <c r="E7" s="7" t="s">
        <v>18</v>
      </c>
      <c r="F7" s="6" t="s">
        <v>23</v>
      </c>
      <c r="G7" s="6">
        <v>86290</v>
      </c>
      <c r="H7" s="6">
        <v>914.4</v>
      </c>
      <c r="I7" s="6" t="s">
        <v>324</v>
      </c>
      <c r="J7" s="6" t="s">
        <v>341</v>
      </c>
      <c r="K7" s="11">
        <v>88</v>
      </c>
      <c r="L7" s="6">
        <v>22</v>
      </c>
      <c r="M7" s="8" t="s">
        <v>342</v>
      </c>
      <c r="N7" s="11">
        <v>88</v>
      </c>
      <c r="O7" s="6">
        <v>88</v>
      </c>
      <c r="P7" s="23"/>
      <c r="Q7" s="11">
        <v>88</v>
      </c>
      <c r="R7" s="6">
        <v>56</v>
      </c>
      <c r="S7" s="23" t="s">
        <v>348</v>
      </c>
      <c r="T7" s="9">
        <f t="shared" ref="T7:U18" si="0">Q7+N7+K7</f>
        <v>264</v>
      </c>
      <c r="U7" s="6">
        <f t="shared" si="0"/>
        <v>166</v>
      </c>
    </row>
    <row r="8" spans="4:21" ht="18" x14ac:dyDescent="0.35">
      <c r="D8" s="10">
        <v>2</v>
      </c>
      <c r="E8" s="7" t="s">
        <v>21</v>
      </c>
      <c r="F8" s="6" t="s">
        <v>23</v>
      </c>
      <c r="G8" s="6">
        <v>86292</v>
      </c>
      <c r="H8" s="6">
        <v>914.4</v>
      </c>
      <c r="I8" s="6" t="s">
        <v>298</v>
      </c>
      <c r="J8" s="6" t="s">
        <v>129</v>
      </c>
      <c r="K8" s="11">
        <v>88</v>
      </c>
      <c r="L8" s="6">
        <v>88</v>
      </c>
      <c r="M8" s="8"/>
      <c r="N8" s="11">
        <v>88</v>
      </c>
      <c r="O8" s="6">
        <v>88</v>
      </c>
      <c r="P8" s="23"/>
      <c r="Q8" s="11">
        <v>88</v>
      </c>
      <c r="R8" s="6">
        <v>88</v>
      </c>
      <c r="S8" s="23"/>
      <c r="T8" s="9">
        <f t="shared" si="0"/>
        <v>264</v>
      </c>
      <c r="U8" s="6">
        <f t="shared" si="0"/>
        <v>264</v>
      </c>
    </row>
    <row r="9" spans="4:21" ht="18" x14ac:dyDescent="0.35">
      <c r="D9" s="6">
        <v>3</v>
      </c>
      <c r="E9" s="13" t="s">
        <v>343</v>
      </c>
      <c r="F9" s="6" t="s">
        <v>23</v>
      </c>
      <c r="G9" s="6">
        <v>86292</v>
      </c>
      <c r="H9" s="6">
        <v>914.4</v>
      </c>
      <c r="I9" s="6" t="s">
        <v>236</v>
      </c>
      <c r="J9" s="6" t="s">
        <v>293</v>
      </c>
      <c r="K9" s="11">
        <v>36</v>
      </c>
      <c r="L9" s="6">
        <v>36</v>
      </c>
      <c r="M9" s="8"/>
      <c r="N9" s="11">
        <v>36</v>
      </c>
      <c r="O9" s="6">
        <v>33</v>
      </c>
      <c r="P9" s="6" t="s">
        <v>347</v>
      </c>
      <c r="Q9" s="11">
        <v>36</v>
      </c>
      <c r="R9" s="6">
        <v>36</v>
      </c>
      <c r="S9" s="23"/>
      <c r="T9" s="9">
        <f t="shared" si="0"/>
        <v>108</v>
      </c>
      <c r="U9" s="6">
        <f t="shared" si="0"/>
        <v>105</v>
      </c>
    </row>
    <row r="10" spans="4:21" ht="18" x14ac:dyDescent="0.35">
      <c r="D10" s="6">
        <v>4</v>
      </c>
      <c r="E10" s="7" t="s">
        <v>25</v>
      </c>
      <c r="F10" s="6" t="s">
        <v>344</v>
      </c>
      <c r="G10" s="10">
        <v>2123</v>
      </c>
      <c r="H10" s="6">
        <v>418.2</v>
      </c>
      <c r="I10" s="6" t="s">
        <v>303</v>
      </c>
      <c r="J10" s="6" t="s">
        <v>297</v>
      </c>
      <c r="K10" s="11">
        <v>0</v>
      </c>
      <c r="L10" s="6">
        <v>0</v>
      </c>
      <c r="M10" s="8" t="s">
        <v>275</v>
      </c>
      <c r="N10" s="11">
        <v>0</v>
      </c>
      <c r="O10" s="6">
        <v>0</v>
      </c>
      <c r="P10" s="8" t="s">
        <v>275</v>
      </c>
      <c r="Q10" s="11">
        <v>0</v>
      </c>
      <c r="R10" s="6">
        <v>0</v>
      </c>
      <c r="S10" s="8" t="s">
        <v>275</v>
      </c>
      <c r="T10" s="9">
        <f t="shared" si="0"/>
        <v>0</v>
      </c>
      <c r="U10" s="6">
        <f t="shared" si="0"/>
        <v>0</v>
      </c>
    </row>
    <row r="11" spans="4:21" ht="18" x14ac:dyDescent="0.35">
      <c r="D11" s="10">
        <v>5</v>
      </c>
      <c r="E11" s="7" t="s">
        <v>28</v>
      </c>
      <c r="F11" s="6" t="s">
        <v>319</v>
      </c>
      <c r="G11" s="10">
        <v>2123</v>
      </c>
      <c r="H11" s="6">
        <v>428.75</v>
      </c>
      <c r="I11" s="6" t="s">
        <v>303</v>
      </c>
      <c r="J11" s="6" t="s">
        <v>129</v>
      </c>
      <c r="K11" s="11">
        <v>0</v>
      </c>
      <c r="L11" s="6">
        <v>0</v>
      </c>
      <c r="M11" s="8" t="s">
        <v>275</v>
      </c>
      <c r="N11" s="11">
        <v>0</v>
      </c>
      <c r="O11" s="6">
        <v>0</v>
      </c>
      <c r="P11" s="8" t="s">
        <v>275</v>
      </c>
      <c r="Q11" s="11">
        <v>0</v>
      </c>
      <c r="R11" s="6">
        <v>0</v>
      </c>
      <c r="S11" s="8" t="s">
        <v>275</v>
      </c>
      <c r="T11" s="9">
        <f t="shared" si="0"/>
        <v>0</v>
      </c>
      <c r="U11" s="6">
        <f t="shared" si="0"/>
        <v>0</v>
      </c>
    </row>
    <row r="12" spans="4:21" ht="18" x14ac:dyDescent="0.35">
      <c r="D12" s="6">
        <v>6</v>
      </c>
      <c r="E12" s="7" t="s">
        <v>30</v>
      </c>
      <c r="F12" s="6" t="s">
        <v>47</v>
      </c>
      <c r="G12" s="10">
        <v>99719</v>
      </c>
      <c r="H12" s="6">
        <v>1107</v>
      </c>
      <c r="I12" s="6" t="s">
        <v>236</v>
      </c>
      <c r="J12" s="11" t="s">
        <v>129</v>
      </c>
      <c r="K12" s="11">
        <v>88</v>
      </c>
      <c r="L12" s="6">
        <v>88</v>
      </c>
      <c r="M12" s="8"/>
      <c r="N12" s="11">
        <v>88</v>
      </c>
      <c r="O12" s="6">
        <v>0</v>
      </c>
      <c r="P12" s="8" t="s">
        <v>148</v>
      </c>
      <c r="Q12" s="11">
        <v>88</v>
      </c>
      <c r="R12" s="6">
        <v>88</v>
      </c>
      <c r="S12" s="8"/>
      <c r="T12" s="9">
        <f t="shared" si="0"/>
        <v>264</v>
      </c>
      <c r="U12" s="6">
        <f t="shared" si="0"/>
        <v>176</v>
      </c>
    </row>
    <row r="13" spans="4:21" ht="18" x14ac:dyDescent="0.35">
      <c r="D13" s="40">
        <v>7</v>
      </c>
      <c r="E13" s="42" t="s">
        <v>31</v>
      </c>
      <c r="F13" s="6" t="s">
        <v>23</v>
      </c>
      <c r="G13" s="6">
        <v>86292</v>
      </c>
      <c r="H13" s="6">
        <v>914.4</v>
      </c>
      <c r="I13" s="6" t="s">
        <v>308</v>
      </c>
      <c r="J13" s="6" t="s">
        <v>293</v>
      </c>
      <c r="K13" s="11">
        <v>36</v>
      </c>
      <c r="L13" s="6">
        <v>36</v>
      </c>
      <c r="M13" s="8"/>
      <c r="N13" s="11">
        <v>36</v>
      </c>
      <c r="O13" s="6">
        <v>34</v>
      </c>
      <c r="P13" s="8"/>
      <c r="Q13" s="11">
        <v>24</v>
      </c>
      <c r="R13" s="6">
        <v>24</v>
      </c>
      <c r="S13" s="8" t="s">
        <v>177</v>
      </c>
      <c r="T13" s="9">
        <f t="shared" si="0"/>
        <v>96</v>
      </c>
      <c r="U13" s="6">
        <f t="shared" si="0"/>
        <v>94</v>
      </c>
    </row>
    <row r="14" spans="4:21" ht="18" x14ac:dyDescent="0.35">
      <c r="D14" s="41"/>
      <c r="E14" s="43"/>
      <c r="F14" s="6" t="s">
        <v>349</v>
      </c>
      <c r="G14" s="6">
        <v>84051</v>
      </c>
      <c r="H14" s="6">
        <v>3050</v>
      </c>
      <c r="I14" s="6" t="s">
        <v>350</v>
      </c>
      <c r="J14" s="6" t="s">
        <v>129</v>
      </c>
      <c r="K14" s="11"/>
      <c r="L14" s="6"/>
      <c r="M14" s="8"/>
      <c r="N14" s="11"/>
      <c r="O14" s="6"/>
      <c r="P14" s="8"/>
      <c r="Q14" s="11">
        <v>30</v>
      </c>
      <c r="R14" s="6">
        <v>9</v>
      </c>
      <c r="S14" s="8"/>
      <c r="T14" s="9">
        <f t="shared" si="0"/>
        <v>30</v>
      </c>
      <c r="U14" s="6">
        <f t="shared" si="0"/>
        <v>9</v>
      </c>
    </row>
    <row r="15" spans="4:21" ht="18" x14ac:dyDescent="0.35">
      <c r="D15" s="40">
        <v>8</v>
      </c>
      <c r="E15" s="42" t="s">
        <v>33</v>
      </c>
      <c r="F15" s="6" t="s">
        <v>23</v>
      </c>
      <c r="G15" s="6">
        <v>86292</v>
      </c>
      <c r="H15" s="6">
        <v>914.4</v>
      </c>
      <c r="I15" s="6" t="s">
        <v>298</v>
      </c>
      <c r="J15" s="6" t="s">
        <v>129</v>
      </c>
      <c r="K15" s="11">
        <v>0</v>
      </c>
      <c r="L15" s="6">
        <v>0</v>
      </c>
      <c r="M15" s="8"/>
      <c r="N15" s="11">
        <v>0</v>
      </c>
      <c r="O15" s="6">
        <v>0</v>
      </c>
      <c r="P15" s="8"/>
      <c r="Q15" s="11"/>
      <c r="R15" s="6"/>
      <c r="S15" s="8"/>
      <c r="T15" s="9">
        <f t="shared" si="0"/>
        <v>0</v>
      </c>
      <c r="U15" s="6">
        <f t="shared" si="0"/>
        <v>0</v>
      </c>
    </row>
    <row r="16" spans="4:21" ht="18" x14ac:dyDescent="0.35">
      <c r="D16" s="41"/>
      <c r="E16" s="43"/>
      <c r="F16" s="6" t="s">
        <v>23</v>
      </c>
      <c r="G16" s="6">
        <v>86292</v>
      </c>
      <c r="H16" s="6">
        <v>914.4</v>
      </c>
      <c r="I16" s="6" t="s">
        <v>301</v>
      </c>
      <c r="J16" s="6" t="s">
        <v>129</v>
      </c>
      <c r="K16" s="11">
        <v>88</v>
      </c>
      <c r="L16" s="6">
        <v>88</v>
      </c>
      <c r="M16" s="8"/>
      <c r="N16" s="11">
        <v>88</v>
      </c>
      <c r="O16" s="6">
        <v>88</v>
      </c>
      <c r="P16" s="8"/>
      <c r="Q16" s="11">
        <v>88</v>
      </c>
      <c r="R16" s="6">
        <v>88</v>
      </c>
      <c r="S16" s="8"/>
      <c r="T16" s="9">
        <f t="shared" si="0"/>
        <v>264</v>
      </c>
      <c r="U16" s="6">
        <f t="shared" si="0"/>
        <v>264</v>
      </c>
    </row>
    <row r="17" spans="4:21" ht="18" x14ac:dyDescent="0.35">
      <c r="D17" s="6">
        <v>9</v>
      </c>
      <c r="E17" s="7" t="s">
        <v>34</v>
      </c>
      <c r="F17" s="6" t="s">
        <v>64</v>
      </c>
      <c r="G17" s="6">
        <v>90129</v>
      </c>
      <c r="H17" s="6">
        <v>2540</v>
      </c>
      <c r="I17" s="6" t="s">
        <v>49</v>
      </c>
      <c r="J17" s="6" t="s">
        <v>227</v>
      </c>
      <c r="K17" s="11">
        <v>124</v>
      </c>
      <c r="L17" s="6">
        <v>124</v>
      </c>
      <c r="M17" s="8"/>
      <c r="N17" s="11">
        <v>124</v>
      </c>
      <c r="O17" s="6">
        <v>124</v>
      </c>
      <c r="P17" s="8"/>
      <c r="Q17" s="11">
        <v>124</v>
      </c>
      <c r="R17" s="6">
        <v>124</v>
      </c>
      <c r="S17" s="8"/>
      <c r="T17" s="9">
        <f t="shared" si="0"/>
        <v>372</v>
      </c>
      <c r="U17" s="6">
        <f t="shared" si="0"/>
        <v>372</v>
      </c>
    </row>
    <row r="18" spans="4:21" ht="18" x14ac:dyDescent="0.35">
      <c r="D18" s="6">
        <v>10</v>
      </c>
      <c r="E18" s="7" t="s">
        <v>35</v>
      </c>
      <c r="F18" s="6" t="s">
        <v>19</v>
      </c>
      <c r="G18" s="6">
        <v>2122</v>
      </c>
      <c r="H18" s="6">
        <v>796.5</v>
      </c>
      <c r="I18" s="6" t="s">
        <v>138</v>
      </c>
      <c r="J18" s="6" t="s">
        <v>209</v>
      </c>
      <c r="K18" s="11">
        <v>60</v>
      </c>
      <c r="L18" s="6">
        <v>60</v>
      </c>
      <c r="M18" s="8" t="s">
        <v>275</v>
      </c>
      <c r="N18" s="11">
        <v>0</v>
      </c>
      <c r="O18" s="6">
        <v>0</v>
      </c>
      <c r="P18" s="8" t="s">
        <v>275</v>
      </c>
      <c r="Q18" s="11">
        <v>0</v>
      </c>
      <c r="R18" s="6">
        <v>0</v>
      </c>
      <c r="S18" s="8" t="s">
        <v>275</v>
      </c>
      <c r="T18" s="9">
        <f t="shared" si="0"/>
        <v>60</v>
      </c>
      <c r="U18" s="6">
        <f t="shared" si="0"/>
        <v>60</v>
      </c>
    </row>
  </sheetData>
  <mergeCells count="9">
    <mergeCell ref="T4:U4"/>
    <mergeCell ref="K5:M5"/>
    <mergeCell ref="N5:P5"/>
    <mergeCell ref="Q5:S5"/>
    <mergeCell ref="D15:D16"/>
    <mergeCell ref="E15:E16"/>
    <mergeCell ref="E13:E14"/>
    <mergeCell ref="D13:D14"/>
    <mergeCell ref="D4:P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C4:T23"/>
  <sheetViews>
    <sheetView topLeftCell="I14" zoomScale="90" zoomScaleNormal="90" workbookViewId="0">
      <selection activeCell="D22" sqref="D22:T23"/>
    </sheetView>
  </sheetViews>
  <sheetFormatPr defaultRowHeight="14.4" x14ac:dyDescent="0.3"/>
  <cols>
    <col min="4" max="4" width="13.5546875" customWidth="1"/>
    <col min="5" max="5" width="15.6640625" customWidth="1"/>
    <col min="8" max="8" width="20.6640625" customWidth="1"/>
    <col min="12" max="12" width="23.6640625" customWidth="1"/>
    <col min="15" max="15" width="27" bestFit="1" customWidth="1"/>
    <col min="18" max="18" width="50.88671875" bestFit="1" customWidth="1"/>
  </cols>
  <sheetData>
    <row r="4" spans="3:20" ht="18" x14ac:dyDescent="0.35">
      <c r="C4" s="44" t="s">
        <v>0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6"/>
      <c r="P4" s="1" t="s">
        <v>1</v>
      </c>
      <c r="Q4" s="2" t="s">
        <v>351</v>
      </c>
      <c r="R4" s="1" t="s">
        <v>2</v>
      </c>
      <c r="S4" s="47"/>
      <c r="T4" s="48"/>
    </row>
    <row r="5" spans="3:20" ht="54" x14ac:dyDescent="0.3">
      <c r="C5" s="4" t="s">
        <v>3</v>
      </c>
      <c r="D5" s="4" t="s">
        <v>4</v>
      </c>
      <c r="E5" s="4" t="s">
        <v>5</v>
      </c>
      <c r="F5" s="5" t="s">
        <v>6</v>
      </c>
      <c r="G5" s="4" t="s">
        <v>7</v>
      </c>
      <c r="H5" s="4" t="s">
        <v>8</v>
      </c>
      <c r="I5" s="5"/>
      <c r="J5" s="49" t="s">
        <v>9</v>
      </c>
      <c r="K5" s="50"/>
      <c r="L5" s="51"/>
      <c r="M5" s="49" t="s">
        <v>10</v>
      </c>
      <c r="N5" s="50"/>
      <c r="O5" s="51"/>
      <c r="P5" s="49" t="s">
        <v>11</v>
      </c>
      <c r="Q5" s="50"/>
      <c r="R5" s="51"/>
      <c r="S5" s="4" t="s">
        <v>12</v>
      </c>
      <c r="T5" s="4" t="s">
        <v>13</v>
      </c>
    </row>
    <row r="6" spans="3:20" ht="18" x14ac:dyDescent="0.3">
      <c r="C6" s="3"/>
      <c r="D6" s="4"/>
      <c r="E6" s="4"/>
      <c r="F6" s="5"/>
      <c r="G6" s="4"/>
      <c r="H6" s="4"/>
      <c r="I6" s="5" t="s">
        <v>14</v>
      </c>
      <c r="J6" s="5" t="s">
        <v>15</v>
      </c>
      <c r="K6" s="5" t="s">
        <v>16</v>
      </c>
      <c r="L6" s="5" t="s">
        <v>17</v>
      </c>
      <c r="M6" s="5" t="s">
        <v>15</v>
      </c>
      <c r="N6" s="5" t="s">
        <v>16</v>
      </c>
      <c r="O6" s="5" t="s">
        <v>17</v>
      </c>
      <c r="P6" s="5" t="s">
        <v>15</v>
      </c>
      <c r="Q6" s="5" t="s">
        <v>16</v>
      </c>
      <c r="R6" s="5" t="s">
        <v>17</v>
      </c>
      <c r="S6" s="9" t="s">
        <v>50</v>
      </c>
      <c r="T6" s="6"/>
    </row>
    <row r="7" spans="3:20" ht="18" x14ac:dyDescent="0.35">
      <c r="C7" s="40">
        <v>1</v>
      </c>
      <c r="D7" s="42" t="s">
        <v>18</v>
      </c>
      <c r="E7" s="6" t="s">
        <v>23</v>
      </c>
      <c r="F7" s="6">
        <v>86290</v>
      </c>
      <c r="G7" s="6">
        <v>914.1</v>
      </c>
      <c r="H7" s="6" t="s">
        <v>298</v>
      </c>
      <c r="I7" s="6" t="s">
        <v>129</v>
      </c>
      <c r="J7" s="11">
        <v>88</v>
      </c>
      <c r="K7" s="6">
        <v>82</v>
      </c>
      <c r="L7" s="8" t="s">
        <v>352</v>
      </c>
      <c r="M7" s="11">
        <v>88</v>
      </c>
      <c r="N7" s="6">
        <v>61</v>
      </c>
      <c r="O7" s="6" t="s">
        <v>289</v>
      </c>
      <c r="P7" s="11"/>
      <c r="Q7" s="6"/>
      <c r="R7" s="23"/>
      <c r="S7" s="9">
        <f>P7+M7+J7</f>
        <v>176</v>
      </c>
      <c r="T7" s="6">
        <f>Q7+N7+K7</f>
        <v>143</v>
      </c>
    </row>
    <row r="8" spans="3:20" ht="18" x14ac:dyDescent="0.35">
      <c r="C8" s="41"/>
      <c r="D8" s="43"/>
      <c r="E8" s="6" t="s">
        <v>23</v>
      </c>
      <c r="F8" s="6">
        <v>86289</v>
      </c>
      <c r="G8" s="6">
        <v>914.1</v>
      </c>
      <c r="H8" s="6" t="s">
        <v>324</v>
      </c>
      <c r="I8" s="6" t="s">
        <v>129</v>
      </c>
      <c r="J8" s="11">
        <v>0</v>
      </c>
      <c r="K8" s="6">
        <v>0</v>
      </c>
      <c r="L8" s="8"/>
      <c r="M8" s="11">
        <v>88</v>
      </c>
      <c r="N8" s="6">
        <v>2</v>
      </c>
      <c r="O8" s="6" t="s">
        <v>287</v>
      </c>
      <c r="P8" s="11">
        <v>37</v>
      </c>
      <c r="Q8" s="6">
        <v>37</v>
      </c>
      <c r="R8" s="23"/>
      <c r="S8" s="9">
        <f t="shared" ref="S8:S23" si="0">P8+M8+J8</f>
        <v>125</v>
      </c>
      <c r="T8" s="6">
        <f t="shared" ref="T8:T23" si="1">Q8+N8+K8</f>
        <v>39</v>
      </c>
    </row>
    <row r="9" spans="3:20" ht="18" x14ac:dyDescent="0.35">
      <c r="C9" s="40">
        <v>2</v>
      </c>
      <c r="D9" s="42" t="s">
        <v>212</v>
      </c>
      <c r="E9" s="6" t="s">
        <v>23</v>
      </c>
      <c r="F9" s="6">
        <v>86292</v>
      </c>
      <c r="G9" s="6">
        <v>914.4</v>
      </c>
      <c r="H9" s="6" t="s">
        <v>298</v>
      </c>
      <c r="I9" s="6" t="s">
        <v>129</v>
      </c>
      <c r="J9" s="11">
        <v>88</v>
      </c>
      <c r="K9" s="6">
        <v>88</v>
      </c>
      <c r="L9" s="8"/>
      <c r="M9" s="11">
        <v>0</v>
      </c>
      <c r="N9" s="6">
        <v>0</v>
      </c>
      <c r="O9" s="23"/>
      <c r="P9" s="11"/>
      <c r="Q9" s="6"/>
      <c r="R9" s="23"/>
      <c r="S9" s="9">
        <f t="shared" si="0"/>
        <v>88</v>
      </c>
      <c r="T9" s="6">
        <f t="shared" si="1"/>
        <v>88</v>
      </c>
    </row>
    <row r="10" spans="3:20" ht="18.75" hidden="1" customHeight="1" x14ac:dyDescent="0.35">
      <c r="C10" s="52"/>
      <c r="D10" s="53"/>
      <c r="E10" s="6" t="s">
        <v>23</v>
      </c>
      <c r="F10" s="6">
        <v>86292</v>
      </c>
      <c r="G10" s="6">
        <v>914.4</v>
      </c>
      <c r="H10" s="6" t="s">
        <v>324</v>
      </c>
      <c r="I10" s="6" t="s">
        <v>203</v>
      </c>
      <c r="J10" s="11" t="s">
        <v>50</v>
      </c>
      <c r="K10" s="6" t="s">
        <v>50</v>
      </c>
      <c r="L10" s="8"/>
      <c r="M10" s="11" t="s">
        <v>50</v>
      </c>
      <c r="N10" s="6"/>
      <c r="O10" s="23"/>
      <c r="P10" s="11"/>
      <c r="Q10" s="6"/>
      <c r="R10" s="23"/>
      <c r="S10" s="9" t="e">
        <f t="shared" si="0"/>
        <v>#VALUE!</v>
      </c>
      <c r="T10" s="6" t="e">
        <f t="shared" si="1"/>
        <v>#VALUE!</v>
      </c>
    </row>
    <row r="11" spans="3:20" ht="18" x14ac:dyDescent="0.35">
      <c r="C11" s="52"/>
      <c r="D11" s="53"/>
      <c r="E11" s="6" t="s">
        <v>23</v>
      </c>
      <c r="F11" s="6">
        <v>86289</v>
      </c>
      <c r="G11" s="6">
        <v>914.1</v>
      </c>
      <c r="H11" s="6" t="s">
        <v>308</v>
      </c>
      <c r="I11" s="6" t="s">
        <v>226</v>
      </c>
      <c r="J11" s="11">
        <v>0</v>
      </c>
      <c r="K11" s="6">
        <v>0</v>
      </c>
      <c r="L11" s="8"/>
      <c r="M11" s="11">
        <v>110</v>
      </c>
      <c r="N11" s="6">
        <v>82</v>
      </c>
      <c r="O11" s="23"/>
      <c r="P11" s="11"/>
      <c r="Q11" s="6"/>
      <c r="R11" s="23"/>
      <c r="S11" s="9">
        <f t="shared" si="0"/>
        <v>110</v>
      </c>
      <c r="T11" s="6">
        <f t="shared" si="1"/>
        <v>82</v>
      </c>
    </row>
    <row r="12" spans="3:20" ht="18" x14ac:dyDescent="0.35">
      <c r="C12" s="41"/>
      <c r="D12" s="43"/>
      <c r="E12" s="6" t="s">
        <v>23</v>
      </c>
      <c r="F12" s="6">
        <v>86289</v>
      </c>
      <c r="G12" s="6">
        <v>914.1</v>
      </c>
      <c r="H12" s="6" t="s">
        <v>61</v>
      </c>
      <c r="I12" s="6" t="s">
        <v>355</v>
      </c>
      <c r="J12" s="11"/>
      <c r="K12" s="6"/>
      <c r="L12" s="8"/>
      <c r="M12" s="11"/>
      <c r="N12" s="6"/>
      <c r="O12" s="23"/>
      <c r="P12" s="11">
        <v>40</v>
      </c>
      <c r="Q12" s="6">
        <v>40</v>
      </c>
      <c r="R12" s="23" t="s">
        <v>356</v>
      </c>
      <c r="S12" s="9">
        <f t="shared" si="0"/>
        <v>40</v>
      </c>
      <c r="T12" s="6">
        <f t="shared" si="1"/>
        <v>40</v>
      </c>
    </row>
    <row r="13" spans="3:20" ht="18" x14ac:dyDescent="0.35">
      <c r="C13" s="14">
        <v>3</v>
      </c>
      <c r="D13" s="7" t="s">
        <v>22</v>
      </c>
      <c r="E13" s="6" t="s">
        <v>23</v>
      </c>
      <c r="F13" s="6">
        <v>86292</v>
      </c>
      <c r="G13" s="6">
        <v>914.4</v>
      </c>
      <c r="H13" s="6" t="s">
        <v>61</v>
      </c>
      <c r="I13" s="6" t="s">
        <v>293</v>
      </c>
      <c r="J13" s="11">
        <v>36</v>
      </c>
      <c r="K13" s="6">
        <v>36</v>
      </c>
      <c r="L13" s="8"/>
      <c r="M13" s="11">
        <v>36</v>
      </c>
      <c r="N13" s="6">
        <v>36</v>
      </c>
      <c r="O13" s="23"/>
      <c r="P13" s="11">
        <v>36</v>
      </c>
      <c r="Q13" s="6">
        <v>36</v>
      </c>
      <c r="R13" s="23"/>
      <c r="S13" s="9">
        <f t="shared" si="0"/>
        <v>108</v>
      </c>
      <c r="T13" s="6">
        <f t="shared" si="1"/>
        <v>108</v>
      </c>
    </row>
    <row r="14" spans="3:20" ht="18" x14ac:dyDescent="0.35">
      <c r="C14" s="6">
        <v>4</v>
      </c>
      <c r="D14" s="7" t="s">
        <v>25</v>
      </c>
      <c r="E14" s="6" t="s">
        <v>302</v>
      </c>
      <c r="F14" s="10">
        <v>2123</v>
      </c>
      <c r="G14" s="6">
        <v>418.2</v>
      </c>
      <c r="H14" s="6" t="s">
        <v>303</v>
      </c>
      <c r="I14" s="6" t="s">
        <v>297</v>
      </c>
      <c r="J14" s="11">
        <v>0</v>
      </c>
      <c r="K14" s="6">
        <v>0</v>
      </c>
      <c r="L14" s="8" t="s">
        <v>29</v>
      </c>
      <c r="M14" s="11">
        <v>0</v>
      </c>
      <c r="N14" s="6">
        <v>0</v>
      </c>
      <c r="O14" s="8" t="s">
        <v>29</v>
      </c>
      <c r="P14" s="11">
        <v>0</v>
      </c>
      <c r="Q14" s="6">
        <v>0</v>
      </c>
      <c r="R14" s="8" t="s">
        <v>29</v>
      </c>
      <c r="S14" s="9">
        <f t="shared" si="0"/>
        <v>0</v>
      </c>
      <c r="T14" s="6">
        <f t="shared" si="1"/>
        <v>0</v>
      </c>
    </row>
    <row r="15" spans="3:20" ht="18" x14ac:dyDescent="0.35">
      <c r="C15" s="10">
        <v>5</v>
      </c>
      <c r="D15" s="7" t="s">
        <v>28</v>
      </c>
      <c r="E15" s="6" t="s">
        <v>319</v>
      </c>
      <c r="F15" s="10">
        <v>2123</v>
      </c>
      <c r="G15" s="6">
        <v>428.75</v>
      </c>
      <c r="H15" s="6" t="s">
        <v>303</v>
      </c>
      <c r="I15" s="6" t="s">
        <v>129</v>
      </c>
      <c r="J15" s="11">
        <v>0</v>
      </c>
      <c r="K15" s="6">
        <v>0</v>
      </c>
      <c r="L15" s="8" t="s">
        <v>29</v>
      </c>
      <c r="M15" s="11">
        <v>0</v>
      </c>
      <c r="N15" s="6">
        <v>0</v>
      </c>
      <c r="O15" s="8" t="s">
        <v>29</v>
      </c>
      <c r="P15" s="11">
        <v>0</v>
      </c>
      <c r="Q15" s="6">
        <v>0</v>
      </c>
      <c r="R15" s="8" t="s">
        <v>29</v>
      </c>
      <c r="S15" s="9">
        <f t="shared" si="0"/>
        <v>0</v>
      </c>
      <c r="T15" s="6">
        <f t="shared" si="1"/>
        <v>0</v>
      </c>
    </row>
    <row r="16" spans="3:20" ht="18" x14ac:dyDescent="0.35">
      <c r="C16" s="6">
        <v>6</v>
      </c>
      <c r="D16" s="7" t="s">
        <v>30</v>
      </c>
      <c r="E16" s="6" t="s">
        <v>47</v>
      </c>
      <c r="F16" s="10">
        <v>99719</v>
      </c>
      <c r="G16" s="6">
        <v>1107</v>
      </c>
      <c r="H16" s="6" t="s">
        <v>61</v>
      </c>
      <c r="I16" s="11" t="s">
        <v>129</v>
      </c>
      <c r="J16" s="11">
        <v>88</v>
      </c>
      <c r="K16" s="6">
        <v>88</v>
      </c>
      <c r="L16" s="8"/>
      <c r="M16" s="11">
        <v>0</v>
      </c>
      <c r="N16" s="6">
        <v>0</v>
      </c>
      <c r="O16" s="8" t="s">
        <v>148</v>
      </c>
      <c r="P16" s="11">
        <v>88</v>
      </c>
      <c r="Q16" s="6">
        <v>88</v>
      </c>
      <c r="R16" s="8"/>
      <c r="S16" s="9">
        <f t="shared" si="0"/>
        <v>176</v>
      </c>
      <c r="T16" s="6">
        <f t="shared" si="1"/>
        <v>176</v>
      </c>
    </row>
    <row r="17" spans="3:20" ht="18" x14ac:dyDescent="0.35">
      <c r="C17" s="14">
        <v>7</v>
      </c>
      <c r="D17" s="13" t="s">
        <v>31</v>
      </c>
      <c r="E17" s="6" t="s">
        <v>353</v>
      </c>
      <c r="F17" s="6">
        <v>84051</v>
      </c>
      <c r="G17" s="6">
        <v>3050</v>
      </c>
      <c r="H17" s="6" t="s">
        <v>49</v>
      </c>
      <c r="I17" s="6" t="s">
        <v>129</v>
      </c>
      <c r="J17" s="11">
        <v>88</v>
      </c>
      <c r="K17" s="6">
        <v>85</v>
      </c>
      <c r="L17" s="8"/>
      <c r="M17" s="11">
        <v>88</v>
      </c>
      <c r="N17" s="6">
        <v>20</v>
      </c>
      <c r="O17" s="8" t="s">
        <v>354</v>
      </c>
      <c r="P17" s="11">
        <v>25</v>
      </c>
      <c r="Q17" s="6">
        <v>25</v>
      </c>
      <c r="R17" s="8" t="s">
        <v>357</v>
      </c>
      <c r="S17" s="9">
        <f t="shared" si="0"/>
        <v>201</v>
      </c>
      <c r="T17" s="6">
        <f t="shared" si="1"/>
        <v>130</v>
      </c>
    </row>
    <row r="18" spans="3:20" ht="18.75" hidden="1" customHeight="1" x14ac:dyDescent="0.35">
      <c r="C18" s="34"/>
      <c r="D18" s="35"/>
      <c r="E18" s="6" t="s">
        <v>23</v>
      </c>
      <c r="F18" s="6">
        <v>86292</v>
      </c>
      <c r="G18" s="6">
        <v>914.4</v>
      </c>
      <c r="H18" s="6" t="s">
        <v>298</v>
      </c>
      <c r="I18" s="6" t="s">
        <v>129</v>
      </c>
      <c r="J18" s="11">
        <v>44</v>
      </c>
      <c r="K18" s="6">
        <v>44</v>
      </c>
      <c r="L18" s="8"/>
      <c r="M18" s="11">
        <v>44</v>
      </c>
      <c r="N18" s="6"/>
      <c r="O18" s="8"/>
      <c r="P18" s="11"/>
      <c r="Q18" s="6"/>
      <c r="R18" s="8"/>
      <c r="S18" s="9">
        <f t="shared" si="0"/>
        <v>88</v>
      </c>
      <c r="T18" s="6">
        <f t="shared" si="1"/>
        <v>44</v>
      </c>
    </row>
    <row r="19" spans="3:20" ht="18" x14ac:dyDescent="0.35">
      <c r="C19" s="40">
        <v>8</v>
      </c>
      <c r="D19" s="42" t="s">
        <v>33</v>
      </c>
      <c r="E19" s="6" t="s">
        <v>23</v>
      </c>
      <c r="F19" s="6">
        <v>86292</v>
      </c>
      <c r="G19" s="6">
        <v>914.4</v>
      </c>
      <c r="H19" s="6" t="s">
        <v>298</v>
      </c>
      <c r="I19" s="6" t="s">
        <v>129</v>
      </c>
      <c r="J19" s="11">
        <v>0</v>
      </c>
      <c r="K19" s="6">
        <v>0</v>
      </c>
      <c r="L19" s="8"/>
      <c r="M19" s="11">
        <v>44</v>
      </c>
      <c r="N19" s="6">
        <v>44</v>
      </c>
      <c r="O19" s="8"/>
      <c r="P19" s="11"/>
      <c r="Q19" s="6"/>
      <c r="R19" s="8"/>
      <c r="S19" s="9">
        <f t="shared" si="0"/>
        <v>44</v>
      </c>
      <c r="T19" s="6">
        <f t="shared" si="1"/>
        <v>44</v>
      </c>
    </row>
    <row r="20" spans="3:20" ht="18" x14ac:dyDescent="0.35">
      <c r="C20" s="52"/>
      <c r="D20" s="53"/>
      <c r="E20" s="6" t="s">
        <v>23</v>
      </c>
      <c r="F20" s="6">
        <v>86292</v>
      </c>
      <c r="G20" s="6">
        <v>914.4</v>
      </c>
      <c r="H20" s="6" t="s">
        <v>301</v>
      </c>
      <c r="I20" s="6" t="s">
        <v>129</v>
      </c>
      <c r="J20" s="11">
        <v>88</v>
      </c>
      <c r="K20" s="6">
        <v>88</v>
      </c>
      <c r="L20" s="8"/>
      <c r="M20" s="11">
        <v>44</v>
      </c>
      <c r="N20" s="6">
        <v>44</v>
      </c>
      <c r="O20" s="8"/>
      <c r="P20" s="11"/>
      <c r="Q20" s="6"/>
      <c r="R20" s="8"/>
      <c r="S20" s="9">
        <f t="shared" si="0"/>
        <v>132</v>
      </c>
      <c r="T20" s="6">
        <f t="shared" si="1"/>
        <v>132</v>
      </c>
    </row>
    <row r="21" spans="3:20" ht="18" x14ac:dyDescent="0.35">
      <c r="C21" s="41"/>
      <c r="D21" s="43"/>
      <c r="E21" s="6" t="s">
        <v>47</v>
      </c>
      <c r="F21" s="6">
        <v>99719</v>
      </c>
      <c r="G21" s="6">
        <v>5000</v>
      </c>
      <c r="H21" s="6" t="s">
        <v>308</v>
      </c>
      <c r="I21" s="6" t="s">
        <v>237</v>
      </c>
      <c r="J21" s="11"/>
      <c r="K21" s="6"/>
      <c r="L21" s="8"/>
      <c r="M21" s="11"/>
      <c r="N21" s="6"/>
      <c r="O21" s="8"/>
      <c r="P21" s="11">
        <v>36</v>
      </c>
      <c r="Q21" s="6">
        <v>5</v>
      </c>
      <c r="R21" s="8" t="s">
        <v>73</v>
      </c>
      <c r="S21" s="9">
        <f t="shared" si="0"/>
        <v>36</v>
      </c>
      <c r="T21" s="6">
        <f t="shared" si="1"/>
        <v>5</v>
      </c>
    </row>
    <row r="22" spans="3:20" ht="18" x14ac:dyDescent="0.35">
      <c r="C22" s="6">
        <v>9</v>
      </c>
      <c r="D22" s="7" t="s">
        <v>34</v>
      </c>
      <c r="E22" s="6" t="s">
        <v>64</v>
      </c>
      <c r="F22" s="6">
        <v>90129</v>
      </c>
      <c r="G22" s="6">
        <v>2540</v>
      </c>
      <c r="H22" s="6" t="s">
        <v>49</v>
      </c>
      <c r="I22" s="6" t="s">
        <v>227</v>
      </c>
      <c r="J22" s="11">
        <v>124</v>
      </c>
      <c r="K22" s="6">
        <v>108</v>
      </c>
      <c r="L22" s="8" t="s">
        <v>174</v>
      </c>
      <c r="M22" s="11">
        <v>124</v>
      </c>
      <c r="N22" s="6">
        <v>124</v>
      </c>
      <c r="O22" s="8" t="s">
        <v>50</v>
      </c>
      <c r="P22" s="11">
        <v>124</v>
      </c>
      <c r="Q22" s="6">
        <v>114</v>
      </c>
      <c r="R22" s="8" t="s">
        <v>358</v>
      </c>
      <c r="S22" s="9">
        <f t="shared" si="0"/>
        <v>372</v>
      </c>
      <c r="T22" s="6">
        <f t="shared" si="1"/>
        <v>346</v>
      </c>
    </row>
    <row r="23" spans="3:20" ht="18" x14ac:dyDescent="0.35">
      <c r="C23" s="6">
        <v>10</v>
      </c>
      <c r="D23" s="7" t="s">
        <v>35</v>
      </c>
      <c r="E23" s="6" t="s">
        <v>19</v>
      </c>
      <c r="F23" s="6">
        <v>2122</v>
      </c>
      <c r="G23" s="6">
        <v>796.5</v>
      </c>
      <c r="H23" s="6" t="s">
        <v>138</v>
      </c>
      <c r="I23" s="6" t="s">
        <v>209</v>
      </c>
      <c r="J23" s="11">
        <v>0</v>
      </c>
      <c r="K23" s="6">
        <v>0</v>
      </c>
      <c r="L23" s="8" t="s">
        <v>29</v>
      </c>
      <c r="M23" s="11">
        <v>0</v>
      </c>
      <c r="N23" s="6">
        <v>0</v>
      </c>
      <c r="O23" s="8" t="s">
        <v>29</v>
      </c>
      <c r="P23" s="11"/>
      <c r="Q23" s="6"/>
      <c r="R23" s="8"/>
      <c r="S23" s="9">
        <f t="shared" si="0"/>
        <v>0</v>
      </c>
      <c r="T23" s="6">
        <f t="shared" si="1"/>
        <v>0</v>
      </c>
    </row>
  </sheetData>
  <mergeCells count="11">
    <mergeCell ref="C7:C8"/>
    <mergeCell ref="D7:D8"/>
    <mergeCell ref="D9:D12"/>
    <mergeCell ref="D19:D21"/>
    <mergeCell ref="C9:C12"/>
    <mergeCell ref="C19:C21"/>
    <mergeCell ref="C4:O4"/>
    <mergeCell ref="S4:T4"/>
    <mergeCell ref="J5:L5"/>
    <mergeCell ref="M5:O5"/>
    <mergeCell ref="P5:R5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5:T33"/>
  <sheetViews>
    <sheetView zoomScale="70" zoomScaleNormal="70" workbookViewId="0">
      <selection activeCell="H26" sqref="H26"/>
    </sheetView>
  </sheetViews>
  <sheetFormatPr defaultRowHeight="14.4" x14ac:dyDescent="0.3"/>
  <cols>
    <col min="4" max="4" width="18.44140625" customWidth="1"/>
    <col min="7" max="7" width="16.109375" customWidth="1"/>
    <col min="11" max="11" width="31.109375" customWidth="1"/>
    <col min="14" max="14" width="19.109375" customWidth="1"/>
    <col min="17" max="17" width="18.109375" customWidth="1"/>
    <col min="19" max="19" width="11.88671875" customWidth="1"/>
  </cols>
  <sheetData>
    <row r="5" spans="2:20" ht="18" x14ac:dyDescent="0.35">
      <c r="B5" s="44" t="s">
        <v>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  <c r="O5" s="1" t="s">
        <v>1</v>
      </c>
      <c r="P5" s="2" t="s">
        <v>351</v>
      </c>
      <c r="Q5" s="1" t="s">
        <v>2</v>
      </c>
      <c r="R5" s="47"/>
      <c r="S5" s="48"/>
    </row>
    <row r="6" spans="2:20" ht="72" x14ac:dyDescent="0.3">
      <c r="B6" s="4" t="s">
        <v>3</v>
      </c>
      <c r="C6" s="4" t="s">
        <v>4</v>
      </c>
      <c r="D6" s="4" t="s">
        <v>5</v>
      </c>
      <c r="E6" s="5" t="s">
        <v>6</v>
      </c>
      <c r="F6" s="4" t="s">
        <v>7</v>
      </c>
      <c r="G6" s="4" t="s">
        <v>8</v>
      </c>
      <c r="H6" s="5"/>
      <c r="I6" s="49" t="s">
        <v>9</v>
      </c>
      <c r="J6" s="50"/>
      <c r="K6" s="51"/>
      <c r="L6" s="49" t="s">
        <v>10</v>
      </c>
      <c r="M6" s="50"/>
      <c r="N6" s="51"/>
      <c r="O6" s="49" t="s">
        <v>11</v>
      </c>
      <c r="P6" s="50"/>
      <c r="Q6" s="51"/>
      <c r="R6" s="4" t="s">
        <v>12</v>
      </c>
      <c r="S6" s="4" t="s">
        <v>13</v>
      </c>
    </row>
    <row r="7" spans="2:20" ht="18" x14ac:dyDescent="0.3">
      <c r="B7" s="3"/>
      <c r="C7" s="4"/>
      <c r="D7" s="4"/>
      <c r="E7" s="5"/>
      <c r="F7" s="4"/>
      <c r="G7" s="4"/>
      <c r="H7" s="5" t="s">
        <v>14</v>
      </c>
      <c r="I7" s="5" t="s">
        <v>15</v>
      </c>
      <c r="J7" s="5" t="s">
        <v>16</v>
      </c>
      <c r="K7" s="5" t="s">
        <v>17</v>
      </c>
      <c r="L7" s="5" t="s">
        <v>15</v>
      </c>
      <c r="M7" s="5" t="s">
        <v>16</v>
      </c>
      <c r="N7" s="5" t="s">
        <v>17</v>
      </c>
      <c r="O7" s="5" t="s">
        <v>15</v>
      </c>
      <c r="P7" s="5" t="s">
        <v>16</v>
      </c>
      <c r="Q7" s="5" t="s">
        <v>17</v>
      </c>
      <c r="R7" s="9" t="s">
        <v>50</v>
      </c>
      <c r="S7" s="6"/>
    </row>
    <row r="8" spans="2:20" ht="18" x14ac:dyDescent="0.35">
      <c r="B8" s="40">
        <v>1</v>
      </c>
      <c r="C8" s="42" t="s">
        <v>18</v>
      </c>
      <c r="D8" s="40" t="s">
        <v>23</v>
      </c>
      <c r="E8" s="6">
        <v>86289</v>
      </c>
      <c r="F8" s="6">
        <v>914.1</v>
      </c>
      <c r="G8" s="6" t="s">
        <v>324</v>
      </c>
      <c r="H8" s="6" t="s">
        <v>129</v>
      </c>
      <c r="I8" s="11">
        <v>49</v>
      </c>
      <c r="J8" s="6">
        <v>49</v>
      </c>
      <c r="K8" s="8"/>
      <c r="L8" s="11"/>
      <c r="M8" s="6"/>
      <c r="N8" s="6"/>
      <c r="O8" s="11"/>
      <c r="P8" s="6"/>
      <c r="Q8" s="6"/>
      <c r="R8" s="9">
        <f>O8+L8+I8</f>
        <v>49</v>
      </c>
      <c r="S8" s="6">
        <f>P8+M8+J8</f>
        <v>49</v>
      </c>
    </row>
    <row r="9" spans="2:20" ht="18" x14ac:dyDescent="0.35">
      <c r="B9" s="52"/>
      <c r="C9" s="53"/>
      <c r="D9" s="41"/>
      <c r="E9" s="6">
        <v>86289</v>
      </c>
      <c r="F9" s="6">
        <v>914.1</v>
      </c>
      <c r="G9" s="6" t="s">
        <v>298</v>
      </c>
      <c r="H9" s="6" t="s">
        <v>129</v>
      </c>
      <c r="I9" s="11">
        <v>39</v>
      </c>
      <c r="J9" s="6">
        <v>39</v>
      </c>
      <c r="K9" s="8"/>
      <c r="L9" s="11">
        <v>46</v>
      </c>
      <c r="M9" s="6">
        <v>46</v>
      </c>
      <c r="N9" s="6" t="s">
        <v>361</v>
      </c>
      <c r="O9" s="11"/>
      <c r="P9" s="6"/>
      <c r="Q9" s="6"/>
      <c r="R9" s="9">
        <f t="shared" ref="R9:R30" si="0">O9+L9+I9</f>
        <v>85</v>
      </c>
      <c r="S9" s="6">
        <f t="shared" ref="S9:S30" si="1">P9+M9+J9</f>
        <v>85</v>
      </c>
    </row>
    <row r="10" spans="2:20" ht="18" x14ac:dyDescent="0.35">
      <c r="B10" s="41"/>
      <c r="C10" s="43"/>
      <c r="D10" s="6" t="s">
        <v>19</v>
      </c>
      <c r="E10" s="6">
        <v>2191</v>
      </c>
      <c r="F10" s="6">
        <v>489.7</v>
      </c>
      <c r="G10" s="6" t="s">
        <v>20</v>
      </c>
      <c r="H10" s="6" t="s">
        <v>214</v>
      </c>
      <c r="I10" s="11"/>
      <c r="J10" s="6"/>
      <c r="K10" s="8"/>
      <c r="L10" s="11">
        <v>10</v>
      </c>
      <c r="M10" s="6">
        <v>4</v>
      </c>
      <c r="N10" s="6" t="s">
        <v>44</v>
      </c>
      <c r="O10" s="11">
        <v>30</v>
      </c>
      <c r="P10" s="6">
        <v>30</v>
      </c>
      <c r="Q10" s="6" t="s">
        <v>362</v>
      </c>
      <c r="R10" s="9">
        <f t="shared" si="0"/>
        <v>40</v>
      </c>
      <c r="S10" s="6">
        <f t="shared" si="1"/>
        <v>34</v>
      </c>
    </row>
    <row r="11" spans="2:20" ht="18" hidden="1" x14ac:dyDescent="0.35">
      <c r="B11" s="40">
        <v>2</v>
      </c>
      <c r="C11" s="42" t="s">
        <v>212</v>
      </c>
      <c r="D11" s="6" t="s">
        <v>23</v>
      </c>
      <c r="E11" s="6">
        <v>86292</v>
      </c>
      <c r="F11" s="6">
        <v>914.4</v>
      </c>
      <c r="G11" s="6" t="s">
        <v>298</v>
      </c>
      <c r="H11" s="6" t="s">
        <v>129</v>
      </c>
      <c r="I11" s="11">
        <v>88</v>
      </c>
      <c r="J11" s="6">
        <v>88</v>
      </c>
      <c r="K11" s="8"/>
      <c r="L11" s="11">
        <v>88</v>
      </c>
      <c r="M11" s="6">
        <v>0</v>
      </c>
      <c r="N11" s="23"/>
      <c r="O11" s="11">
        <v>88</v>
      </c>
      <c r="P11" s="6">
        <v>0</v>
      </c>
      <c r="Q11" s="23"/>
      <c r="R11" s="9">
        <f t="shared" si="0"/>
        <v>264</v>
      </c>
      <c r="S11" s="6">
        <f t="shared" si="1"/>
        <v>88</v>
      </c>
    </row>
    <row r="12" spans="2:20" ht="18" hidden="1" x14ac:dyDescent="0.35">
      <c r="B12" s="52"/>
      <c r="C12" s="53"/>
      <c r="D12" s="6"/>
      <c r="E12" s="6"/>
      <c r="F12" s="6"/>
      <c r="G12" s="6"/>
      <c r="H12" s="6"/>
      <c r="I12" s="11"/>
      <c r="J12" s="6"/>
      <c r="K12" s="8"/>
      <c r="L12" s="11"/>
      <c r="M12" s="6"/>
      <c r="N12" s="23"/>
      <c r="O12" s="11"/>
      <c r="P12" s="6"/>
      <c r="Q12" s="23"/>
      <c r="R12" s="9">
        <f t="shared" si="0"/>
        <v>0</v>
      </c>
      <c r="S12" s="6">
        <f t="shared" si="1"/>
        <v>0</v>
      </c>
    </row>
    <row r="13" spans="2:20" ht="18" x14ac:dyDescent="0.35">
      <c r="B13" s="52"/>
      <c r="C13" s="53"/>
      <c r="D13" s="6" t="s">
        <v>23</v>
      </c>
      <c r="E13" s="6">
        <v>86292</v>
      </c>
      <c r="F13" s="6">
        <v>914.4</v>
      </c>
      <c r="G13" s="6" t="s">
        <v>324</v>
      </c>
      <c r="H13" s="6" t="s">
        <v>203</v>
      </c>
      <c r="I13" s="11">
        <v>55</v>
      </c>
      <c r="J13" s="6">
        <v>55</v>
      </c>
      <c r="K13" s="8"/>
      <c r="L13" s="11">
        <v>55</v>
      </c>
      <c r="M13" s="6">
        <v>55</v>
      </c>
      <c r="N13" s="23"/>
      <c r="O13" s="11">
        <v>55</v>
      </c>
      <c r="P13" s="6">
        <v>55</v>
      </c>
      <c r="Q13" s="23"/>
      <c r="R13" s="9">
        <f t="shared" si="0"/>
        <v>165</v>
      </c>
      <c r="S13" s="6">
        <f t="shared" si="1"/>
        <v>165</v>
      </c>
      <c r="T13" s="6"/>
    </row>
    <row r="14" spans="2:20" ht="18" hidden="1" x14ac:dyDescent="0.35">
      <c r="B14" s="52"/>
      <c r="C14" s="53"/>
      <c r="D14" s="6" t="s">
        <v>23</v>
      </c>
      <c r="E14" s="6">
        <v>86289</v>
      </c>
      <c r="F14" s="6">
        <v>914.1</v>
      </c>
      <c r="G14" s="6" t="s">
        <v>308</v>
      </c>
      <c r="H14" s="6" t="s">
        <v>226</v>
      </c>
      <c r="I14" s="11">
        <v>0</v>
      </c>
      <c r="J14" s="6">
        <v>0</v>
      </c>
      <c r="K14" s="8"/>
      <c r="L14" s="11">
        <v>0</v>
      </c>
      <c r="M14" s="6">
        <v>82</v>
      </c>
      <c r="N14" s="23"/>
      <c r="O14" s="11">
        <v>0</v>
      </c>
      <c r="P14" s="6">
        <v>82</v>
      </c>
      <c r="Q14" s="23"/>
      <c r="R14" s="9">
        <f t="shared" si="0"/>
        <v>0</v>
      </c>
      <c r="S14" s="6">
        <f t="shared" si="1"/>
        <v>164</v>
      </c>
      <c r="T14" s="6"/>
    </row>
    <row r="15" spans="2:20" ht="18" hidden="1" x14ac:dyDescent="0.35">
      <c r="B15" s="41"/>
      <c r="C15" s="43"/>
      <c r="D15" s="6" t="s">
        <v>23</v>
      </c>
      <c r="E15" s="6">
        <v>86289</v>
      </c>
      <c r="F15" s="6">
        <v>914.1</v>
      </c>
      <c r="G15" s="6" t="s">
        <v>61</v>
      </c>
      <c r="H15" s="6" t="s">
        <v>355</v>
      </c>
      <c r="I15" s="11"/>
      <c r="J15" s="6"/>
      <c r="K15" s="8"/>
      <c r="L15" s="11"/>
      <c r="M15" s="6"/>
      <c r="N15" s="23"/>
      <c r="O15" s="11"/>
      <c r="P15" s="6"/>
      <c r="Q15" s="23"/>
      <c r="R15" s="9">
        <f t="shared" si="0"/>
        <v>0</v>
      </c>
      <c r="S15" s="6">
        <f t="shared" si="1"/>
        <v>0</v>
      </c>
      <c r="T15" s="23"/>
    </row>
    <row r="16" spans="2:20" ht="18" x14ac:dyDescent="0.35">
      <c r="B16" s="14">
        <v>3</v>
      </c>
      <c r="C16" s="7" t="s">
        <v>22</v>
      </c>
      <c r="D16" s="6" t="s">
        <v>23</v>
      </c>
      <c r="E16" s="6">
        <v>86292</v>
      </c>
      <c r="F16" s="6">
        <v>914.4</v>
      </c>
      <c r="G16" s="6" t="s">
        <v>61</v>
      </c>
      <c r="H16" s="6" t="s">
        <v>293</v>
      </c>
      <c r="I16" s="11">
        <v>25</v>
      </c>
      <c r="J16" s="6">
        <v>25</v>
      </c>
      <c r="K16" s="8"/>
      <c r="L16" s="11">
        <v>0</v>
      </c>
      <c r="M16" s="6">
        <v>0</v>
      </c>
      <c r="N16" s="23" t="s">
        <v>42</v>
      </c>
      <c r="O16" s="11"/>
      <c r="P16" s="6"/>
      <c r="Q16" s="23" t="s">
        <v>210</v>
      </c>
      <c r="R16" s="9">
        <f t="shared" si="0"/>
        <v>25</v>
      </c>
      <c r="S16" s="6">
        <f t="shared" si="1"/>
        <v>25</v>
      </c>
      <c r="T16" s="23"/>
    </row>
    <row r="17" spans="2:20" ht="18" x14ac:dyDescent="0.35">
      <c r="B17" s="6">
        <v>4</v>
      </c>
      <c r="C17" s="7" t="s">
        <v>25</v>
      </c>
      <c r="D17" s="6" t="s">
        <v>302</v>
      </c>
      <c r="E17" s="10">
        <v>2123</v>
      </c>
      <c r="F17" s="6">
        <v>418.2</v>
      </c>
      <c r="G17" s="6" t="s">
        <v>303</v>
      </c>
      <c r="H17" s="6" t="s">
        <v>297</v>
      </c>
      <c r="I17" s="11">
        <v>0</v>
      </c>
      <c r="J17" s="6">
        <v>0</v>
      </c>
      <c r="K17" s="8" t="s">
        <v>29</v>
      </c>
      <c r="L17" s="11">
        <v>0</v>
      </c>
      <c r="M17" s="6">
        <v>0</v>
      </c>
      <c r="N17" s="8" t="s">
        <v>29</v>
      </c>
      <c r="O17" s="11">
        <v>0</v>
      </c>
      <c r="P17" s="6">
        <v>0</v>
      </c>
      <c r="Q17" s="8" t="s">
        <v>29</v>
      </c>
      <c r="R17" s="9">
        <f t="shared" si="0"/>
        <v>0</v>
      </c>
      <c r="S17" s="6">
        <f t="shared" si="1"/>
        <v>0</v>
      </c>
      <c r="T17" s="23"/>
    </row>
    <row r="18" spans="2:20" ht="18" x14ac:dyDescent="0.35">
      <c r="B18" s="10">
        <v>5</v>
      </c>
      <c r="C18" s="7" t="s">
        <v>28</v>
      </c>
      <c r="D18" s="6" t="s">
        <v>319</v>
      </c>
      <c r="E18" s="10">
        <v>2123</v>
      </c>
      <c r="F18" s="6">
        <v>428.75</v>
      </c>
      <c r="G18" s="6" t="s">
        <v>303</v>
      </c>
      <c r="H18" s="6" t="s">
        <v>129</v>
      </c>
      <c r="I18" s="11">
        <v>0</v>
      </c>
      <c r="J18" s="6">
        <v>0</v>
      </c>
      <c r="K18" s="8" t="s">
        <v>29</v>
      </c>
      <c r="L18" s="11">
        <v>0</v>
      </c>
      <c r="M18" s="6">
        <v>0</v>
      </c>
      <c r="N18" s="8" t="s">
        <v>29</v>
      </c>
      <c r="O18" s="11">
        <v>0</v>
      </c>
      <c r="P18" s="6">
        <v>0</v>
      </c>
      <c r="Q18" s="8" t="s">
        <v>29</v>
      </c>
      <c r="R18" s="9">
        <f t="shared" si="0"/>
        <v>0</v>
      </c>
      <c r="S18" s="6">
        <f t="shared" si="1"/>
        <v>0</v>
      </c>
      <c r="T18" s="23"/>
    </row>
    <row r="19" spans="2:20" ht="18" x14ac:dyDescent="0.35">
      <c r="B19" s="40">
        <v>6</v>
      </c>
      <c r="C19" s="7" t="s">
        <v>30</v>
      </c>
      <c r="D19" s="40" t="s">
        <v>47</v>
      </c>
      <c r="E19" s="10">
        <v>99719</v>
      </c>
      <c r="F19" s="6">
        <v>1107</v>
      </c>
      <c r="G19" s="6" t="s">
        <v>236</v>
      </c>
      <c r="H19" s="11" t="s">
        <v>129</v>
      </c>
      <c r="I19" s="11">
        <v>6</v>
      </c>
      <c r="J19" s="6">
        <v>6</v>
      </c>
      <c r="K19" s="8"/>
      <c r="L19" s="11">
        <v>0</v>
      </c>
      <c r="M19" s="6">
        <v>0</v>
      </c>
      <c r="N19" s="8"/>
      <c r="O19" s="11"/>
      <c r="P19" s="6"/>
      <c r="Q19" s="8"/>
      <c r="R19" s="9">
        <f t="shared" si="0"/>
        <v>6</v>
      </c>
      <c r="S19" s="6">
        <f t="shared" si="1"/>
        <v>6</v>
      </c>
      <c r="T19" s="23"/>
    </row>
    <row r="20" spans="2:20" ht="18" x14ac:dyDescent="0.35">
      <c r="B20" s="41"/>
      <c r="C20" s="7" t="s">
        <v>30</v>
      </c>
      <c r="D20" s="41"/>
      <c r="E20" s="10">
        <v>99719</v>
      </c>
      <c r="F20" s="6">
        <v>1107</v>
      </c>
      <c r="G20" s="6" t="s">
        <v>61</v>
      </c>
      <c r="H20" s="11" t="s">
        <v>129</v>
      </c>
      <c r="I20" s="11">
        <v>110</v>
      </c>
      <c r="J20" s="6">
        <v>100</v>
      </c>
      <c r="K20" s="8"/>
      <c r="L20" s="11">
        <v>110</v>
      </c>
      <c r="M20" s="6">
        <v>0</v>
      </c>
      <c r="N20" s="8" t="s">
        <v>57</v>
      </c>
      <c r="O20" s="11">
        <v>110</v>
      </c>
      <c r="P20" s="6">
        <v>110</v>
      </c>
      <c r="Q20" s="8"/>
      <c r="R20" s="9">
        <f t="shared" si="0"/>
        <v>330</v>
      </c>
      <c r="S20" s="6">
        <f t="shared" si="1"/>
        <v>210</v>
      </c>
      <c r="T20" s="8"/>
    </row>
    <row r="21" spans="2:20" ht="18" hidden="1" x14ac:dyDescent="0.35">
      <c r="B21" s="14">
        <v>7</v>
      </c>
      <c r="C21" s="13" t="s">
        <v>31</v>
      </c>
      <c r="D21" s="6" t="s">
        <v>353</v>
      </c>
      <c r="E21" s="6">
        <v>84051</v>
      </c>
      <c r="F21" s="6">
        <v>3050</v>
      </c>
      <c r="G21" s="6" t="s">
        <v>49</v>
      </c>
      <c r="H21" s="6" t="s">
        <v>129</v>
      </c>
      <c r="I21" s="11">
        <v>88</v>
      </c>
      <c r="J21" s="6">
        <v>85</v>
      </c>
      <c r="K21" s="8"/>
      <c r="L21" s="11">
        <v>88</v>
      </c>
      <c r="M21" s="6">
        <v>20</v>
      </c>
      <c r="N21" s="8" t="s">
        <v>354</v>
      </c>
      <c r="O21" s="11">
        <v>88</v>
      </c>
      <c r="P21" s="6">
        <v>20</v>
      </c>
      <c r="Q21" s="8" t="s">
        <v>354</v>
      </c>
      <c r="R21" s="9">
        <f t="shared" si="0"/>
        <v>264</v>
      </c>
      <c r="S21" s="6">
        <f t="shared" si="1"/>
        <v>125</v>
      </c>
      <c r="T21" s="8"/>
    </row>
    <row r="22" spans="2:20" ht="18" x14ac:dyDescent="0.35">
      <c r="B22" s="6">
        <v>7</v>
      </c>
      <c r="C22" s="7" t="s">
        <v>31</v>
      </c>
      <c r="D22" s="6" t="s">
        <v>64</v>
      </c>
      <c r="E22" s="6">
        <v>90129</v>
      </c>
      <c r="F22" s="6">
        <v>2540</v>
      </c>
      <c r="G22" s="6" t="s">
        <v>49</v>
      </c>
      <c r="H22" s="6" t="s">
        <v>256</v>
      </c>
      <c r="I22" s="11">
        <v>30</v>
      </c>
      <c r="J22" s="6">
        <v>6</v>
      </c>
      <c r="K22" s="8" t="s">
        <v>360</v>
      </c>
      <c r="L22" s="11">
        <v>30</v>
      </c>
      <c r="M22" s="6">
        <v>30</v>
      </c>
      <c r="N22" s="8"/>
      <c r="O22" s="11">
        <v>29</v>
      </c>
      <c r="P22" s="6">
        <v>21</v>
      </c>
      <c r="Q22" s="8"/>
      <c r="R22" s="9">
        <f t="shared" si="0"/>
        <v>89</v>
      </c>
      <c r="S22" s="6">
        <f t="shared" si="1"/>
        <v>57</v>
      </c>
      <c r="T22" s="8"/>
    </row>
    <row r="23" spans="2:20" ht="18.75" hidden="1" customHeight="1" x14ac:dyDescent="0.35">
      <c r="B23" s="40">
        <v>8</v>
      </c>
      <c r="C23" s="25" t="s">
        <v>33</v>
      </c>
      <c r="D23" s="6" t="s">
        <v>23</v>
      </c>
      <c r="E23" s="6">
        <v>86292</v>
      </c>
      <c r="F23" s="6">
        <v>914.4</v>
      </c>
      <c r="G23" s="6" t="s">
        <v>298</v>
      </c>
      <c r="H23" s="6" t="s">
        <v>129</v>
      </c>
      <c r="I23" s="11">
        <v>0</v>
      </c>
      <c r="J23" s="6">
        <v>0</v>
      </c>
      <c r="K23" s="8"/>
      <c r="L23" s="11">
        <v>0</v>
      </c>
      <c r="M23" s="6">
        <v>44</v>
      </c>
      <c r="N23" s="8"/>
      <c r="O23" s="11">
        <v>0</v>
      </c>
      <c r="P23" s="6">
        <v>44</v>
      </c>
      <c r="Q23" s="8"/>
      <c r="R23" s="9">
        <f t="shared" si="0"/>
        <v>0</v>
      </c>
      <c r="S23" s="6">
        <f t="shared" si="1"/>
        <v>88</v>
      </c>
      <c r="T23" s="8"/>
    </row>
    <row r="24" spans="2:20" ht="18.75" hidden="1" customHeight="1" x14ac:dyDescent="0.35">
      <c r="B24" s="52"/>
      <c r="C24" s="35"/>
      <c r="D24" s="6" t="s">
        <v>23</v>
      </c>
      <c r="E24" s="6">
        <v>86292</v>
      </c>
      <c r="F24" s="6">
        <v>914.4</v>
      </c>
      <c r="G24" s="6" t="s">
        <v>301</v>
      </c>
      <c r="H24" s="6" t="s">
        <v>129</v>
      </c>
      <c r="I24" s="11">
        <v>88</v>
      </c>
      <c r="J24" s="6">
        <v>88</v>
      </c>
      <c r="K24" s="8"/>
      <c r="L24" s="11">
        <v>88</v>
      </c>
      <c r="M24" s="6">
        <v>44</v>
      </c>
      <c r="N24" s="8"/>
      <c r="O24" s="11">
        <v>88</v>
      </c>
      <c r="P24" s="6">
        <v>44</v>
      </c>
      <c r="Q24" s="8"/>
      <c r="R24" s="9">
        <f t="shared" si="0"/>
        <v>264</v>
      </c>
      <c r="S24" s="6">
        <f t="shared" si="1"/>
        <v>176</v>
      </c>
      <c r="T24" s="8" t="s">
        <v>354</v>
      </c>
    </row>
    <row r="25" spans="2:20" ht="18" x14ac:dyDescent="0.35">
      <c r="B25" s="52"/>
      <c r="C25" s="53" t="s">
        <v>33</v>
      </c>
      <c r="D25" s="40" t="s">
        <v>47</v>
      </c>
      <c r="E25" s="6">
        <v>99719</v>
      </c>
      <c r="F25" s="6">
        <v>5000</v>
      </c>
      <c r="G25" s="6" t="s">
        <v>308</v>
      </c>
      <c r="H25" s="6" t="s">
        <v>237</v>
      </c>
      <c r="I25" s="11">
        <v>9</v>
      </c>
      <c r="J25" s="6">
        <v>9</v>
      </c>
      <c r="K25" s="8"/>
      <c r="L25" s="11">
        <v>0</v>
      </c>
      <c r="M25" s="6">
        <v>0</v>
      </c>
      <c r="N25" s="8"/>
      <c r="O25" s="11"/>
      <c r="P25" s="6"/>
      <c r="Q25" s="8"/>
      <c r="R25" s="9">
        <f t="shared" si="0"/>
        <v>9</v>
      </c>
      <c r="S25" s="6">
        <f t="shared" si="1"/>
        <v>9</v>
      </c>
      <c r="T25" s="8"/>
    </row>
    <row r="26" spans="2:20" ht="18" x14ac:dyDescent="0.35">
      <c r="B26" s="52"/>
      <c r="C26" s="53"/>
      <c r="D26" s="52"/>
      <c r="E26" s="6">
        <v>99719</v>
      </c>
      <c r="F26" s="6">
        <v>5000</v>
      </c>
      <c r="G26" s="6" t="s">
        <v>308</v>
      </c>
      <c r="H26" s="6" t="s">
        <v>171</v>
      </c>
      <c r="I26" s="11">
        <v>31</v>
      </c>
      <c r="J26" s="6">
        <v>31</v>
      </c>
      <c r="K26" s="8"/>
      <c r="L26" s="11">
        <v>31</v>
      </c>
      <c r="M26" s="6">
        <v>31</v>
      </c>
      <c r="N26" s="8" t="s">
        <v>44</v>
      </c>
      <c r="O26" s="11"/>
      <c r="P26" s="6"/>
      <c r="Q26" s="8"/>
      <c r="R26" s="9">
        <f t="shared" si="0"/>
        <v>62</v>
      </c>
      <c r="S26" s="6">
        <f t="shared" si="1"/>
        <v>62</v>
      </c>
      <c r="T26" s="8"/>
    </row>
    <row r="27" spans="2:20" ht="18" x14ac:dyDescent="0.35">
      <c r="B27" s="52"/>
      <c r="C27" s="53"/>
      <c r="D27" s="52"/>
      <c r="E27" s="6">
        <v>99643</v>
      </c>
      <c r="F27" s="6">
        <v>5000</v>
      </c>
      <c r="G27" s="6" t="s">
        <v>49</v>
      </c>
      <c r="H27" s="6" t="s">
        <v>293</v>
      </c>
      <c r="I27" s="11"/>
      <c r="J27" s="6"/>
      <c r="K27" s="8"/>
      <c r="L27" s="11"/>
      <c r="M27" s="6"/>
      <c r="N27" s="8"/>
      <c r="O27" s="11">
        <v>13</v>
      </c>
      <c r="P27" s="6">
        <v>13</v>
      </c>
      <c r="Q27" s="8"/>
      <c r="R27" s="9">
        <f t="shared" si="0"/>
        <v>13</v>
      </c>
      <c r="S27" s="6">
        <f>P27+M27+J27</f>
        <v>13</v>
      </c>
      <c r="T27" s="8"/>
    </row>
    <row r="28" spans="2:20" ht="18" x14ac:dyDescent="0.35">
      <c r="B28" s="41"/>
      <c r="C28" s="43"/>
      <c r="D28" s="41"/>
      <c r="E28" s="6">
        <v>1792</v>
      </c>
      <c r="F28" s="6">
        <v>5000</v>
      </c>
      <c r="G28" s="6">
        <v>8</v>
      </c>
      <c r="H28" s="6" t="s">
        <v>214</v>
      </c>
      <c r="I28" s="11"/>
      <c r="J28" s="6"/>
      <c r="K28" s="8"/>
      <c r="L28" s="11"/>
      <c r="M28" s="6"/>
      <c r="N28" s="8"/>
      <c r="O28" s="11">
        <v>20</v>
      </c>
      <c r="P28" s="6">
        <v>18</v>
      </c>
      <c r="Q28" s="8" t="s">
        <v>363</v>
      </c>
      <c r="R28" s="9">
        <f t="shared" si="0"/>
        <v>20</v>
      </c>
      <c r="S28" s="6">
        <f t="shared" si="1"/>
        <v>18</v>
      </c>
      <c r="T28" s="8"/>
    </row>
    <row r="29" spans="2:20" ht="18" x14ac:dyDescent="0.35">
      <c r="B29" s="40">
        <v>9</v>
      </c>
      <c r="C29" s="7" t="s">
        <v>34</v>
      </c>
      <c r="D29" s="6" t="s">
        <v>64</v>
      </c>
      <c r="E29" s="6">
        <v>90129</v>
      </c>
      <c r="F29" s="6">
        <v>2540</v>
      </c>
      <c r="G29" s="6" t="s">
        <v>49</v>
      </c>
      <c r="H29" s="6" t="s">
        <v>235</v>
      </c>
      <c r="I29" s="11">
        <v>124</v>
      </c>
      <c r="J29" s="6">
        <v>124</v>
      </c>
      <c r="K29" s="8"/>
      <c r="L29" s="11">
        <v>124</v>
      </c>
      <c r="M29" s="6">
        <v>124</v>
      </c>
      <c r="N29" s="8"/>
      <c r="O29" s="11">
        <v>124</v>
      </c>
      <c r="P29" s="6">
        <v>120</v>
      </c>
      <c r="Q29" s="8"/>
      <c r="R29" s="9">
        <f t="shared" si="0"/>
        <v>372</v>
      </c>
      <c r="S29" s="6">
        <f t="shared" si="1"/>
        <v>368</v>
      </c>
      <c r="T29" s="8"/>
    </row>
    <row r="30" spans="2:20" ht="18" x14ac:dyDescent="0.35">
      <c r="B30" s="41"/>
      <c r="C30" s="55" t="s">
        <v>35</v>
      </c>
      <c r="D30" s="6" t="s">
        <v>19</v>
      </c>
      <c r="E30" s="6">
        <v>2122</v>
      </c>
      <c r="F30" s="6">
        <v>796.5</v>
      </c>
      <c r="G30" s="6" t="s">
        <v>359</v>
      </c>
      <c r="H30" s="6" t="s">
        <v>190</v>
      </c>
      <c r="I30" s="11">
        <v>0</v>
      </c>
      <c r="J30" s="6">
        <v>0</v>
      </c>
      <c r="K30" s="8" t="s">
        <v>29</v>
      </c>
      <c r="L30" s="11">
        <v>0</v>
      </c>
      <c r="M30" s="6">
        <v>0</v>
      </c>
      <c r="N30" s="8" t="s">
        <v>29</v>
      </c>
      <c r="O30" s="11">
        <v>0</v>
      </c>
      <c r="P30" s="6">
        <v>0</v>
      </c>
      <c r="Q30" s="8" t="s">
        <v>29</v>
      </c>
      <c r="R30" s="9">
        <f t="shared" si="0"/>
        <v>0</v>
      </c>
      <c r="S30" s="6">
        <f t="shared" si="1"/>
        <v>0</v>
      </c>
      <c r="T30" s="8"/>
    </row>
    <row r="31" spans="2:20" ht="18" hidden="1" x14ac:dyDescent="0.35">
      <c r="B31" s="6">
        <v>10</v>
      </c>
      <c r="C31" s="55"/>
      <c r="D31" s="6" t="s">
        <v>47</v>
      </c>
      <c r="E31" s="6">
        <v>99719</v>
      </c>
      <c r="F31" s="6">
        <v>5000</v>
      </c>
      <c r="G31" s="6" t="s">
        <v>308</v>
      </c>
      <c r="H31" s="6" t="s">
        <v>237</v>
      </c>
      <c r="I31" s="11">
        <v>9</v>
      </c>
      <c r="J31" s="6">
        <v>9</v>
      </c>
      <c r="K31" s="8" t="s">
        <v>29</v>
      </c>
      <c r="L31" s="11">
        <v>0</v>
      </c>
      <c r="M31" s="6">
        <v>0</v>
      </c>
      <c r="N31" s="8" t="s">
        <v>29</v>
      </c>
      <c r="O31" s="11"/>
      <c r="P31" s="6"/>
      <c r="Q31" s="8"/>
      <c r="R31" s="11"/>
      <c r="S31" s="6"/>
      <c r="T31" s="8"/>
    </row>
    <row r="32" spans="2:20" ht="18" hidden="1" x14ac:dyDescent="0.35">
      <c r="C32" s="55"/>
      <c r="D32" s="6"/>
      <c r="E32" s="6"/>
      <c r="F32" s="6"/>
      <c r="G32" s="6"/>
      <c r="H32" s="6"/>
      <c r="I32" s="11"/>
      <c r="J32" s="6"/>
      <c r="R32" s="11"/>
      <c r="S32" s="6"/>
      <c r="T32" s="8"/>
    </row>
    <row r="33" spans="18:20" ht="18" x14ac:dyDescent="0.35">
      <c r="R33" s="11"/>
      <c r="S33" s="6"/>
      <c r="T33" s="8" t="s">
        <v>50</v>
      </c>
    </row>
  </sheetData>
  <mergeCells count="17">
    <mergeCell ref="B5:N5"/>
    <mergeCell ref="R5:S5"/>
    <mergeCell ref="I6:K6"/>
    <mergeCell ref="L6:N6"/>
    <mergeCell ref="O6:Q6"/>
    <mergeCell ref="D25:D28"/>
    <mergeCell ref="B23:B28"/>
    <mergeCell ref="B29:B30"/>
    <mergeCell ref="D8:D9"/>
    <mergeCell ref="D19:D20"/>
    <mergeCell ref="B19:B20"/>
    <mergeCell ref="B11:B15"/>
    <mergeCell ref="C11:C15"/>
    <mergeCell ref="C30:C32"/>
    <mergeCell ref="C25:C28"/>
    <mergeCell ref="B8:B10"/>
    <mergeCell ref="C8:C10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C6:T36"/>
  <sheetViews>
    <sheetView topLeftCell="E1" zoomScale="70" zoomScaleNormal="70" workbookViewId="0">
      <selection activeCell="P7" sqref="P7:R7"/>
    </sheetView>
  </sheetViews>
  <sheetFormatPr defaultRowHeight="14.4" x14ac:dyDescent="0.3"/>
  <cols>
    <col min="4" max="4" width="14.44140625" bestFit="1" customWidth="1"/>
    <col min="5" max="5" width="34.44140625" bestFit="1" customWidth="1"/>
    <col min="6" max="6" width="12.5546875" bestFit="1" customWidth="1"/>
    <col min="7" max="7" width="16.33203125" bestFit="1" customWidth="1"/>
    <col min="8" max="8" width="18.88671875" customWidth="1"/>
    <col min="12" max="12" width="25.33203125" customWidth="1"/>
    <col min="15" max="15" width="26.88671875" customWidth="1"/>
    <col min="18" max="18" width="27.5546875" bestFit="1" customWidth="1"/>
  </cols>
  <sheetData>
    <row r="6" spans="3:20" ht="18" x14ac:dyDescent="0.35">
      <c r="C6" s="44" t="s">
        <v>0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6"/>
      <c r="P6" s="1" t="s">
        <v>1</v>
      </c>
      <c r="Q6" s="2" t="s">
        <v>372</v>
      </c>
      <c r="R6" s="1" t="s">
        <v>2</v>
      </c>
      <c r="S6" s="47"/>
      <c r="T6" s="48"/>
    </row>
    <row r="7" spans="3:20" ht="36" x14ac:dyDescent="0.3">
      <c r="C7" s="4" t="s">
        <v>3</v>
      </c>
      <c r="D7" s="4" t="s">
        <v>4</v>
      </c>
      <c r="E7" s="4" t="s">
        <v>5</v>
      </c>
      <c r="F7" s="5" t="s">
        <v>6</v>
      </c>
      <c r="G7" s="4" t="s">
        <v>7</v>
      </c>
      <c r="H7" s="4" t="s">
        <v>8</v>
      </c>
      <c r="I7" s="5"/>
      <c r="J7" s="49" t="s">
        <v>9</v>
      </c>
      <c r="K7" s="50"/>
      <c r="L7" s="51"/>
      <c r="M7" s="49" t="s">
        <v>10</v>
      </c>
      <c r="N7" s="50"/>
      <c r="O7" s="51"/>
      <c r="P7" s="49" t="s">
        <v>11</v>
      </c>
      <c r="Q7" s="50"/>
      <c r="R7" s="51"/>
      <c r="S7" s="4" t="s">
        <v>12</v>
      </c>
      <c r="T7" s="4" t="s">
        <v>13</v>
      </c>
    </row>
    <row r="8" spans="3:20" ht="18" x14ac:dyDescent="0.3">
      <c r="C8" s="3"/>
      <c r="D8" s="4"/>
      <c r="E8" s="4"/>
      <c r="F8" s="5"/>
      <c r="G8" s="4"/>
      <c r="H8" s="4"/>
      <c r="I8" s="5" t="s">
        <v>14</v>
      </c>
      <c r="J8" s="5" t="s">
        <v>15</v>
      </c>
      <c r="K8" s="5" t="s">
        <v>16</v>
      </c>
      <c r="L8" s="5" t="s">
        <v>17</v>
      </c>
      <c r="M8" s="5" t="s">
        <v>15</v>
      </c>
      <c r="N8" s="5" t="s">
        <v>16</v>
      </c>
      <c r="O8" s="5" t="s">
        <v>17</v>
      </c>
      <c r="P8" s="5" t="s">
        <v>15</v>
      </c>
      <c r="Q8" s="5" t="s">
        <v>16</v>
      </c>
      <c r="R8" s="5" t="s">
        <v>17</v>
      </c>
      <c r="S8" s="9" t="s">
        <v>50</v>
      </c>
      <c r="T8" s="6"/>
    </row>
    <row r="9" spans="3:20" ht="18" hidden="1" x14ac:dyDescent="0.35">
      <c r="C9" s="40">
        <v>1</v>
      </c>
      <c r="D9" s="42" t="s">
        <v>18</v>
      </c>
      <c r="E9" s="40" t="s">
        <v>364</v>
      </c>
      <c r="F9" s="6" t="s">
        <v>113</v>
      </c>
      <c r="G9" s="6"/>
      <c r="H9" s="6" t="s">
        <v>303</v>
      </c>
      <c r="I9" s="6"/>
      <c r="J9" s="11">
        <v>70</v>
      </c>
      <c r="K9" s="6">
        <v>70</v>
      </c>
      <c r="L9" s="8"/>
      <c r="M9" s="11"/>
      <c r="N9" s="6"/>
      <c r="O9" s="6"/>
      <c r="P9" s="11">
        <v>44</v>
      </c>
      <c r="Q9" s="6">
        <v>35</v>
      </c>
      <c r="R9" s="6" t="s">
        <v>366</v>
      </c>
      <c r="S9" s="9">
        <f>P9+M9+J9</f>
        <v>114</v>
      </c>
      <c r="T9" s="6">
        <f>Q9+N9+K9</f>
        <v>105</v>
      </c>
    </row>
    <row r="10" spans="3:20" ht="18.75" hidden="1" customHeight="1" x14ac:dyDescent="0.35">
      <c r="C10" s="52"/>
      <c r="D10" s="53"/>
      <c r="E10" s="41"/>
      <c r="F10" s="6">
        <v>86289</v>
      </c>
      <c r="G10" s="6">
        <v>914.1</v>
      </c>
      <c r="H10" s="6" t="s">
        <v>298</v>
      </c>
      <c r="I10" s="6" t="s">
        <v>129</v>
      </c>
      <c r="J10" s="11">
        <v>39</v>
      </c>
      <c r="K10" s="6">
        <v>39</v>
      </c>
      <c r="L10" s="8"/>
      <c r="M10" s="11">
        <v>46</v>
      </c>
      <c r="N10" s="6">
        <v>46</v>
      </c>
      <c r="O10" s="6" t="s">
        <v>361</v>
      </c>
      <c r="P10" s="11">
        <v>46</v>
      </c>
      <c r="Q10" s="6">
        <v>46</v>
      </c>
      <c r="R10" s="6" t="s">
        <v>361</v>
      </c>
      <c r="S10" s="9">
        <f t="shared" ref="S10:S35" si="0">P10+M10+J10</f>
        <v>131</v>
      </c>
      <c r="T10" s="6">
        <f t="shared" ref="T10:T35" si="1">Q10+N10+K10</f>
        <v>131</v>
      </c>
    </row>
    <row r="11" spans="3:20" ht="18.75" hidden="1" customHeight="1" x14ac:dyDescent="0.35">
      <c r="C11" s="52"/>
      <c r="D11" s="53"/>
      <c r="E11" s="6" t="s">
        <v>19</v>
      </c>
      <c r="F11" s="6">
        <v>2191</v>
      </c>
      <c r="G11" s="6">
        <v>489.7</v>
      </c>
      <c r="H11" s="6" t="s">
        <v>20</v>
      </c>
      <c r="I11" s="6" t="s">
        <v>214</v>
      </c>
      <c r="J11" s="11"/>
      <c r="K11" s="6"/>
      <c r="L11" s="8"/>
      <c r="M11" s="11">
        <v>10</v>
      </c>
      <c r="N11" s="6">
        <v>4</v>
      </c>
      <c r="O11" s="6" t="s">
        <v>44</v>
      </c>
      <c r="P11" s="11">
        <v>10</v>
      </c>
      <c r="Q11" s="6">
        <v>4</v>
      </c>
      <c r="R11" s="6" t="s">
        <v>44</v>
      </c>
      <c r="S11" s="9">
        <f t="shared" si="0"/>
        <v>20</v>
      </c>
      <c r="T11" s="6">
        <f t="shared" si="1"/>
        <v>8</v>
      </c>
    </row>
    <row r="12" spans="3:20" ht="18.75" hidden="1" customHeight="1" x14ac:dyDescent="0.35">
      <c r="C12" s="52"/>
      <c r="D12" s="53"/>
      <c r="E12" s="6" t="s">
        <v>23</v>
      </c>
      <c r="F12" s="6">
        <v>86292</v>
      </c>
      <c r="G12" s="6">
        <v>914.4</v>
      </c>
      <c r="H12" s="6" t="s">
        <v>298</v>
      </c>
      <c r="I12" s="6" t="s">
        <v>129</v>
      </c>
      <c r="J12" s="11">
        <v>88</v>
      </c>
      <c r="K12" s="6">
        <v>88</v>
      </c>
      <c r="L12" s="8"/>
      <c r="M12" s="11">
        <v>88</v>
      </c>
      <c r="N12" s="6">
        <v>0</v>
      </c>
      <c r="O12" s="23"/>
      <c r="P12" s="11">
        <v>88</v>
      </c>
      <c r="Q12" s="6">
        <v>0</v>
      </c>
      <c r="R12" s="23"/>
      <c r="S12" s="9">
        <f t="shared" si="0"/>
        <v>264</v>
      </c>
      <c r="T12" s="6">
        <f t="shared" si="1"/>
        <v>88</v>
      </c>
    </row>
    <row r="13" spans="3:20" ht="18.75" hidden="1" customHeight="1" x14ac:dyDescent="0.35">
      <c r="C13" s="52"/>
      <c r="D13" s="53"/>
      <c r="E13" s="6"/>
      <c r="F13" s="6"/>
      <c r="G13" s="6"/>
      <c r="H13" s="6"/>
      <c r="I13" s="6"/>
      <c r="J13" s="11"/>
      <c r="K13" s="6"/>
      <c r="L13" s="8"/>
      <c r="M13" s="11"/>
      <c r="N13" s="6"/>
      <c r="O13" s="23"/>
      <c r="P13" s="11"/>
      <c r="Q13" s="6"/>
      <c r="R13" s="23"/>
      <c r="S13" s="9">
        <f t="shared" si="0"/>
        <v>0</v>
      </c>
      <c r="T13" s="6">
        <f t="shared" si="1"/>
        <v>0</v>
      </c>
    </row>
    <row r="14" spans="3:20" ht="18.75" customHeight="1" x14ac:dyDescent="0.35">
      <c r="C14" s="52"/>
      <c r="D14" s="53"/>
      <c r="E14" s="6" t="s">
        <v>23</v>
      </c>
      <c r="F14" s="6">
        <v>86290</v>
      </c>
      <c r="G14" s="6">
        <v>914.4</v>
      </c>
      <c r="H14" s="6" t="s">
        <v>324</v>
      </c>
      <c r="I14" s="11" t="s">
        <v>129</v>
      </c>
      <c r="J14" s="11">
        <v>44</v>
      </c>
      <c r="K14" s="6">
        <v>44</v>
      </c>
      <c r="L14" s="8"/>
      <c r="M14" s="11"/>
      <c r="N14" s="6"/>
      <c r="O14" s="23"/>
      <c r="P14" s="11"/>
      <c r="Q14" s="6"/>
      <c r="R14" s="23"/>
      <c r="S14" s="9"/>
      <c r="T14" s="6"/>
    </row>
    <row r="15" spans="3:20" ht="18" x14ac:dyDescent="0.35">
      <c r="C15" s="41"/>
      <c r="D15" s="43"/>
      <c r="E15" s="6" t="s">
        <v>23</v>
      </c>
      <c r="F15" s="6">
        <v>86290</v>
      </c>
      <c r="G15" s="6">
        <v>914.4</v>
      </c>
      <c r="H15" s="6" t="s">
        <v>69</v>
      </c>
      <c r="I15" s="11" t="s">
        <v>129</v>
      </c>
      <c r="J15" s="11">
        <v>44</v>
      </c>
      <c r="K15" s="6">
        <v>44</v>
      </c>
      <c r="L15" s="8"/>
      <c r="M15" s="11"/>
      <c r="N15" s="6"/>
      <c r="O15" s="23"/>
      <c r="P15" s="11"/>
      <c r="Q15" s="6"/>
      <c r="R15" s="23"/>
      <c r="S15" s="9">
        <f t="shared" si="0"/>
        <v>44</v>
      </c>
      <c r="T15" s="6">
        <f t="shared" si="1"/>
        <v>44</v>
      </c>
    </row>
    <row r="16" spans="3:20" ht="18" x14ac:dyDescent="0.35">
      <c r="C16" s="24">
        <v>2</v>
      </c>
      <c r="D16" s="7" t="s">
        <v>21</v>
      </c>
      <c r="E16" s="6" t="s">
        <v>23</v>
      </c>
      <c r="F16" s="6">
        <v>86292</v>
      </c>
      <c r="G16" s="6">
        <v>914.4</v>
      </c>
      <c r="H16" s="6" t="s">
        <v>324</v>
      </c>
      <c r="I16" s="6" t="s">
        <v>203</v>
      </c>
      <c r="J16" s="11">
        <v>55</v>
      </c>
      <c r="K16" s="6">
        <v>16</v>
      </c>
      <c r="L16" s="8" t="s">
        <v>29</v>
      </c>
      <c r="M16" s="11"/>
      <c r="N16" s="6"/>
      <c r="O16" s="23"/>
      <c r="P16" s="11"/>
      <c r="Q16" s="6"/>
      <c r="R16" s="23"/>
      <c r="S16" s="9">
        <f t="shared" si="0"/>
        <v>55</v>
      </c>
      <c r="T16" s="6">
        <f t="shared" si="1"/>
        <v>16</v>
      </c>
    </row>
    <row r="17" spans="3:20" ht="18.75" hidden="1" customHeight="1" x14ac:dyDescent="0.35">
      <c r="C17" s="24"/>
      <c r="D17" s="18"/>
      <c r="E17" s="6" t="s">
        <v>23</v>
      </c>
      <c r="F17" s="6">
        <v>86289</v>
      </c>
      <c r="G17" s="6">
        <v>914.1</v>
      </c>
      <c r="H17" s="6" t="s">
        <v>308</v>
      </c>
      <c r="I17" s="6" t="s">
        <v>226</v>
      </c>
      <c r="J17" s="11">
        <v>0</v>
      </c>
      <c r="K17" s="6">
        <v>0</v>
      </c>
      <c r="L17" s="8"/>
      <c r="M17" s="11">
        <v>0</v>
      </c>
      <c r="N17" s="6">
        <v>82</v>
      </c>
      <c r="O17" s="23"/>
      <c r="P17" s="11">
        <v>0</v>
      </c>
      <c r="Q17" s="6">
        <v>82</v>
      </c>
      <c r="R17" s="23"/>
      <c r="S17" s="9">
        <f t="shared" si="0"/>
        <v>0</v>
      </c>
      <c r="T17" s="6">
        <f t="shared" si="1"/>
        <v>164</v>
      </c>
    </row>
    <row r="18" spans="3:20" ht="18.75" hidden="1" customHeight="1" x14ac:dyDescent="0.35">
      <c r="C18" s="24"/>
      <c r="D18" s="18"/>
      <c r="E18" s="6" t="s">
        <v>23</v>
      </c>
      <c r="F18" s="6">
        <v>86289</v>
      </c>
      <c r="G18" s="6">
        <v>914.1</v>
      </c>
      <c r="H18" s="6" t="s">
        <v>61</v>
      </c>
      <c r="I18" s="6" t="s">
        <v>355</v>
      </c>
      <c r="J18" s="11"/>
      <c r="K18" s="6"/>
      <c r="L18" s="8"/>
      <c r="M18" s="11"/>
      <c r="N18" s="6"/>
      <c r="O18" s="23"/>
      <c r="P18" s="11"/>
      <c r="Q18" s="6"/>
      <c r="R18" s="23"/>
      <c r="S18" s="9">
        <f t="shared" si="0"/>
        <v>0</v>
      </c>
      <c r="T18" s="6">
        <f t="shared" si="1"/>
        <v>0</v>
      </c>
    </row>
    <row r="19" spans="3:20" ht="18" x14ac:dyDescent="0.35">
      <c r="C19" s="40">
        <v>3</v>
      </c>
      <c r="D19" s="42" t="s">
        <v>22</v>
      </c>
      <c r="E19" s="6" t="s">
        <v>23</v>
      </c>
      <c r="F19" s="6">
        <v>86292</v>
      </c>
      <c r="G19" s="6">
        <v>914.4</v>
      </c>
      <c r="H19" s="6" t="s">
        <v>236</v>
      </c>
      <c r="I19" s="6" t="s">
        <v>293</v>
      </c>
      <c r="J19" s="11">
        <v>36</v>
      </c>
      <c r="K19" s="6">
        <v>20</v>
      </c>
      <c r="L19" s="8" t="s">
        <v>44</v>
      </c>
      <c r="M19" s="11"/>
      <c r="N19" s="6"/>
      <c r="O19" s="23"/>
      <c r="P19" s="11"/>
      <c r="Q19" s="6"/>
      <c r="R19" s="23"/>
      <c r="S19" s="9">
        <f t="shared" si="0"/>
        <v>36</v>
      </c>
      <c r="T19" s="6">
        <f t="shared" si="1"/>
        <v>20</v>
      </c>
    </row>
    <row r="20" spans="3:20" ht="18" hidden="1" x14ac:dyDescent="0.35">
      <c r="C20" s="41"/>
      <c r="D20" s="43"/>
      <c r="E20" s="6" t="s">
        <v>23</v>
      </c>
      <c r="F20" s="6">
        <v>86290</v>
      </c>
      <c r="G20" s="6">
        <v>914.4</v>
      </c>
      <c r="H20" s="6" t="s">
        <v>328</v>
      </c>
      <c r="I20" s="11" t="s">
        <v>129</v>
      </c>
      <c r="J20" s="11"/>
      <c r="K20" s="6"/>
      <c r="L20" s="8"/>
      <c r="M20" s="11">
        <v>88</v>
      </c>
      <c r="N20" s="6">
        <v>60</v>
      </c>
      <c r="O20" s="36" t="s">
        <v>44</v>
      </c>
      <c r="P20" s="11">
        <v>88</v>
      </c>
      <c r="Q20" s="6">
        <v>60</v>
      </c>
      <c r="R20" s="36" t="s">
        <v>44</v>
      </c>
      <c r="S20" s="9">
        <f t="shared" si="0"/>
        <v>176</v>
      </c>
      <c r="T20" s="6">
        <f t="shared" si="1"/>
        <v>120</v>
      </c>
    </row>
    <row r="21" spans="3:20" ht="18" x14ac:dyDescent="0.35">
      <c r="C21" s="6">
        <v>4</v>
      </c>
      <c r="D21" s="7" t="s">
        <v>25</v>
      </c>
      <c r="E21" s="6" t="s">
        <v>302</v>
      </c>
      <c r="F21" s="10">
        <v>2123</v>
      </c>
      <c r="G21" s="6">
        <v>418.2</v>
      </c>
      <c r="H21" s="6" t="s">
        <v>303</v>
      </c>
      <c r="I21" s="6" t="s">
        <v>297</v>
      </c>
      <c r="J21" s="11">
        <v>64</v>
      </c>
      <c r="K21" s="6">
        <v>0</v>
      </c>
      <c r="L21" s="8" t="s">
        <v>29</v>
      </c>
      <c r="M21" s="11"/>
      <c r="N21" s="6"/>
      <c r="O21" s="8"/>
      <c r="P21" s="11"/>
      <c r="Q21" s="6"/>
      <c r="R21" s="8"/>
      <c r="S21" s="9">
        <f t="shared" si="0"/>
        <v>64</v>
      </c>
      <c r="T21" s="6">
        <f t="shared" si="1"/>
        <v>0</v>
      </c>
    </row>
    <row r="22" spans="3:20" ht="18" x14ac:dyDescent="0.35">
      <c r="C22" s="10">
        <v>5</v>
      </c>
      <c r="D22" s="7" t="s">
        <v>28</v>
      </c>
      <c r="E22" s="6" t="s">
        <v>370</v>
      </c>
      <c r="F22" s="10">
        <v>2122</v>
      </c>
      <c r="G22" s="6">
        <v>292</v>
      </c>
      <c r="H22" s="6" t="s">
        <v>27</v>
      </c>
      <c r="I22" s="6" t="s">
        <v>209</v>
      </c>
      <c r="J22" s="11">
        <v>146</v>
      </c>
      <c r="K22" s="6">
        <v>146</v>
      </c>
      <c r="L22" s="8"/>
      <c r="M22" s="11"/>
      <c r="N22" s="6"/>
      <c r="O22" s="8"/>
      <c r="P22" s="11"/>
      <c r="Q22" s="6"/>
      <c r="R22" s="8"/>
      <c r="S22" s="9">
        <f t="shared" si="0"/>
        <v>146</v>
      </c>
      <c r="T22" s="6">
        <f t="shared" si="1"/>
        <v>146</v>
      </c>
    </row>
    <row r="23" spans="3:20" ht="18" hidden="1" x14ac:dyDescent="0.35">
      <c r="C23" s="40">
        <v>6</v>
      </c>
      <c r="D23" s="7" t="s">
        <v>30</v>
      </c>
      <c r="E23" s="40" t="s">
        <v>47</v>
      </c>
      <c r="F23" s="10">
        <v>99719</v>
      </c>
      <c r="G23" s="6">
        <v>1107</v>
      </c>
      <c r="H23" s="6" t="s">
        <v>236</v>
      </c>
      <c r="I23" s="11" t="s">
        <v>129</v>
      </c>
      <c r="J23" s="11">
        <v>6</v>
      </c>
      <c r="K23" s="6">
        <v>6</v>
      </c>
      <c r="L23" s="8"/>
      <c r="M23" s="11">
        <v>0</v>
      </c>
      <c r="N23" s="6">
        <v>0</v>
      </c>
      <c r="O23" s="8"/>
      <c r="P23" s="11">
        <v>0</v>
      </c>
      <c r="Q23" s="6">
        <v>0</v>
      </c>
      <c r="R23" s="8"/>
      <c r="S23" s="9">
        <f t="shared" si="0"/>
        <v>6</v>
      </c>
      <c r="T23" s="6">
        <f t="shared" si="1"/>
        <v>6</v>
      </c>
    </row>
    <row r="24" spans="3:20" ht="18" x14ac:dyDescent="0.35">
      <c r="C24" s="41"/>
      <c r="D24" s="7" t="s">
        <v>30</v>
      </c>
      <c r="E24" s="41"/>
      <c r="F24" s="10">
        <v>99719</v>
      </c>
      <c r="G24" s="6">
        <v>1107</v>
      </c>
      <c r="H24" s="6" t="s">
        <v>61</v>
      </c>
      <c r="I24" s="11" t="s">
        <v>129</v>
      </c>
      <c r="J24" s="11">
        <v>110</v>
      </c>
      <c r="K24" s="6">
        <v>0</v>
      </c>
      <c r="L24" s="8" t="s">
        <v>57</v>
      </c>
      <c r="M24" s="11"/>
      <c r="N24" s="6"/>
      <c r="O24" s="8"/>
      <c r="P24" s="11"/>
      <c r="Q24" s="6"/>
      <c r="R24" s="8"/>
      <c r="S24" s="9">
        <f t="shared" si="0"/>
        <v>110</v>
      </c>
      <c r="T24" s="6">
        <f t="shared" si="1"/>
        <v>0</v>
      </c>
    </row>
    <row r="25" spans="3:20" ht="18" hidden="1" x14ac:dyDescent="0.35">
      <c r="C25" s="14">
        <v>7</v>
      </c>
      <c r="D25" s="13" t="s">
        <v>31</v>
      </c>
      <c r="E25" s="6" t="s">
        <v>353</v>
      </c>
      <c r="F25" s="6">
        <v>84051</v>
      </c>
      <c r="G25" s="6">
        <v>3050</v>
      </c>
      <c r="H25" s="6" t="s">
        <v>49</v>
      </c>
      <c r="I25" s="6" t="s">
        <v>129</v>
      </c>
      <c r="J25" s="11">
        <v>88</v>
      </c>
      <c r="K25" s="6">
        <v>85</v>
      </c>
      <c r="L25" s="8"/>
      <c r="M25" s="11">
        <v>88</v>
      </c>
      <c r="N25" s="6">
        <v>20</v>
      </c>
      <c r="O25" s="8" t="s">
        <v>354</v>
      </c>
      <c r="P25" s="11">
        <v>88</v>
      </c>
      <c r="Q25" s="6">
        <v>20</v>
      </c>
      <c r="R25" s="8" t="s">
        <v>354</v>
      </c>
      <c r="S25" s="9">
        <f t="shared" si="0"/>
        <v>264</v>
      </c>
      <c r="T25" s="6">
        <f t="shared" si="1"/>
        <v>125</v>
      </c>
    </row>
    <row r="26" spans="3:20" ht="18" x14ac:dyDescent="0.35">
      <c r="C26" s="6">
        <v>7</v>
      </c>
      <c r="D26" s="7" t="s">
        <v>31</v>
      </c>
      <c r="E26" s="6" t="s">
        <v>64</v>
      </c>
      <c r="F26" s="6">
        <v>90129</v>
      </c>
      <c r="G26" s="6">
        <v>2540</v>
      </c>
      <c r="H26" s="6" t="s">
        <v>49</v>
      </c>
      <c r="I26" s="6" t="s">
        <v>192</v>
      </c>
      <c r="J26" s="11">
        <v>40</v>
      </c>
      <c r="K26" s="6">
        <v>40</v>
      </c>
      <c r="L26" s="8"/>
      <c r="M26" s="11"/>
      <c r="N26" s="6"/>
      <c r="O26" s="8"/>
      <c r="P26" s="11"/>
      <c r="Q26" s="6"/>
      <c r="R26" s="8"/>
      <c r="S26" s="9">
        <f t="shared" si="0"/>
        <v>40</v>
      </c>
      <c r="T26" s="6">
        <f t="shared" si="1"/>
        <v>40</v>
      </c>
    </row>
    <row r="27" spans="3:20" ht="18" hidden="1" x14ac:dyDescent="0.35">
      <c r="C27" s="40">
        <v>8</v>
      </c>
      <c r="D27" s="25" t="s">
        <v>33</v>
      </c>
      <c r="E27" s="6" t="s">
        <v>23</v>
      </c>
      <c r="F27" s="6">
        <v>86292</v>
      </c>
      <c r="G27" s="6">
        <v>914.4</v>
      </c>
      <c r="H27" s="6" t="s">
        <v>298</v>
      </c>
      <c r="I27" s="6" t="s">
        <v>129</v>
      </c>
      <c r="J27" s="11">
        <v>0</v>
      </c>
      <c r="K27" s="6">
        <v>0</v>
      </c>
      <c r="L27" s="8"/>
      <c r="M27" s="11">
        <v>0</v>
      </c>
      <c r="N27" s="6">
        <v>44</v>
      </c>
      <c r="O27" s="8"/>
      <c r="P27" s="11">
        <v>0</v>
      </c>
      <c r="Q27" s="6">
        <v>44</v>
      </c>
      <c r="R27" s="8"/>
      <c r="S27" s="9">
        <f t="shared" si="0"/>
        <v>0</v>
      </c>
      <c r="T27" s="6">
        <f t="shared" si="1"/>
        <v>88</v>
      </c>
    </row>
    <row r="28" spans="3:20" ht="18" hidden="1" x14ac:dyDescent="0.35">
      <c r="C28" s="52"/>
      <c r="D28" s="35"/>
      <c r="E28" s="6" t="s">
        <v>23</v>
      </c>
      <c r="F28" s="6">
        <v>86292</v>
      </c>
      <c r="G28" s="6">
        <v>914.4</v>
      </c>
      <c r="H28" s="6" t="s">
        <v>301</v>
      </c>
      <c r="I28" s="6" t="s">
        <v>129</v>
      </c>
      <c r="J28" s="11">
        <v>88</v>
      </c>
      <c r="K28" s="6">
        <v>88</v>
      </c>
      <c r="L28" s="8"/>
      <c r="M28" s="11">
        <v>88</v>
      </c>
      <c r="N28" s="6">
        <v>44</v>
      </c>
      <c r="O28" s="8"/>
      <c r="P28" s="11">
        <v>88</v>
      </c>
      <c r="Q28" s="6">
        <v>44</v>
      </c>
      <c r="R28" s="8"/>
      <c r="S28" s="9">
        <f t="shared" si="0"/>
        <v>264</v>
      </c>
      <c r="T28" s="6">
        <f t="shared" si="1"/>
        <v>176</v>
      </c>
    </row>
    <row r="29" spans="3:20" ht="18" hidden="1" x14ac:dyDescent="0.35">
      <c r="C29" s="52"/>
      <c r="D29" s="53" t="s">
        <v>33</v>
      </c>
      <c r="E29" s="40" t="s">
        <v>47</v>
      </c>
      <c r="F29" s="6">
        <v>99719</v>
      </c>
      <c r="G29" s="6">
        <v>5000</v>
      </c>
      <c r="H29" s="6" t="s">
        <v>308</v>
      </c>
      <c r="I29" s="6" t="s">
        <v>237</v>
      </c>
      <c r="J29" s="11">
        <v>9</v>
      </c>
      <c r="K29" s="6">
        <v>9</v>
      </c>
      <c r="L29" s="8"/>
      <c r="M29" s="11">
        <v>0</v>
      </c>
      <c r="N29" s="6">
        <v>0</v>
      </c>
      <c r="O29" s="8"/>
      <c r="P29" s="11">
        <v>0</v>
      </c>
      <c r="Q29" s="6">
        <v>0</v>
      </c>
      <c r="R29" s="8"/>
      <c r="S29" s="9">
        <f t="shared" si="0"/>
        <v>9</v>
      </c>
      <c r="T29" s="6">
        <f t="shared" si="1"/>
        <v>9</v>
      </c>
    </row>
    <row r="30" spans="3:20" ht="18" hidden="1" x14ac:dyDescent="0.35">
      <c r="C30" s="52"/>
      <c r="D30" s="53"/>
      <c r="E30" s="52"/>
      <c r="F30" s="6">
        <v>99719</v>
      </c>
      <c r="G30" s="6">
        <v>5000</v>
      </c>
      <c r="H30" s="6" t="s">
        <v>308</v>
      </c>
      <c r="I30" s="6" t="s">
        <v>171</v>
      </c>
      <c r="J30" s="11">
        <v>31</v>
      </c>
      <c r="K30" s="6">
        <v>31</v>
      </c>
      <c r="L30" s="8"/>
      <c r="M30" s="11">
        <v>31</v>
      </c>
      <c r="N30" s="6">
        <v>31</v>
      </c>
      <c r="O30" s="8" t="s">
        <v>44</v>
      </c>
      <c r="P30" s="11">
        <v>31</v>
      </c>
      <c r="Q30" s="6">
        <v>31</v>
      </c>
      <c r="R30" s="8" t="s">
        <v>44</v>
      </c>
      <c r="S30" s="9">
        <f t="shared" si="0"/>
        <v>93</v>
      </c>
      <c r="T30" s="6">
        <f t="shared" si="1"/>
        <v>93</v>
      </c>
    </row>
    <row r="31" spans="3:20" ht="18" hidden="1" x14ac:dyDescent="0.35">
      <c r="C31" s="52"/>
      <c r="D31" s="53"/>
      <c r="E31" s="52"/>
      <c r="F31" s="6">
        <v>99643</v>
      </c>
      <c r="G31" s="6">
        <v>5000</v>
      </c>
      <c r="H31" s="6" t="s">
        <v>49</v>
      </c>
      <c r="I31" s="6" t="s">
        <v>293</v>
      </c>
      <c r="J31" s="11"/>
      <c r="K31" s="6"/>
      <c r="L31" s="8"/>
      <c r="M31" s="11"/>
      <c r="N31" s="6"/>
      <c r="O31" s="8"/>
      <c r="P31" s="11"/>
      <c r="Q31" s="6"/>
      <c r="R31" s="8"/>
      <c r="S31" s="9">
        <f t="shared" si="0"/>
        <v>0</v>
      </c>
      <c r="T31" s="6">
        <f t="shared" si="1"/>
        <v>0</v>
      </c>
    </row>
    <row r="32" spans="3:20" ht="18" x14ac:dyDescent="0.35">
      <c r="C32" s="41"/>
      <c r="D32" s="43"/>
      <c r="E32" s="41"/>
      <c r="F32" s="6">
        <v>1770</v>
      </c>
      <c r="G32" s="6">
        <v>6100</v>
      </c>
      <c r="H32" s="6" t="s">
        <v>49</v>
      </c>
      <c r="I32" s="6" t="s">
        <v>239</v>
      </c>
      <c r="J32" s="11">
        <v>27</v>
      </c>
      <c r="K32" s="6">
        <v>19</v>
      </c>
      <c r="L32" s="8" t="s">
        <v>55</v>
      </c>
      <c r="M32" s="11"/>
      <c r="N32" s="6"/>
      <c r="O32" s="8"/>
      <c r="P32" s="11"/>
      <c r="Q32" s="6"/>
      <c r="R32" s="8"/>
      <c r="S32" s="9">
        <f t="shared" si="0"/>
        <v>27</v>
      </c>
      <c r="T32" s="6">
        <f t="shared" si="1"/>
        <v>19</v>
      </c>
    </row>
    <row r="33" spans="3:20" ht="18" x14ac:dyDescent="0.35">
      <c r="C33" s="40">
        <v>9</v>
      </c>
      <c r="D33" s="7" t="s">
        <v>34</v>
      </c>
      <c r="E33" s="6" t="s">
        <v>64</v>
      </c>
      <c r="F33" s="6">
        <v>90129</v>
      </c>
      <c r="G33" s="6">
        <v>2540</v>
      </c>
      <c r="H33" s="6" t="s">
        <v>49</v>
      </c>
      <c r="I33" s="6" t="s">
        <v>235</v>
      </c>
      <c r="J33" s="11">
        <v>124</v>
      </c>
      <c r="K33" s="6">
        <v>124</v>
      </c>
      <c r="L33" s="8"/>
      <c r="M33" s="11"/>
      <c r="N33" s="6"/>
      <c r="O33" s="8"/>
      <c r="P33" s="11"/>
      <c r="Q33" s="6"/>
      <c r="R33" s="8"/>
      <c r="S33" s="9">
        <f t="shared" si="0"/>
        <v>124</v>
      </c>
      <c r="T33" s="6">
        <f t="shared" si="1"/>
        <v>124</v>
      </c>
    </row>
    <row r="34" spans="3:20" ht="18" hidden="1" x14ac:dyDescent="0.35">
      <c r="C34" s="41"/>
      <c r="D34" s="55" t="s">
        <v>35</v>
      </c>
      <c r="E34" s="6" t="s">
        <v>19</v>
      </c>
      <c r="F34" s="6">
        <v>2122</v>
      </c>
      <c r="G34" s="6">
        <v>796.5</v>
      </c>
      <c r="H34" s="6" t="s">
        <v>359</v>
      </c>
      <c r="I34" s="6" t="s">
        <v>190</v>
      </c>
      <c r="J34" s="11">
        <v>0</v>
      </c>
      <c r="K34" s="6">
        <v>0</v>
      </c>
      <c r="L34" s="8" t="s">
        <v>29</v>
      </c>
      <c r="M34" s="11">
        <v>0</v>
      </c>
      <c r="N34" s="6">
        <v>0</v>
      </c>
      <c r="O34" s="8" t="s">
        <v>29</v>
      </c>
      <c r="P34" s="11">
        <v>0</v>
      </c>
      <c r="Q34" s="6">
        <v>0</v>
      </c>
      <c r="R34" s="8" t="s">
        <v>29</v>
      </c>
      <c r="S34" s="9">
        <f t="shared" si="0"/>
        <v>0</v>
      </c>
      <c r="T34" s="6">
        <f t="shared" si="1"/>
        <v>0</v>
      </c>
    </row>
    <row r="35" spans="3:20" ht="18" x14ac:dyDescent="0.35">
      <c r="C35" s="6">
        <v>10</v>
      </c>
      <c r="D35" s="55"/>
      <c r="E35" s="6"/>
      <c r="F35" s="6"/>
      <c r="G35" s="6"/>
      <c r="H35" s="6"/>
      <c r="I35" s="6"/>
      <c r="J35" s="11"/>
      <c r="K35" s="6"/>
      <c r="L35" s="8" t="s">
        <v>29</v>
      </c>
      <c r="M35" s="11"/>
      <c r="N35" s="6"/>
      <c r="O35" s="8"/>
      <c r="P35" s="11"/>
      <c r="Q35" s="6"/>
      <c r="R35" s="8"/>
      <c r="S35" s="9">
        <f t="shared" si="0"/>
        <v>0</v>
      </c>
      <c r="T35" s="6">
        <f t="shared" si="1"/>
        <v>0</v>
      </c>
    </row>
    <row r="36" spans="3:20" ht="18" hidden="1" x14ac:dyDescent="0.35">
      <c r="D36" s="55"/>
      <c r="E36" s="6"/>
      <c r="F36" s="6"/>
      <c r="G36" s="6"/>
      <c r="H36" s="6"/>
      <c r="I36" s="6"/>
      <c r="J36" s="11"/>
      <c r="K36" s="6"/>
      <c r="S36" s="11"/>
      <c r="T36" s="6"/>
    </row>
  </sheetData>
  <mergeCells count="17">
    <mergeCell ref="C33:C34"/>
    <mergeCell ref="D34:D36"/>
    <mergeCell ref="C23:C24"/>
    <mergeCell ref="E23:E24"/>
    <mergeCell ref="C27:C32"/>
    <mergeCell ref="D29:D32"/>
    <mergeCell ref="E29:E32"/>
    <mergeCell ref="D19:D20"/>
    <mergeCell ref="C19:C20"/>
    <mergeCell ref="S6:T6"/>
    <mergeCell ref="J7:L7"/>
    <mergeCell ref="M7:O7"/>
    <mergeCell ref="P7:R7"/>
    <mergeCell ref="E9:E10"/>
    <mergeCell ref="C6:O6"/>
    <mergeCell ref="D9:D15"/>
    <mergeCell ref="C9:C1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6:S36"/>
  <sheetViews>
    <sheetView zoomScale="77" zoomScaleNormal="77" workbookViewId="0">
      <selection activeCell="K34" sqref="K34"/>
    </sheetView>
  </sheetViews>
  <sheetFormatPr defaultRowHeight="14.4" x14ac:dyDescent="0.3"/>
  <cols>
    <col min="4" max="4" width="15.109375" customWidth="1"/>
    <col min="7" max="7" width="16.109375" customWidth="1"/>
    <col min="11" max="11" width="30" customWidth="1"/>
    <col min="14" max="14" width="18.33203125" customWidth="1"/>
    <col min="17" max="17" width="26.5546875" bestFit="1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369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hidden="1" x14ac:dyDescent="0.35">
      <c r="B9" s="40">
        <v>1</v>
      </c>
      <c r="C9" s="42" t="s">
        <v>18</v>
      </c>
      <c r="D9" s="40" t="s">
        <v>364</v>
      </c>
      <c r="E9" s="6" t="s">
        <v>113</v>
      </c>
      <c r="F9" s="6"/>
      <c r="G9" s="6" t="s">
        <v>303</v>
      </c>
      <c r="H9" s="6"/>
      <c r="I9" s="11">
        <v>70</v>
      </c>
      <c r="J9" s="6">
        <v>70</v>
      </c>
      <c r="K9" s="8"/>
      <c r="L9" s="11"/>
      <c r="M9" s="6"/>
      <c r="N9" s="6"/>
      <c r="O9" s="11">
        <v>44</v>
      </c>
      <c r="P9" s="6">
        <v>35</v>
      </c>
      <c r="Q9" s="6" t="s">
        <v>366</v>
      </c>
      <c r="R9" s="9">
        <f>O9+L9+I9</f>
        <v>114</v>
      </c>
      <c r="S9" s="6">
        <f>P9+M9+J9</f>
        <v>105</v>
      </c>
    </row>
    <row r="10" spans="2:19" ht="18" hidden="1" x14ac:dyDescent="0.35">
      <c r="B10" s="52"/>
      <c r="C10" s="53"/>
      <c r="D10" s="41"/>
      <c r="E10" s="6">
        <v>86289</v>
      </c>
      <c r="F10" s="6">
        <v>914.1</v>
      </c>
      <c r="G10" s="6" t="s">
        <v>298</v>
      </c>
      <c r="H10" s="6" t="s">
        <v>129</v>
      </c>
      <c r="I10" s="11">
        <v>39</v>
      </c>
      <c r="J10" s="6">
        <v>39</v>
      </c>
      <c r="K10" s="8"/>
      <c r="L10" s="11">
        <v>46</v>
      </c>
      <c r="M10" s="6">
        <v>46</v>
      </c>
      <c r="N10" s="6" t="s">
        <v>361</v>
      </c>
      <c r="O10" s="11">
        <v>46</v>
      </c>
      <c r="P10" s="6">
        <v>46</v>
      </c>
      <c r="Q10" s="6" t="s">
        <v>361</v>
      </c>
      <c r="R10" s="9">
        <f t="shared" ref="R10:S35" si="0">O10+L10+I10</f>
        <v>131</v>
      </c>
      <c r="S10" s="6">
        <f t="shared" si="0"/>
        <v>131</v>
      </c>
    </row>
    <row r="11" spans="2:19" ht="18" hidden="1" x14ac:dyDescent="0.35">
      <c r="B11" s="52"/>
      <c r="C11" s="53"/>
      <c r="D11" s="6" t="s">
        <v>19</v>
      </c>
      <c r="E11" s="6">
        <v>2191</v>
      </c>
      <c r="F11" s="6">
        <v>489.7</v>
      </c>
      <c r="G11" s="6" t="s">
        <v>20</v>
      </c>
      <c r="H11" s="6" t="s">
        <v>214</v>
      </c>
      <c r="I11" s="11"/>
      <c r="J11" s="6"/>
      <c r="K11" s="8"/>
      <c r="L11" s="11">
        <v>10</v>
      </c>
      <c r="M11" s="6">
        <v>4</v>
      </c>
      <c r="N11" s="6" t="s">
        <v>44</v>
      </c>
      <c r="O11" s="11">
        <v>10</v>
      </c>
      <c r="P11" s="6">
        <v>4</v>
      </c>
      <c r="Q11" s="6" t="s">
        <v>44</v>
      </c>
      <c r="R11" s="9">
        <f t="shared" si="0"/>
        <v>20</v>
      </c>
      <c r="S11" s="6">
        <f t="shared" si="0"/>
        <v>8</v>
      </c>
    </row>
    <row r="12" spans="2:19" ht="18" hidden="1" x14ac:dyDescent="0.35">
      <c r="B12" s="52"/>
      <c r="C12" s="53"/>
      <c r="D12" s="6" t="s">
        <v>23</v>
      </c>
      <c r="E12" s="6">
        <v>86292</v>
      </c>
      <c r="F12" s="6">
        <v>914.4</v>
      </c>
      <c r="G12" s="6" t="s">
        <v>298</v>
      </c>
      <c r="H12" s="6" t="s">
        <v>129</v>
      </c>
      <c r="I12" s="11">
        <v>88</v>
      </c>
      <c r="J12" s="6">
        <v>88</v>
      </c>
      <c r="K12" s="8"/>
      <c r="L12" s="11">
        <v>88</v>
      </c>
      <c r="M12" s="6">
        <v>0</v>
      </c>
      <c r="N12" s="23"/>
      <c r="O12" s="11">
        <v>88</v>
      </c>
      <c r="P12" s="6">
        <v>0</v>
      </c>
      <c r="Q12" s="23"/>
      <c r="R12" s="9">
        <f t="shared" si="0"/>
        <v>264</v>
      </c>
      <c r="S12" s="6">
        <f t="shared" si="0"/>
        <v>88</v>
      </c>
    </row>
    <row r="13" spans="2:19" ht="18" hidden="1" x14ac:dyDescent="0.35">
      <c r="B13" s="52"/>
      <c r="C13" s="53"/>
      <c r="D13" s="6"/>
      <c r="E13" s="6"/>
      <c r="F13" s="6"/>
      <c r="G13" s="6"/>
      <c r="H13" s="6"/>
      <c r="I13" s="11"/>
      <c r="J13" s="6"/>
      <c r="K13" s="8"/>
      <c r="L13" s="11"/>
      <c r="M13" s="6"/>
      <c r="N13" s="23"/>
      <c r="O13" s="11"/>
      <c r="P13" s="6"/>
      <c r="Q13" s="23"/>
      <c r="R13" s="9">
        <f t="shared" si="0"/>
        <v>0</v>
      </c>
      <c r="S13" s="6">
        <f t="shared" si="0"/>
        <v>0</v>
      </c>
    </row>
    <row r="14" spans="2:19" ht="18" x14ac:dyDescent="0.35">
      <c r="B14" s="41"/>
      <c r="C14" s="43"/>
      <c r="D14" s="6" t="s">
        <v>23</v>
      </c>
      <c r="E14" s="6">
        <v>86290</v>
      </c>
      <c r="F14" s="6">
        <v>914.4</v>
      </c>
      <c r="G14" s="6" t="s">
        <v>324</v>
      </c>
      <c r="H14" s="11" t="s">
        <v>129</v>
      </c>
      <c r="I14" s="11">
        <v>44</v>
      </c>
      <c r="J14" s="6">
        <v>44</v>
      </c>
      <c r="K14" s="8"/>
      <c r="L14" s="11"/>
      <c r="M14" s="6"/>
      <c r="N14" s="23"/>
      <c r="O14" s="11">
        <v>0</v>
      </c>
      <c r="P14" s="6">
        <v>0</v>
      </c>
      <c r="Q14" s="6"/>
      <c r="R14" s="9">
        <f t="shared" si="0"/>
        <v>44</v>
      </c>
      <c r="S14" s="6">
        <f t="shared" si="0"/>
        <v>44</v>
      </c>
    </row>
    <row r="15" spans="2:19" ht="18" x14ac:dyDescent="0.35">
      <c r="B15" s="10"/>
      <c r="C15" s="7" t="s">
        <v>18</v>
      </c>
      <c r="D15" s="6" t="s">
        <v>23</v>
      </c>
      <c r="E15" s="6">
        <v>86290</v>
      </c>
      <c r="F15" s="6">
        <v>914.4</v>
      </c>
      <c r="G15" s="6" t="s">
        <v>367</v>
      </c>
      <c r="H15" s="11" t="s">
        <v>129</v>
      </c>
      <c r="I15" s="11">
        <v>44</v>
      </c>
      <c r="J15" s="6">
        <v>44</v>
      </c>
      <c r="K15" s="8"/>
      <c r="L15" s="11"/>
      <c r="M15" s="6"/>
      <c r="N15" s="23"/>
      <c r="O15" s="11">
        <v>28</v>
      </c>
      <c r="P15" s="6">
        <v>28</v>
      </c>
      <c r="Q15" s="6"/>
      <c r="R15" s="9">
        <f t="shared" si="0"/>
        <v>72</v>
      </c>
      <c r="S15" s="6">
        <f t="shared" si="0"/>
        <v>72</v>
      </c>
    </row>
    <row r="16" spans="2:19" ht="18" x14ac:dyDescent="0.35">
      <c r="B16" s="24">
        <v>2</v>
      </c>
      <c r="C16" s="7" t="s">
        <v>21</v>
      </c>
      <c r="D16" s="6" t="s">
        <v>23</v>
      </c>
      <c r="E16" s="6">
        <v>86292</v>
      </c>
      <c r="F16" s="6">
        <v>914.4</v>
      </c>
      <c r="G16" s="6" t="s">
        <v>324</v>
      </c>
      <c r="H16" s="6" t="s">
        <v>203</v>
      </c>
      <c r="I16" s="11">
        <v>16</v>
      </c>
      <c r="J16" s="6">
        <v>16</v>
      </c>
      <c r="K16" s="8" t="s">
        <v>29</v>
      </c>
      <c r="L16" s="11"/>
      <c r="M16" s="6"/>
      <c r="N16" s="23"/>
      <c r="O16" s="11">
        <v>0</v>
      </c>
      <c r="P16" s="6">
        <v>0</v>
      </c>
      <c r="Q16" s="6" t="s">
        <v>294</v>
      </c>
      <c r="R16" s="9">
        <f t="shared" si="0"/>
        <v>16</v>
      </c>
      <c r="S16" s="6">
        <f t="shared" si="0"/>
        <v>16</v>
      </c>
    </row>
    <row r="17" spans="2:19" ht="18.75" hidden="1" customHeight="1" x14ac:dyDescent="0.35">
      <c r="B17" s="24"/>
      <c r="C17" s="18"/>
      <c r="D17" s="6" t="s">
        <v>23</v>
      </c>
      <c r="E17" s="6">
        <v>86289</v>
      </c>
      <c r="F17" s="6">
        <v>914.1</v>
      </c>
      <c r="G17" s="6" t="s">
        <v>308</v>
      </c>
      <c r="H17" s="6" t="s">
        <v>226</v>
      </c>
      <c r="I17" s="11">
        <v>0</v>
      </c>
      <c r="J17" s="6">
        <v>0</v>
      </c>
      <c r="K17" s="8"/>
      <c r="L17" s="11">
        <v>0</v>
      </c>
      <c r="M17" s="6">
        <v>82</v>
      </c>
      <c r="N17" s="23"/>
      <c r="O17" s="11">
        <v>0</v>
      </c>
      <c r="P17" s="6">
        <v>82</v>
      </c>
      <c r="Q17" s="23"/>
      <c r="R17" s="9">
        <f t="shared" si="0"/>
        <v>0</v>
      </c>
      <c r="S17" s="6">
        <f t="shared" si="0"/>
        <v>164</v>
      </c>
    </row>
    <row r="18" spans="2:19" ht="18.75" hidden="1" customHeight="1" x14ac:dyDescent="0.35">
      <c r="B18" s="24"/>
      <c r="C18" s="18"/>
      <c r="D18" s="6" t="s">
        <v>23</v>
      </c>
      <c r="E18" s="6">
        <v>86289</v>
      </c>
      <c r="F18" s="6">
        <v>914.1</v>
      </c>
      <c r="G18" s="6" t="s">
        <v>61</v>
      </c>
      <c r="H18" s="6" t="s">
        <v>355</v>
      </c>
      <c r="I18" s="11"/>
      <c r="J18" s="6"/>
      <c r="K18" s="8"/>
      <c r="L18" s="11"/>
      <c r="M18" s="6"/>
      <c r="N18" s="23"/>
      <c r="O18" s="11"/>
      <c r="P18" s="6"/>
      <c r="Q18" s="23"/>
      <c r="R18" s="9">
        <f t="shared" si="0"/>
        <v>0</v>
      </c>
      <c r="S18" s="6">
        <f t="shared" si="0"/>
        <v>0</v>
      </c>
    </row>
    <row r="19" spans="2:19" ht="18" x14ac:dyDescent="0.35">
      <c r="B19" s="40">
        <v>3</v>
      </c>
      <c r="C19" s="42" t="s">
        <v>22</v>
      </c>
      <c r="D19" s="6" t="s">
        <v>23</v>
      </c>
      <c r="E19" s="6">
        <v>86292</v>
      </c>
      <c r="F19" s="6">
        <v>914.4</v>
      </c>
      <c r="G19" s="6" t="s">
        <v>328</v>
      </c>
      <c r="H19" s="6" t="s">
        <v>293</v>
      </c>
      <c r="I19" s="11">
        <v>36</v>
      </c>
      <c r="J19" s="6">
        <v>20</v>
      </c>
      <c r="K19" s="8" t="s">
        <v>44</v>
      </c>
      <c r="L19" s="11"/>
      <c r="M19" s="6"/>
      <c r="N19" s="23"/>
      <c r="O19" s="11">
        <v>36</v>
      </c>
      <c r="P19" s="6">
        <v>33</v>
      </c>
      <c r="Q19" s="6"/>
      <c r="R19" s="9">
        <f t="shared" si="0"/>
        <v>72</v>
      </c>
      <c r="S19" s="6">
        <f t="shared" si="0"/>
        <v>53</v>
      </c>
    </row>
    <row r="20" spans="2:19" ht="18.75" hidden="1" customHeight="1" x14ac:dyDescent="0.35">
      <c r="B20" s="41"/>
      <c r="C20" s="43"/>
      <c r="D20" s="6" t="s">
        <v>23</v>
      </c>
      <c r="E20" s="6">
        <v>86290</v>
      </c>
      <c r="F20" s="6">
        <v>914.4</v>
      </c>
      <c r="G20" s="6" t="s">
        <v>328</v>
      </c>
      <c r="H20" s="11" t="s">
        <v>129</v>
      </c>
      <c r="I20" s="11"/>
      <c r="J20" s="6"/>
      <c r="K20" s="8"/>
      <c r="L20" s="11">
        <v>88</v>
      </c>
      <c r="M20" s="6">
        <v>60</v>
      </c>
      <c r="N20" s="36" t="s">
        <v>44</v>
      </c>
      <c r="O20" s="11">
        <v>88</v>
      </c>
      <c r="P20" s="6">
        <v>60</v>
      </c>
      <c r="Q20" s="36" t="s">
        <v>44</v>
      </c>
      <c r="R20" s="9">
        <f t="shared" si="0"/>
        <v>176</v>
      </c>
      <c r="S20" s="6">
        <f t="shared" si="0"/>
        <v>120</v>
      </c>
    </row>
    <row r="21" spans="2:19" ht="18" x14ac:dyDescent="0.35">
      <c r="B21" s="6">
        <v>4</v>
      </c>
      <c r="C21" s="7" t="s">
        <v>25</v>
      </c>
      <c r="D21" s="6" t="s">
        <v>302</v>
      </c>
      <c r="E21" s="10">
        <v>2123</v>
      </c>
      <c r="F21" s="6">
        <v>418.2</v>
      </c>
      <c r="G21" s="6" t="s">
        <v>303</v>
      </c>
      <c r="H21" s="6" t="s">
        <v>297</v>
      </c>
      <c r="I21" s="11">
        <v>64</v>
      </c>
      <c r="J21" s="6">
        <v>0</v>
      </c>
      <c r="K21" s="8" t="s">
        <v>29</v>
      </c>
      <c r="L21" s="11"/>
      <c r="M21" s="6"/>
      <c r="N21" s="8"/>
      <c r="O21" s="11">
        <v>0</v>
      </c>
      <c r="P21" s="6">
        <v>0</v>
      </c>
      <c r="Q21" s="8" t="s">
        <v>29</v>
      </c>
      <c r="R21" s="9">
        <f t="shared" si="0"/>
        <v>64</v>
      </c>
      <c r="S21" s="6">
        <f t="shared" si="0"/>
        <v>0</v>
      </c>
    </row>
    <row r="22" spans="2:19" ht="18" x14ac:dyDescent="0.35">
      <c r="B22" s="10">
        <v>5</v>
      </c>
      <c r="C22" s="7" t="s">
        <v>28</v>
      </c>
      <c r="D22" s="6" t="s">
        <v>374</v>
      </c>
      <c r="E22" s="10">
        <v>98812</v>
      </c>
      <c r="F22" s="6">
        <v>292</v>
      </c>
      <c r="G22" s="6" t="s">
        <v>27</v>
      </c>
      <c r="H22" s="6" t="s">
        <v>209</v>
      </c>
      <c r="I22" s="11">
        <v>146</v>
      </c>
      <c r="J22" s="6">
        <v>146</v>
      </c>
      <c r="K22" s="8" t="s">
        <v>29</v>
      </c>
      <c r="L22" s="11"/>
      <c r="M22" s="6"/>
      <c r="N22" s="8"/>
      <c r="O22" s="11">
        <v>146</v>
      </c>
      <c r="P22" s="6">
        <v>80</v>
      </c>
      <c r="Q22" s="8" t="s">
        <v>373</v>
      </c>
      <c r="R22" s="9">
        <f t="shared" si="0"/>
        <v>292</v>
      </c>
      <c r="S22" s="6">
        <f t="shared" si="0"/>
        <v>226</v>
      </c>
    </row>
    <row r="23" spans="2:19" ht="18" hidden="1" x14ac:dyDescent="0.35">
      <c r="B23" s="40">
        <v>6</v>
      </c>
      <c r="C23" s="7" t="s">
        <v>30</v>
      </c>
      <c r="D23" s="40" t="s">
        <v>47</v>
      </c>
      <c r="E23" s="10">
        <v>99719</v>
      </c>
      <c r="F23" s="6">
        <v>1107</v>
      </c>
      <c r="G23" s="6" t="s">
        <v>236</v>
      </c>
      <c r="H23" s="11" t="s">
        <v>129</v>
      </c>
      <c r="I23" s="11">
        <v>6</v>
      </c>
      <c r="J23" s="6">
        <v>6</v>
      </c>
      <c r="K23" s="8"/>
      <c r="L23" s="11">
        <v>0</v>
      </c>
      <c r="M23" s="6">
        <v>0</v>
      </c>
      <c r="N23" s="8"/>
      <c r="O23" s="11">
        <v>0</v>
      </c>
      <c r="P23" s="6">
        <v>0</v>
      </c>
      <c r="Q23" s="8"/>
      <c r="R23" s="9">
        <f t="shared" si="0"/>
        <v>6</v>
      </c>
      <c r="S23" s="6">
        <f t="shared" si="0"/>
        <v>6</v>
      </c>
    </row>
    <row r="24" spans="2:19" ht="18" x14ac:dyDescent="0.35">
      <c r="B24" s="41"/>
      <c r="C24" s="7" t="s">
        <v>30</v>
      </c>
      <c r="D24" s="41"/>
      <c r="E24" s="10">
        <v>99719</v>
      </c>
      <c r="F24" s="6">
        <v>1107</v>
      </c>
      <c r="G24" s="6" t="s">
        <v>61</v>
      </c>
      <c r="H24" s="11" t="s">
        <v>226</v>
      </c>
      <c r="I24" s="11">
        <v>110</v>
      </c>
      <c r="J24" s="6">
        <v>0</v>
      </c>
      <c r="K24" s="8" t="s">
        <v>57</v>
      </c>
      <c r="L24" s="11"/>
      <c r="M24" s="6"/>
      <c r="N24" s="8"/>
      <c r="O24" s="11">
        <v>0</v>
      </c>
      <c r="P24" s="6">
        <v>0</v>
      </c>
      <c r="Q24" s="8" t="s">
        <v>42</v>
      </c>
      <c r="R24" s="9">
        <f t="shared" si="0"/>
        <v>110</v>
      </c>
      <c r="S24" s="6">
        <f t="shared" si="0"/>
        <v>0</v>
      </c>
    </row>
    <row r="25" spans="2:19" ht="18" hidden="1" x14ac:dyDescent="0.35">
      <c r="B25" s="14">
        <v>7</v>
      </c>
      <c r="C25" s="13" t="s">
        <v>31</v>
      </c>
      <c r="D25" s="6" t="s">
        <v>353</v>
      </c>
      <c r="E25" s="6">
        <v>84051</v>
      </c>
      <c r="F25" s="6">
        <v>3050</v>
      </c>
      <c r="G25" s="6" t="s">
        <v>49</v>
      </c>
      <c r="H25" s="6" t="s">
        <v>129</v>
      </c>
      <c r="I25" s="11">
        <v>88</v>
      </c>
      <c r="J25" s="6">
        <v>85</v>
      </c>
      <c r="K25" s="8"/>
      <c r="L25" s="11">
        <v>88</v>
      </c>
      <c r="M25" s="6">
        <v>20</v>
      </c>
      <c r="N25" s="8" t="s">
        <v>354</v>
      </c>
      <c r="O25" s="11">
        <v>88</v>
      </c>
      <c r="P25" s="6">
        <v>20</v>
      </c>
      <c r="Q25" s="8" t="s">
        <v>354</v>
      </c>
      <c r="R25" s="9">
        <f t="shared" si="0"/>
        <v>264</v>
      </c>
      <c r="S25" s="6">
        <f t="shared" si="0"/>
        <v>125</v>
      </c>
    </row>
    <row r="26" spans="2:19" ht="18" hidden="1" x14ac:dyDescent="0.35">
      <c r="B26" s="6">
        <v>7</v>
      </c>
      <c r="C26" s="7" t="s">
        <v>31</v>
      </c>
      <c r="D26" s="6" t="s">
        <v>64</v>
      </c>
      <c r="E26" s="6">
        <v>90129</v>
      </c>
      <c r="F26" s="6">
        <v>2540</v>
      </c>
      <c r="G26" s="6" t="s">
        <v>49</v>
      </c>
      <c r="H26" s="6" t="s">
        <v>191</v>
      </c>
      <c r="I26" s="11">
        <v>40</v>
      </c>
      <c r="J26" s="6">
        <v>22</v>
      </c>
      <c r="K26" s="8" t="s">
        <v>365</v>
      </c>
      <c r="L26" s="11">
        <v>40</v>
      </c>
      <c r="M26" s="6">
        <v>33</v>
      </c>
      <c r="N26" s="8"/>
      <c r="O26" s="11">
        <v>40</v>
      </c>
      <c r="P26" s="6">
        <v>33</v>
      </c>
      <c r="Q26" s="8"/>
      <c r="R26" s="9">
        <f t="shared" si="0"/>
        <v>120</v>
      </c>
      <c r="S26" s="6">
        <f t="shared" si="0"/>
        <v>88</v>
      </c>
    </row>
    <row r="27" spans="2:19" ht="18" x14ac:dyDescent="0.35">
      <c r="B27" s="40">
        <v>8</v>
      </c>
      <c r="C27" s="25" t="s">
        <v>31</v>
      </c>
      <c r="D27" s="6" t="s">
        <v>64</v>
      </c>
      <c r="E27" s="6">
        <v>90129</v>
      </c>
      <c r="F27" s="6">
        <v>2540</v>
      </c>
      <c r="G27" s="6" t="s">
        <v>49</v>
      </c>
      <c r="H27" s="6" t="s">
        <v>368</v>
      </c>
      <c r="I27" s="11">
        <v>40</v>
      </c>
      <c r="J27" s="11">
        <v>40</v>
      </c>
      <c r="K27" s="8"/>
      <c r="L27" s="11"/>
      <c r="M27" s="6"/>
      <c r="N27" s="8"/>
      <c r="O27" s="11">
        <v>40</v>
      </c>
      <c r="P27" s="6">
        <v>36</v>
      </c>
      <c r="Q27" s="8"/>
      <c r="R27" s="9">
        <f t="shared" si="0"/>
        <v>80</v>
      </c>
      <c r="S27" s="6">
        <f t="shared" si="0"/>
        <v>76</v>
      </c>
    </row>
    <row r="28" spans="2:19" ht="18" hidden="1" x14ac:dyDescent="0.35">
      <c r="B28" s="52"/>
      <c r="C28" s="35"/>
      <c r="D28" s="6" t="s">
        <v>23</v>
      </c>
      <c r="E28" s="6">
        <v>86292</v>
      </c>
      <c r="F28" s="6">
        <v>914.4</v>
      </c>
      <c r="G28" s="6" t="s">
        <v>301</v>
      </c>
      <c r="H28" s="6" t="s">
        <v>129</v>
      </c>
      <c r="I28" s="11">
        <v>88</v>
      </c>
      <c r="J28" s="6">
        <v>88</v>
      </c>
      <c r="K28" s="8"/>
      <c r="L28" s="11">
        <v>88</v>
      </c>
      <c r="M28" s="6">
        <v>44</v>
      </c>
      <c r="N28" s="8"/>
      <c r="O28" s="11">
        <v>88</v>
      </c>
      <c r="P28" s="6">
        <v>44</v>
      </c>
      <c r="Q28" s="8"/>
      <c r="R28" s="9">
        <f t="shared" si="0"/>
        <v>264</v>
      </c>
      <c r="S28" s="6">
        <f t="shared" si="0"/>
        <v>176</v>
      </c>
    </row>
    <row r="29" spans="2:19" ht="18" hidden="1" x14ac:dyDescent="0.35">
      <c r="B29" s="52"/>
      <c r="C29" s="53" t="s">
        <v>33</v>
      </c>
      <c r="D29" s="40" t="s">
        <v>47</v>
      </c>
      <c r="E29" s="6">
        <v>99719</v>
      </c>
      <c r="F29" s="6">
        <v>5000</v>
      </c>
      <c r="G29" s="6" t="s">
        <v>308</v>
      </c>
      <c r="H29" s="6" t="s">
        <v>237</v>
      </c>
      <c r="I29" s="11">
        <v>9</v>
      </c>
      <c r="J29" s="6">
        <v>9</v>
      </c>
      <c r="K29" s="8"/>
      <c r="L29" s="11">
        <v>0</v>
      </c>
      <c r="M29" s="6">
        <v>0</v>
      </c>
      <c r="N29" s="8"/>
      <c r="O29" s="11">
        <v>0</v>
      </c>
      <c r="P29" s="6">
        <v>0</v>
      </c>
      <c r="Q29" s="8"/>
      <c r="R29" s="9">
        <f t="shared" si="0"/>
        <v>9</v>
      </c>
      <c r="S29" s="6">
        <f t="shared" si="0"/>
        <v>9</v>
      </c>
    </row>
    <row r="30" spans="2:19" ht="18" hidden="1" x14ac:dyDescent="0.35">
      <c r="B30" s="52"/>
      <c r="C30" s="53"/>
      <c r="D30" s="52"/>
      <c r="E30" s="6">
        <v>99719</v>
      </c>
      <c r="F30" s="6">
        <v>5000</v>
      </c>
      <c r="G30" s="6" t="s">
        <v>308</v>
      </c>
      <c r="H30" s="6" t="s">
        <v>171</v>
      </c>
      <c r="I30" s="11">
        <v>31</v>
      </c>
      <c r="J30" s="6">
        <v>31</v>
      </c>
      <c r="K30" s="8"/>
      <c r="L30" s="11">
        <v>31</v>
      </c>
      <c r="M30" s="6">
        <v>31</v>
      </c>
      <c r="N30" s="8" t="s">
        <v>44</v>
      </c>
      <c r="O30" s="11">
        <v>31</v>
      </c>
      <c r="P30" s="6">
        <v>31</v>
      </c>
      <c r="Q30" s="8" t="s">
        <v>44</v>
      </c>
      <c r="R30" s="9">
        <f t="shared" si="0"/>
        <v>93</v>
      </c>
      <c r="S30" s="6">
        <f t="shared" si="0"/>
        <v>93</v>
      </c>
    </row>
    <row r="31" spans="2:19" ht="18" hidden="1" x14ac:dyDescent="0.35">
      <c r="B31" s="52"/>
      <c r="C31" s="53"/>
      <c r="D31" s="52"/>
      <c r="E31" s="6">
        <v>99643</v>
      </c>
      <c r="F31" s="6">
        <v>5000</v>
      </c>
      <c r="G31" s="6" t="s">
        <v>49</v>
      </c>
      <c r="H31" s="6" t="s">
        <v>293</v>
      </c>
      <c r="I31" s="11"/>
      <c r="J31" s="6"/>
      <c r="K31" s="8"/>
      <c r="L31" s="11"/>
      <c r="M31" s="6"/>
      <c r="N31" s="8"/>
      <c r="O31" s="11"/>
      <c r="P31" s="6"/>
      <c r="Q31" s="8"/>
      <c r="R31" s="9">
        <f t="shared" si="0"/>
        <v>0</v>
      </c>
      <c r="S31" s="6">
        <f t="shared" si="0"/>
        <v>0</v>
      </c>
    </row>
    <row r="32" spans="2:19" ht="18" x14ac:dyDescent="0.35">
      <c r="B32" s="41"/>
      <c r="C32" s="43"/>
      <c r="D32" s="41"/>
      <c r="E32" s="6">
        <v>1770</v>
      </c>
      <c r="F32" s="6">
        <v>6100</v>
      </c>
      <c r="G32" s="6" t="s">
        <v>49</v>
      </c>
      <c r="H32" s="6" t="s">
        <v>239</v>
      </c>
      <c r="I32" s="11">
        <v>27</v>
      </c>
      <c r="J32" s="6">
        <v>19</v>
      </c>
      <c r="K32" s="8" t="s">
        <v>55</v>
      </c>
      <c r="L32" s="11"/>
      <c r="M32" s="6"/>
      <c r="N32" s="8"/>
      <c r="O32" s="11">
        <v>23</v>
      </c>
      <c r="P32" s="6">
        <v>23</v>
      </c>
      <c r="Q32" s="8"/>
      <c r="R32" s="9">
        <f t="shared" si="0"/>
        <v>50</v>
      </c>
      <c r="S32" s="6">
        <f t="shared" si="0"/>
        <v>42</v>
      </c>
    </row>
    <row r="33" spans="2:19" ht="18" x14ac:dyDescent="0.35">
      <c r="B33" s="40">
        <v>9</v>
      </c>
      <c r="C33" s="7" t="s">
        <v>34</v>
      </c>
      <c r="D33" s="6" t="s">
        <v>64</v>
      </c>
      <c r="E33" s="6">
        <v>90129</v>
      </c>
      <c r="F33" s="6">
        <v>2540</v>
      </c>
      <c r="G33" s="6" t="s">
        <v>49</v>
      </c>
      <c r="H33" s="6" t="s">
        <v>235</v>
      </c>
      <c r="I33" s="11">
        <v>124</v>
      </c>
      <c r="J33" s="6">
        <v>124</v>
      </c>
      <c r="K33" s="8"/>
      <c r="L33" s="11"/>
      <c r="M33" s="6"/>
      <c r="N33" s="8"/>
      <c r="O33" s="11">
        <v>124</v>
      </c>
      <c r="P33" s="6">
        <v>124</v>
      </c>
      <c r="Q33" s="8"/>
      <c r="R33" s="9">
        <f t="shared" si="0"/>
        <v>248</v>
      </c>
      <c r="S33" s="6">
        <f t="shared" si="0"/>
        <v>248</v>
      </c>
    </row>
    <row r="34" spans="2:19" ht="18" x14ac:dyDescent="0.35">
      <c r="B34" s="41"/>
      <c r="C34" s="7" t="s">
        <v>35</v>
      </c>
      <c r="D34" s="6" t="s">
        <v>19</v>
      </c>
      <c r="E34" s="6">
        <v>2122</v>
      </c>
      <c r="F34" s="6">
        <v>796.5</v>
      </c>
      <c r="G34" s="6" t="s">
        <v>359</v>
      </c>
      <c r="H34" s="6" t="s">
        <v>190</v>
      </c>
      <c r="I34" s="11">
        <v>0</v>
      </c>
      <c r="J34" s="6">
        <v>0</v>
      </c>
      <c r="K34" s="8" t="s">
        <v>29</v>
      </c>
      <c r="L34" s="11"/>
      <c r="M34" s="6"/>
      <c r="N34" s="8"/>
      <c r="O34" s="11">
        <v>0</v>
      </c>
      <c r="P34" s="6">
        <v>0</v>
      </c>
      <c r="Q34" s="8" t="s">
        <v>29</v>
      </c>
      <c r="R34" s="9">
        <f t="shared" si="0"/>
        <v>0</v>
      </c>
      <c r="S34" s="6">
        <f t="shared" si="0"/>
        <v>0</v>
      </c>
    </row>
    <row r="35" spans="2:19" ht="18" hidden="1" x14ac:dyDescent="0.35">
      <c r="B35" s="6">
        <v>10</v>
      </c>
      <c r="C35" s="7"/>
      <c r="D35" s="6"/>
      <c r="E35" s="6"/>
      <c r="F35" s="6"/>
      <c r="G35" s="6"/>
      <c r="H35" s="6"/>
      <c r="I35" s="11"/>
      <c r="J35" s="6"/>
      <c r="K35" s="8" t="s">
        <v>29</v>
      </c>
      <c r="L35" s="11"/>
      <c r="M35" s="6"/>
      <c r="N35" s="8" t="s">
        <v>29</v>
      </c>
      <c r="O35" s="11"/>
      <c r="P35" s="6"/>
      <c r="Q35" s="8" t="s">
        <v>29</v>
      </c>
      <c r="R35" s="9">
        <f t="shared" si="0"/>
        <v>0</v>
      </c>
      <c r="S35" s="6">
        <f t="shared" si="0"/>
        <v>0</v>
      </c>
    </row>
    <row r="36" spans="2:19" ht="18" hidden="1" x14ac:dyDescent="0.35">
      <c r="C36" s="7"/>
      <c r="D36" s="6"/>
      <c r="E36" s="6"/>
      <c r="F36" s="6"/>
      <c r="G36" s="6"/>
      <c r="H36" s="6"/>
      <c r="I36" s="11"/>
      <c r="J36" s="6"/>
      <c r="R36" s="11"/>
      <c r="S36" s="6"/>
    </row>
  </sheetData>
  <mergeCells count="16">
    <mergeCell ref="B9:B14"/>
    <mergeCell ref="C9:C14"/>
    <mergeCell ref="D9:D10"/>
    <mergeCell ref="B6:N6"/>
    <mergeCell ref="R6:S6"/>
    <mergeCell ref="I7:K7"/>
    <mergeCell ref="L7:N7"/>
    <mergeCell ref="O7:Q7"/>
    <mergeCell ref="B33:B34"/>
    <mergeCell ref="B19:B20"/>
    <mergeCell ref="C19:C20"/>
    <mergeCell ref="B23:B24"/>
    <mergeCell ref="D23:D24"/>
    <mergeCell ref="B27:B32"/>
    <mergeCell ref="C29:C32"/>
    <mergeCell ref="D29:D32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6:S45"/>
  <sheetViews>
    <sheetView topLeftCell="A8" zoomScale="70" zoomScaleNormal="70" workbookViewId="0">
      <selection activeCell="J29" sqref="J29"/>
    </sheetView>
  </sheetViews>
  <sheetFormatPr defaultRowHeight="14.4" x14ac:dyDescent="0.3"/>
  <cols>
    <col min="4" max="4" width="23.88671875" customWidth="1"/>
    <col min="7" max="7" width="16.109375" customWidth="1"/>
    <col min="10" max="10" width="9.109375" customWidth="1"/>
    <col min="11" max="11" width="34.109375" customWidth="1"/>
    <col min="12" max="13" width="9.109375" customWidth="1"/>
    <col min="14" max="14" width="35.44140625" customWidth="1"/>
    <col min="17" max="17" width="47.5546875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371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hidden="1" x14ac:dyDescent="0.35">
      <c r="B9" s="40">
        <v>1</v>
      </c>
      <c r="C9" s="42" t="s">
        <v>18</v>
      </c>
      <c r="D9" s="40" t="s">
        <v>364</v>
      </c>
      <c r="E9" s="6" t="s">
        <v>113</v>
      </c>
      <c r="F9" s="6"/>
      <c r="G9" s="6" t="s">
        <v>303</v>
      </c>
      <c r="H9" s="6"/>
      <c r="I9" s="11">
        <v>70</v>
      </c>
      <c r="J9" s="6">
        <v>70</v>
      </c>
      <c r="K9" s="8"/>
      <c r="L9" s="11"/>
      <c r="M9" s="6"/>
      <c r="N9" s="6"/>
      <c r="O9" s="11">
        <v>44</v>
      </c>
      <c r="P9" s="6">
        <v>35</v>
      </c>
      <c r="Q9" s="6" t="s">
        <v>366</v>
      </c>
      <c r="R9" s="9">
        <f>O9+L9+I9</f>
        <v>114</v>
      </c>
      <c r="S9" s="6">
        <f>P9+M9+J9</f>
        <v>105</v>
      </c>
    </row>
    <row r="10" spans="2:19" ht="18" hidden="1" x14ac:dyDescent="0.35">
      <c r="B10" s="52"/>
      <c r="C10" s="53"/>
      <c r="D10" s="41"/>
      <c r="E10" s="6">
        <v>86289</v>
      </c>
      <c r="F10" s="6">
        <v>914.1</v>
      </c>
      <c r="G10" s="6" t="s">
        <v>298</v>
      </c>
      <c r="H10" s="6" t="s">
        <v>129</v>
      </c>
      <c r="I10" s="11">
        <v>39</v>
      </c>
      <c r="J10" s="6">
        <v>39</v>
      </c>
      <c r="K10" s="8"/>
      <c r="L10" s="11">
        <v>46</v>
      </c>
      <c r="M10" s="6">
        <v>46</v>
      </c>
      <c r="N10" s="6" t="s">
        <v>361</v>
      </c>
      <c r="O10" s="11">
        <v>46</v>
      </c>
      <c r="P10" s="6">
        <v>46</v>
      </c>
      <c r="Q10" s="6" t="s">
        <v>361</v>
      </c>
      <c r="R10" s="9">
        <f t="shared" ref="R10:S41" si="0">O10+L10+I10</f>
        <v>131</v>
      </c>
      <c r="S10" s="6">
        <f t="shared" si="0"/>
        <v>131</v>
      </c>
    </row>
    <row r="11" spans="2:19" ht="18" hidden="1" x14ac:dyDescent="0.35">
      <c r="B11" s="52"/>
      <c r="C11" s="53"/>
      <c r="D11" s="6" t="s">
        <v>19</v>
      </c>
      <c r="E11" s="6">
        <v>2191</v>
      </c>
      <c r="F11" s="6">
        <v>489.7</v>
      </c>
      <c r="G11" s="6" t="s">
        <v>20</v>
      </c>
      <c r="H11" s="6" t="s">
        <v>214</v>
      </c>
      <c r="I11" s="11"/>
      <c r="J11" s="6"/>
      <c r="K11" s="8"/>
      <c r="L11" s="11">
        <v>10</v>
      </c>
      <c r="M11" s="6">
        <v>4</v>
      </c>
      <c r="N11" s="6" t="s">
        <v>44</v>
      </c>
      <c r="O11" s="11">
        <v>10</v>
      </c>
      <c r="P11" s="6">
        <v>4</v>
      </c>
      <c r="Q11" s="6" t="s">
        <v>44</v>
      </c>
      <c r="R11" s="9">
        <f t="shared" si="0"/>
        <v>20</v>
      </c>
      <c r="S11" s="6">
        <f t="shared" si="0"/>
        <v>8</v>
      </c>
    </row>
    <row r="12" spans="2:19" ht="18" hidden="1" x14ac:dyDescent="0.35">
      <c r="B12" s="52"/>
      <c r="C12" s="53"/>
      <c r="D12" s="6" t="s">
        <v>23</v>
      </c>
      <c r="E12" s="6">
        <v>86292</v>
      </c>
      <c r="F12" s="6">
        <v>914.4</v>
      </c>
      <c r="G12" s="6" t="s">
        <v>298</v>
      </c>
      <c r="H12" s="6" t="s">
        <v>129</v>
      </c>
      <c r="I12" s="11">
        <v>88</v>
      </c>
      <c r="J12" s="6">
        <v>88</v>
      </c>
      <c r="K12" s="8"/>
      <c r="L12" s="11">
        <v>88</v>
      </c>
      <c r="M12" s="6">
        <v>0</v>
      </c>
      <c r="N12" s="23"/>
      <c r="O12" s="11">
        <v>88</v>
      </c>
      <c r="P12" s="6">
        <v>0</v>
      </c>
      <c r="Q12" s="23"/>
      <c r="R12" s="9">
        <f t="shared" si="0"/>
        <v>264</v>
      </c>
      <c r="S12" s="6">
        <f t="shared" si="0"/>
        <v>88</v>
      </c>
    </row>
    <row r="13" spans="2:19" ht="18" hidden="1" x14ac:dyDescent="0.35">
      <c r="B13" s="52"/>
      <c r="C13" s="53"/>
      <c r="D13" s="6"/>
      <c r="E13" s="6"/>
      <c r="F13" s="6"/>
      <c r="G13" s="6"/>
      <c r="H13" s="6"/>
      <c r="I13" s="11"/>
      <c r="J13" s="6"/>
      <c r="K13" s="8"/>
      <c r="L13" s="11"/>
      <c r="M13" s="6"/>
      <c r="N13" s="23"/>
      <c r="O13" s="11"/>
      <c r="P13" s="6"/>
      <c r="Q13" s="23"/>
      <c r="R13" s="9">
        <f t="shared" si="0"/>
        <v>0</v>
      </c>
      <c r="S13" s="6">
        <f t="shared" si="0"/>
        <v>0</v>
      </c>
    </row>
    <row r="14" spans="2:19" ht="18" x14ac:dyDescent="0.35">
      <c r="B14" s="41"/>
      <c r="C14" s="43"/>
      <c r="D14" s="6" t="s">
        <v>364</v>
      </c>
      <c r="E14" s="6">
        <v>0</v>
      </c>
      <c r="F14" s="6">
        <v>0</v>
      </c>
      <c r="G14" s="6">
        <v>0</v>
      </c>
      <c r="H14" s="11">
        <v>0</v>
      </c>
      <c r="I14" s="11">
        <v>110</v>
      </c>
      <c r="J14" s="6">
        <v>110</v>
      </c>
      <c r="K14" s="8" t="s">
        <v>113</v>
      </c>
      <c r="L14" s="11">
        <v>0</v>
      </c>
      <c r="M14" s="6">
        <v>0</v>
      </c>
      <c r="N14" s="23"/>
      <c r="O14" s="11">
        <v>0</v>
      </c>
      <c r="P14" s="6">
        <v>0</v>
      </c>
      <c r="Q14" s="8"/>
      <c r="R14" s="9">
        <f t="shared" si="0"/>
        <v>110</v>
      </c>
      <c r="S14" s="6">
        <f t="shared" si="0"/>
        <v>110</v>
      </c>
    </row>
    <row r="15" spans="2:19" ht="18" x14ac:dyDescent="0.35">
      <c r="B15" s="10"/>
      <c r="C15" s="7" t="s">
        <v>18</v>
      </c>
      <c r="D15" s="6" t="s">
        <v>23</v>
      </c>
      <c r="E15" s="6">
        <v>86290</v>
      </c>
      <c r="F15" s="6">
        <v>914.4</v>
      </c>
      <c r="G15" s="6" t="s">
        <v>367</v>
      </c>
      <c r="H15" s="11" t="s">
        <v>129</v>
      </c>
      <c r="I15" s="11">
        <v>0</v>
      </c>
      <c r="J15" s="6">
        <v>0</v>
      </c>
      <c r="K15" s="8" t="s">
        <v>29</v>
      </c>
      <c r="L15" s="11">
        <v>0</v>
      </c>
      <c r="M15" s="6">
        <v>0</v>
      </c>
      <c r="N15" s="23"/>
      <c r="O15" s="11">
        <v>0</v>
      </c>
      <c r="P15" s="6">
        <v>0</v>
      </c>
      <c r="Q15" s="6"/>
      <c r="R15" s="9">
        <f t="shared" si="0"/>
        <v>0</v>
      </c>
      <c r="S15" s="6">
        <f t="shared" si="0"/>
        <v>0</v>
      </c>
    </row>
    <row r="16" spans="2:19" ht="18" x14ac:dyDescent="0.35">
      <c r="B16" s="10"/>
      <c r="C16" s="7" t="s">
        <v>18</v>
      </c>
      <c r="D16" s="6" t="s">
        <v>19</v>
      </c>
      <c r="E16" s="6">
        <v>2191</v>
      </c>
      <c r="F16" s="6">
        <v>489.71</v>
      </c>
      <c r="G16" s="6" t="s">
        <v>20</v>
      </c>
      <c r="H16" s="11" t="s">
        <v>214</v>
      </c>
      <c r="I16" s="11"/>
      <c r="J16" s="6"/>
      <c r="K16" s="8"/>
      <c r="L16" s="11">
        <v>73</v>
      </c>
      <c r="M16" s="6">
        <v>73</v>
      </c>
      <c r="N16" s="23"/>
      <c r="O16" s="11">
        <v>29</v>
      </c>
      <c r="P16" s="6">
        <v>29</v>
      </c>
      <c r="Q16" s="8" t="s">
        <v>29</v>
      </c>
      <c r="R16" s="9">
        <f t="shared" si="0"/>
        <v>102</v>
      </c>
      <c r="S16" s="6">
        <f t="shared" si="0"/>
        <v>102</v>
      </c>
    </row>
    <row r="17" spans="2:19" ht="18" hidden="1" x14ac:dyDescent="0.35">
      <c r="B17" s="6">
        <v>2</v>
      </c>
      <c r="C17" s="7" t="s">
        <v>21</v>
      </c>
      <c r="D17" s="6" t="s">
        <v>23</v>
      </c>
      <c r="E17" s="6">
        <v>86292</v>
      </c>
      <c r="F17" s="6">
        <v>914.4</v>
      </c>
      <c r="G17" s="6" t="s">
        <v>324</v>
      </c>
      <c r="H17" s="6" t="s">
        <v>203</v>
      </c>
      <c r="I17" s="11">
        <v>0</v>
      </c>
      <c r="J17" s="6">
        <v>0</v>
      </c>
      <c r="K17" s="8" t="s">
        <v>29</v>
      </c>
      <c r="L17" s="11">
        <v>0</v>
      </c>
      <c r="M17" s="6">
        <v>0</v>
      </c>
      <c r="N17" s="23"/>
      <c r="O17" s="11">
        <v>0</v>
      </c>
      <c r="P17" s="6">
        <v>0</v>
      </c>
      <c r="Q17" s="6"/>
      <c r="R17" s="9">
        <f t="shared" si="0"/>
        <v>0</v>
      </c>
      <c r="S17" s="6">
        <f t="shared" si="0"/>
        <v>0</v>
      </c>
    </row>
    <row r="18" spans="2:19" ht="18.75" hidden="1" customHeight="1" x14ac:dyDescent="0.35">
      <c r="B18" s="24"/>
      <c r="C18" s="18"/>
      <c r="D18" s="6" t="s">
        <v>23</v>
      </c>
      <c r="E18" s="6">
        <v>86289</v>
      </c>
      <c r="F18" s="6">
        <v>914.1</v>
      </c>
      <c r="G18" s="6" t="s">
        <v>308</v>
      </c>
      <c r="H18" s="6" t="s">
        <v>226</v>
      </c>
      <c r="I18" s="11">
        <v>0</v>
      </c>
      <c r="J18" s="6"/>
      <c r="K18" s="8"/>
      <c r="L18" s="11">
        <v>0</v>
      </c>
      <c r="M18" s="6">
        <v>82</v>
      </c>
      <c r="N18" s="23"/>
      <c r="O18" s="11">
        <v>0</v>
      </c>
      <c r="P18" s="6">
        <v>82</v>
      </c>
      <c r="Q18" s="6"/>
      <c r="R18" s="9">
        <f t="shared" si="0"/>
        <v>0</v>
      </c>
      <c r="S18" s="6">
        <f t="shared" si="0"/>
        <v>164</v>
      </c>
    </row>
    <row r="19" spans="2:19" ht="18.75" hidden="1" customHeight="1" x14ac:dyDescent="0.35">
      <c r="B19" s="24"/>
      <c r="C19" s="18"/>
      <c r="D19" s="6" t="s">
        <v>23</v>
      </c>
      <c r="E19" s="6">
        <v>86289</v>
      </c>
      <c r="F19" s="6">
        <v>914.1</v>
      </c>
      <c r="G19" s="6" t="s">
        <v>61</v>
      </c>
      <c r="H19" s="6" t="s">
        <v>355</v>
      </c>
      <c r="I19" s="11"/>
      <c r="J19" s="6"/>
      <c r="K19" s="8"/>
      <c r="L19" s="11"/>
      <c r="M19" s="6"/>
      <c r="N19" s="23"/>
      <c r="O19" s="11"/>
      <c r="P19" s="6"/>
      <c r="Q19" s="6"/>
      <c r="R19" s="9">
        <f t="shared" si="0"/>
        <v>0</v>
      </c>
      <c r="S19" s="6">
        <f t="shared" si="0"/>
        <v>0</v>
      </c>
    </row>
    <row r="20" spans="2:19" ht="18.75" customHeight="1" x14ac:dyDescent="0.35">
      <c r="B20" s="37"/>
      <c r="C20" s="7" t="s">
        <v>21</v>
      </c>
      <c r="D20" s="6" t="s">
        <v>23</v>
      </c>
      <c r="E20" s="6">
        <v>86292</v>
      </c>
      <c r="F20" s="6">
        <v>914.4</v>
      </c>
      <c r="G20" s="6" t="s">
        <v>367</v>
      </c>
      <c r="H20" s="6" t="s">
        <v>129</v>
      </c>
      <c r="I20" s="11"/>
      <c r="J20" s="6"/>
      <c r="K20" s="8" t="s">
        <v>294</v>
      </c>
      <c r="L20" s="11">
        <v>0</v>
      </c>
      <c r="M20" s="6">
        <v>0</v>
      </c>
      <c r="N20" s="6" t="s">
        <v>29</v>
      </c>
      <c r="O20" s="11">
        <v>88</v>
      </c>
      <c r="P20" s="6">
        <v>80</v>
      </c>
      <c r="Q20" s="6" t="s">
        <v>44</v>
      </c>
      <c r="R20" s="9">
        <f t="shared" si="0"/>
        <v>88</v>
      </c>
      <c r="S20" s="6">
        <f t="shared" si="0"/>
        <v>80</v>
      </c>
    </row>
    <row r="21" spans="2:19" ht="18" x14ac:dyDescent="0.35">
      <c r="B21" s="40">
        <v>3</v>
      </c>
      <c r="C21" s="42" t="s">
        <v>22</v>
      </c>
      <c r="D21" s="6" t="s">
        <v>23</v>
      </c>
      <c r="E21" s="6">
        <v>86292</v>
      </c>
      <c r="F21" s="6">
        <v>914.4</v>
      </c>
      <c r="G21" s="6" t="s">
        <v>328</v>
      </c>
      <c r="H21" s="6" t="s">
        <v>293</v>
      </c>
      <c r="I21" s="11">
        <v>36</v>
      </c>
      <c r="J21" s="6">
        <v>30</v>
      </c>
      <c r="K21" s="8" t="s">
        <v>111</v>
      </c>
      <c r="L21" s="11">
        <v>36</v>
      </c>
      <c r="M21" s="6">
        <v>0</v>
      </c>
      <c r="N21" s="6" t="s">
        <v>384</v>
      </c>
      <c r="O21" s="11">
        <v>36</v>
      </c>
      <c r="P21" s="6">
        <v>33</v>
      </c>
      <c r="Q21" s="6" t="s">
        <v>217</v>
      </c>
      <c r="R21" s="9">
        <f t="shared" si="0"/>
        <v>108</v>
      </c>
      <c r="S21" s="6">
        <f t="shared" si="0"/>
        <v>63</v>
      </c>
    </row>
    <row r="22" spans="2:19" ht="18.75" hidden="1" customHeight="1" x14ac:dyDescent="0.35">
      <c r="B22" s="41"/>
      <c r="C22" s="43"/>
      <c r="D22" s="6" t="s">
        <v>23</v>
      </c>
      <c r="E22" s="6">
        <v>86290</v>
      </c>
      <c r="F22" s="6">
        <v>914.4</v>
      </c>
      <c r="G22" s="6" t="s">
        <v>328</v>
      </c>
      <c r="H22" s="11" t="s">
        <v>129</v>
      </c>
      <c r="I22" s="11"/>
      <c r="J22" s="6"/>
      <c r="K22" s="8"/>
      <c r="L22" s="11">
        <v>88</v>
      </c>
      <c r="M22" s="6">
        <v>60</v>
      </c>
      <c r="N22" s="36" t="s">
        <v>44</v>
      </c>
      <c r="O22" s="11"/>
      <c r="P22" s="6">
        <v>60</v>
      </c>
      <c r="Q22" s="8" t="s">
        <v>44</v>
      </c>
      <c r="R22" s="9">
        <f t="shared" si="0"/>
        <v>88</v>
      </c>
      <c r="S22" s="6">
        <f t="shared" si="0"/>
        <v>120</v>
      </c>
    </row>
    <row r="23" spans="2:19" ht="18" x14ac:dyDescent="0.35">
      <c r="B23" s="6">
        <v>4</v>
      </c>
      <c r="C23" s="7" t="s">
        <v>25</v>
      </c>
      <c r="D23" s="6" t="s">
        <v>302</v>
      </c>
      <c r="E23" s="10">
        <v>2123</v>
      </c>
      <c r="F23" s="6">
        <v>418.2</v>
      </c>
      <c r="G23" s="6" t="s">
        <v>303</v>
      </c>
      <c r="H23" s="6" t="s">
        <v>297</v>
      </c>
      <c r="I23" s="11">
        <v>0</v>
      </c>
      <c r="J23" s="6">
        <v>0</v>
      </c>
      <c r="K23" s="8" t="s">
        <v>29</v>
      </c>
      <c r="L23" s="11">
        <v>0</v>
      </c>
      <c r="M23" s="6">
        <v>0</v>
      </c>
      <c r="N23" s="8" t="s">
        <v>29</v>
      </c>
      <c r="O23" s="11">
        <v>0</v>
      </c>
      <c r="P23" s="6">
        <v>0</v>
      </c>
      <c r="Q23" s="8" t="s">
        <v>382</v>
      </c>
      <c r="R23" s="9">
        <f t="shared" si="0"/>
        <v>0</v>
      </c>
      <c r="S23" s="6">
        <f t="shared" si="0"/>
        <v>0</v>
      </c>
    </row>
    <row r="24" spans="2:19" ht="18" x14ac:dyDescent="0.35">
      <c r="B24" s="10">
        <v>5</v>
      </c>
      <c r="C24" s="7" t="s">
        <v>28</v>
      </c>
      <c r="D24" s="6" t="s">
        <v>379</v>
      </c>
      <c r="E24" s="10">
        <v>98812</v>
      </c>
      <c r="F24" s="6">
        <v>292</v>
      </c>
      <c r="G24" s="6" t="s">
        <v>27</v>
      </c>
      <c r="H24" s="6" t="s">
        <v>209</v>
      </c>
      <c r="I24" s="11">
        <v>146</v>
      </c>
      <c r="J24" s="6">
        <v>146</v>
      </c>
      <c r="K24" s="8"/>
      <c r="L24" s="11">
        <v>146</v>
      </c>
      <c r="M24" s="6">
        <v>146</v>
      </c>
      <c r="N24" s="8"/>
      <c r="O24" s="11">
        <v>146</v>
      </c>
      <c r="P24" s="6">
        <v>146</v>
      </c>
      <c r="Q24" s="6" t="s">
        <v>375</v>
      </c>
      <c r="R24" s="9">
        <f t="shared" si="0"/>
        <v>438</v>
      </c>
      <c r="S24" s="6">
        <f t="shared" si="0"/>
        <v>438</v>
      </c>
    </row>
    <row r="25" spans="2:19" ht="18" hidden="1" x14ac:dyDescent="0.35">
      <c r="B25" s="40">
        <v>6</v>
      </c>
      <c r="C25" s="7" t="s">
        <v>30</v>
      </c>
      <c r="D25" s="40" t="s">
        <v>378</v>
      </c>
      <c r="E25" s="10">
        <v>99719</v>
      </c>
      <c r="F25" s="6">
        <v>1107</v>
      </c>
      <c r="G25" s="6" t="s">
        <v>236</v>
      </c>
      <c r="H25" s="11" t="s">
        <v>129</v>
      </c>
      <c r="I25" s="11">
        <v>6</v>
      </c>
      <c r="J25" s="6"/>
      <c r="K25" s="8"/>
      <c r="L25" s="11">
        <v>0</v>
      </c>
      <c r="M25" s="6">
        <v>0</v>
      </c>
      <c r="N25" s="8"/>
      <c r="O25" s="11">
        <v>6</v>
      </c>
      <c r="P25" s="6">
        <v>0</v>
      </c>
      <c r="Q25" s="8"/>
      <c r="R25" s="9">
        <f t="shared" si="0"/>
        <v>12</v>
      </c>
      <c r="S25" s="6">
        <f t="shared" si="0"/>
        <v>0</v>
      </c>
    </row>
    <row r="26" spans="2:19" ht="18" x14ac:dyDescent="0.35">
      <c r="B26" s="41"/>
      <c r="C26" s="7" t="s">
        <v>30</v>
      </c>
      <c r="D26" s="41"/>
      <c r="E26" s="10">
        <v>84051</v>
      </c>
      <c r="F26" s="6">
        <v>3000</v>
      </c>
      <c r="G26" s="6" t="s">
        <v>27</v>
      </c>
      <c r="H26" s="11"/>
      <c r="I26" s="11"/>
      <c r="J26" s="6"/>
      <c r="K26" s="8" t="s">
        <v>42</v>
      </c>
      <c r="L26" s="11"/>
      <c r="M26" s="6"/>
      <c r="N26" s="6" t="s">
        <v>384</v>
      </c>
      <c r="O26" s="11">
        <v>73</v>
      </c>
      <c r="P26" s="6">
        <v>19</v>
      </c>
      <c r="Q26" s="8" t="s">
        <v>387</v>
      </c>
      <c r="R26" s="9">
        <f t="shared" si="0"/>
        <v>73</v>
      </c>
      <c r="S26" s="6">
        <f t="shared" si="0"/>
        <v>19</v>
      </c>
    </row>
    <row r="27" spans="2:19" ht="18" hidden="1" x14ac:dyDescent="0.35">
      <c r="B27" s="14">
        <v>7</v>
      </c>
      <c r="C27" s="13" t="s">
        <v>31</v>
      </c>
      <c r="D27" s="6" t="s">
        <v>353</v>
      </c>
      <c r="E27" s="6">
        <v>84051</v>
      </c>
      <c r="F27" s="6">
        <v>3050</v>
      </c>
      <c r="G27" s="6" t="s">
        <v>49</v>
      </c>
      <c r="H27" s="6" t="s">
        <v>129</v>
      </c>
      <c r="I27" s="11">
        <v>88</v>
      </c>
      <c r="J27" s="6"/>
      <c r="K27" s="8"/>
      <c r="L27" s="11">
        <v>88</v>
      </c>
      <c r="M27" s="6">
        <v>20</v>
      </c>
      <c r="N27" s="8" t="s">
        <v>354</v>
      </c>
      <c r="O27" s="11">
        <v>88</v>
      </c>
      <c r="P27" s="6">
        <v>20</v>
      </c>
      <c r="Q27" s="8" t="s">
        <v>354</v>
      </c>
      <c r="R27" s="9">
        <f t="shared" si="0"/>
        <v>264</v>
      </c>
      <c r="S27" s="6">
        <f t="shared" si="0"/>
        <v>40</v>
      </c>
    </row>
    <row r="28" spans="2:19" ht="18" hidden="1" x14ac:dyDescent="0.35">
      <c r="B28" s="6">
        <v>7</v>
      </c>
      <c r="C28" s="7" t="s">
        <v>31</v>
      </c>
      <c r="D28" s="6" t="s">
        <v>64</v>
      </c>
      <c r="E28" s="6">
        <v>90129</v>
      </c>
      <c r="F28" s="6">
        <v>2540</v>
      </c>
      <c r="G28" s="6" t="s">
        <v>49</v>
      </c>
      <c r="H28" s="6" t="s">
        <v>191</v>
      </c>
      <c r="I28" s="11">
        <v>40</v>
      </c>
      <c r="J28" s="6"/>
      <c r="K28" s="8"/>
      <c r="L28" s="11">
        <v>40</v>
      </c>
      <c r="M28" s="6">
        <v>33</v>
      </c>
      <c r="N28" s="8"/>
      <c r="O28" s="11">
        <v>40</v>
      </c>
      <c r="P28" s="6">
        <v>33</v>
      </c>
      <c r="Q28" s="8"/>
      <c r="R28" s="9">
        <f t="shared" si="0"/>
        <v>120</v>
      </c>
      <c r="S28" s="6">
        <f t="shared" si="0"/>
        <v>66</v>
      </c>
    </row>
    <row r="29" spans="2:19" ht="18" x14ac:dyDescent="0.35">
      <c r="B29" s="38"/>
      <c r="C29" s="7" t="s">
        <v>31</v>
      </c>
      <c r="D29" s="6" t="s">
        <v>64</v>
      </c>
      <c r="E29" s="6">
        <v>90129</v>
      </c>
      <c r="F29" s="6">
        <v>2540</v>
      </c>
      <c r="G29" s="6" t="s">
        <v>49</v>
      </c>
      <c r="H29" s="6" t="s">
        <v>192</v>
      </c>
      <c r="I29" s="11">
        <v>40</v>
      </c>
      <c r="J29" s="11">
        <v>40</v>
      </c>
      <c r="K29" s="8"/>
      <c r="L29" s="11">
        <v>40</v>
      </c>
      <c r="M29" s="6">
        <v>24</v>
      </c>
      <c r="N29" s="36" t="s">
        <v>380</v>
      </c>
      <c r="O29" s="11">
        <v>40</v>
      </c>
      <c r="P29" s="6">
        <v>20</v>
      </c>
      <c r="Q29" s="36" t="s">
        <v>388</v>
      </c>
      <c r="R29" s="9">
        <f t="shared" si="0"/>
        <v>120</v>
      </c>
      <c r="S29" s="6">
        <f t="shared" si="0"/>
        <v>84</v>
      </c>
    </row>
    <row r="30" spans="2:19" ht="18.75" hidden="1" customHeight="1" x14ac:dyDescent="0.35">
      <c r="C30" s="35"/>
      <c r="D30" s="6" t="s">
        <v>23</v>
      </c>
      <c r="E30" s="6">
        <v>86292</v>
      </c>
      <c r="F30" s="6">
        <v>914.4</v>
      </c>
      <c r="G30" s="6" t="s">
        <v>301</v>
      </c>
      <c r="H30" s="6" t="s">
        <v>129</v>
      </c>
      <c r="I30" s="11">
        <v>88</v>
      </c>
      <c r="J30" s="6"/>
      <c r="K30" s="8"/>
      <c r="L30" s="11">
        <v>88</v>
      </c>
      <c r="M30" s="6">
        <v>44</v>
      </c>
      <c r="N30" s="8"/>
      <c r="O30" s="11">
        <v>88</v>
      </c>
      <c r="P30" s="6">
        <v>44</v>
      </c>
      <c r="Q30" s="8"/>
      <c r="R30" s="9">
        <f t="shared" si="0"/>
        <v>264</v>
      </c>
      <c r="S30" s="6">
        <f t="shared" si="0"/>
        <v>88</v>
      </c>
    </row>
    <row r="31" spans="2:19" ht="17.25" hidden="1" customHeight="1" x14ac:dyDescent="0.35">
      <c r="C31" s="53" t="s">
        <v>33</v>
      </c>
      <c r="D31" s="40" t="s">
        <v>47</v>
      </c>
      <c r="E31" s="6">
        <v>99719</v>
      </c>
      <c r="F31" s="6">
        <v>5000</v>
      </c>
      <c r="G31" s="6" t="s">
        <v>308</v>
      </c>
      <c r="H31" s="6" t="s">
        <v>237</v>
      </c>
      <c r="I31" s="11">
        <v>9</v>
      </c>
      <c r="J31" s="6"/>
      <c r="K31" s="8"/>
      <c r="L31" s="11">
        <v>0</v>
      </c>
      <c r="M31" s="6">
        <v>0</v>
      </c>
      <c r="N31" s="8"/>
      <c r="O31" s="11">
        <v>9</v>
      </c>
      <c r="P31" s="6">
        <v>0</v>
      </c>
      <c r="Q31" s="8"/>
      <c r="R31" s="9">
        <f t="shared" si="0"/>
        <v>18</v>
      </c>
      <c r="S31" s="6">
        <f t="shared" si="0"/>
        <v>0</v>
      </c>
    </row>
    <row r="32" spans="2:19" ht="19.5" hidden="1" customHeight="1" x14ac:dyDescent="0.35">
      <c r="C32" s="53"/>
      <c r="D32" s="52"/>
      <c r="E32" s="6">
        <v>1770</v>
      </c>
      <c r="F32" s="6">
        <v>6100</v>
      </c>
      <c r="G32" s="6" t="s">
        <v>49</v>
      </c>
      <c r="H32" s="6" t="s">
        <v>239</v>
      </c>
      <c r="I32" s="11">
        <v>23</v>
      </c>
      <c r="J32" s="6">
        <v>23</v>
      </c>
      <c r="K32" s="8" t="s">
        <v>383</v>
      </c>
      <c r="L32" s="11">
        <v>0</v>
      </c>
      <c r="M32" s="6">
        <v>0</v>
      </c>
      <c r="N32" s="8"/>
      <c r="O32" s="11">
        <v>27</v>
      </c>
      <c r="P32" s="6">
        <v>23</v>
      </c>
      <c r="Q32" s="8" t="s">
        <v>376</v>
      </c>
      <c r="R32" s="9">
        <f t="shared" si="0"/>
        <v>50</v>
      </c>
      <c r="S32" s="6">
        <f t="shared" si="0"/>
        <v>46</v>
      </c>
    </row>
    <row r="33" spans="2:19" ht="19.5" customHeight="1" x14ac:dyDescent="0.35">
      <c r="B33" s="56"/>
      <c r="C33" s="53"/>
      <c r="D33" s="52"/>
      <c r="E33" s="8">
        <v>1792</v>
      </c>
      <c r="F33" s="6">
        <v>5000</v>
      </c>
      <c r="G33" s="6" t="s">
        <v>49</v>
      </c>
      <c r="H33" s="6" t="s">
        <v>214</v>
      </c>
      <c r="I33" s="11">
        <v>10</v>
      </c>
      <c r="J33" s="6">
        <v>10</v>
      </c>
      <c r="K33" s="8"/>
      <c r="L33" s="11"/>
      <c r="M33" s="6"/>
      <c r="N33" s="8" t="s">
        <v>44</v>
      </c>
      <c r="O33" s="11">
        <v>0</v>
      </c>
      <c r="P33" s="6">
        <v>0</v>
      </c>
      <c r="Q33" s="8"/>
      <c r="R33" s="9">
        <f t="shared" si="0"/>
        <v>10</v>
      </c>
      <c r="S33" s="6">
        <f t="shared" si="0"/>
        <v>10</v>
      </c>
    </row>
    <row r="34" spans="2:19" ht="19.5" customHeight="1" x14ac:dyDescent="0.35">
      <c r="B34" s="56"/>
      <c r="C34" s="53"/>
      <c r="D34" s="52"/>
      <c r="E34" s="8">
        <v>2444</v>
      </c>
      <c r="F34" s="6">
        <v>5000</v>
      </c>
      <c r="G34" s="6" t="s">
        <v>27</v>
      </c>
      <c r="H34" s="6" t="s">
        <v>129</v>
      </c>
      <c r="I34" s="11">
        <v>16</v>
      </c>
      <c r="J34" s="6">
        <v>16</v>
      </c>
      <c r="K34" s="8"/>
      <c r="L34" s="11"/>
      <c r="M34" s="6"/>
      <c r="N34" s="8" t="s">
        <v>44</v>
      </c>
      <c r="O34" s="11">
        <v>0</v>
      </c>
      <c r="P34" s="6">
        <v>0</v>
      </c>
      <c r="Q34" s="8"/>
      <c r="R34" s="9">
        <f t="shared" si="0"/>
        <v>16</v>
      </c>
      <c r="S34" s="6">
        <f t="shared" si="0"/>
        <v>16</v>
      </c>
    </row>
    <row r="35" spans="2:19" ht="19.5" customHeight="1" x14ac:dyDescent="0.35">
      <c r="B35" s="56"/>
      <c r="C35" s="53"/>
      <c r="D35" s="52"/>
      <c r="E35" s="8">
        <v>2444</v>
      </c>
      <c r="F35" s="6">
        <v>5000</v>
      </c>
      <c r="G35" s="6" t="s">
        <v>49</v>
      </c>
      <c r="H35" s="6" t="s">
        <v>256</v>
      </c>
      <c r="I35" s="11"/>
      <c r="J35" s="6"/>
      <c r="K35" s="8"/>
      <c r="L35" s="11">
        <v>16</v>
      </c>
      <c r="M35" s="6">
        <v>16</v>
      </c>
      <c r="N35" s="8" t="s">
        <v>145</v>
      </c>
      <c r="O35" s="11">
        <v>0</v>
      </c>
      <c r="P35" s="6">
        <v>0</v>
      </c>
      <c r="Q35" s="8"/>
      <c r="R35" s="9">
        <f t="shared" si="0"/>
        <v>16</v>
      </c>
      <c r="S35" s="6">
        <f t="shared" si="0"/>
        <v>16</v>
      </c>
    </row>
    <row r="36" spans="2:19" ht="19.5" customHeight="1" x14ac:dyDescent="0.35">
      <c r="B36" s="56"/>
      <c r="C36" s="53"/>
      <c r="D36" s="52"/>
      <c r="E36" s="8">
        <v>1800</v>
      </c>
      <c r="F36" s="6">
        <v>5000</v>
      </c>
      <c r="G36" s="6" t="s">
        <v>49</v>
      </c>
      <c r="H36" s="6" t="s">
        <v>203</v>
      </c>
      <c r="I36" s="11">
        <v>16</v>
      </c>
      <c r="J36" s="6">
        <v>16</v>
      </c>
      <c r="K36" s="8">
        <v>8</v>
      </c>
      <c r="L36" s="11"/>
      <c r="M36" s="6"/>
      <c r="N36" s="8" t="s">
        <v>145</v>
      </c>
      <c r="O36" s="11">
        <v>0</v>
      </c>
      <c r="P36" s="6">
        <v>0</v>
      </c>
      <c r="Q36" s="8"/>
      <c r="R36" s="9">
        <f t="shared" si="0"/>
        <v>16</v>
      </c>
      <c r="S36" s="6">
        <f t="shared" si="0"/>
        <v>16</v>
      </c>
    </row>
    <row r="37" spans="2:19" ht="15" customHeight="1" x14ac:dyDescent="0.35">
      <c r="B37" s="56"/>
      <c r="C37" s="53"/>
      <c r="D37" s="41"/>
      <c r="E37" s="8">
        <v>1800</v>
      </c>
      <c r="F37" s="6">
        <v>5000</v>
      </c>
      <c r="G37" s="6" t="s">
        <v>385</v>
      </c>
      <c r="H37" s="6" t="s">
        <v>256</v>
      </c>
      <c r="I37" s="11">
        <v>0</v>
      </c>
      <c r="J37" s="6">
        <v>0</v>
      </c>
      <c r="K37" s="8"/>
      <c r="L37" s="11">
        <v>16</v>
      </c>
      <c r="M37" s="6">
        <v>16</v>
      </c>
      <c r="N37" s="8" t="s">
        <v>381</v>
      </c>
      <c r="O37" s="11">
        <v>7</v>
      </c>
      <c r="P37" s="6">
        <v>7</v>
      </c>
      <c r="Q37" s="8"/>
      <c r="R37" s="9">
        <f t="shared" si="0"/>
        <v>23</v>
      </c>
      <c r="S37" s="6">
        <f t="shared" si="0"/>
        <v>23</v>
      </c>
    </row>
    <row r="38" spans="2:19" ht="15" customHeight="1" x14ac:dyDescent="0.35">
      <c r="B38" s="56"/>
      <c r="C38" s="43"/>
      <c r="D38" s="10"/>
      <c r="E38" s="8">
        <v>1800</v>
      </c>
      <c r="F38" s="6">
        <v>5000</v>
      </c>
      <c r="G38" s="6" t="s">
        <v>386</v>
      </c>
      <c r="H38" s="6" t="s">
        <v>256</v>
      </c>
      <c r="I38" s="11">
        <v>0</v>
      </c>
      <c r="J38" s="6">
        <v>0</v>
      </c>
      <c r="K38" s="8"/>
      <c r="L38" s="11"/>
      <c r="M38" s="6"/>
      <c r="N38" s="8"/>
      <c r="O38" s="11">
        <v>10</v>
      </c>
      <c r="P38" s="6">
        <v>10</v>
      </c>
      <c r="Q38" s="8" t="s">
        <v>390</v>
      </c>
      <c r="R38" s="9">
        <f t="shared" si="0"/>
        <v>10</v>
      </c>
      <c r="S38" s="6">
        <f t="shared" si="0"/>
        <v>10</v>
      </c>
    </row>
    <row r="39" spans="2:19" ht="15" customHeight="1" x14ac:dyDescent="0.35">
      <c r="B39" s="40">
        <v>9</v>
      </c>
      <c r="C39" s="7" t="s">
        <v>34</v>
      </c>
      <c r="D39" s="6" t="s">
        <v>64</v>
      </c>
      <c r="E39" s="6">
        <v>90129</v>
      </c>
      <c r="F39" s="6">
        <v>2540</v>
      </c>
      <c r="G39" s="6" t="s">
        <v>49</v>
      </c>
      <c r="H39" s="6" t="s">
        <v>227</v>
      </c>
      <c r="I39" s="11">
        <v>124</v>
      </c>
      <c r="J39" s="6">
        <v>124</v>
      </c>
      <c r="K39" s="8"/>
      <c r="L39" s="11">
        <v>124</v>
      </c>
      <c r="M39" s="6">
        <v>124</v>
      </c>
      <c r="N39" s="8" t="s">
        <v>381</v>
      </c>
      <c r="O39" s="11">
        <v>124</v>
      </c>
      <c r="P39" s="6">
        <v>120</v>
      </c>
      <c r="Q39" s="8" t="s">
        <v>389</v>
      </c>
      <c r="R39" s="9">
        <f t="shared" si="0"/>
        <v>372</v>
      </c>
      <c r="S39" s="6">
        <f t="shared" si="0"/>
        <v>368</v>
      </c>
    </row>
    <row r="40" spans="2:19" ht="15" customHeight="1" x14ac:dyDescent="0.35">
      <c r="B40" s="41"/>
      <c r="C40" s="7" t="s">
        <v>35</v>
      </c>
      <c r="D40" s="6" t="s">
        <v>19</v>
      </c>
      <c r="E40" s="6">
        <v>2122</v>
      </c>
      <c r="F40" s="6">
        <v>796.5</v>
      </c>
      <c r="G40" s="6" t="s">
        <v>359</v>
      </c>
      <c r="H40" s="6" t="s">
        <v>209</v>
      </c>
      <c r="I40" s="11">
        <v>0</v>
      </c>
      <c r="J40" s="6">
        <v>0</v>
      </c>
      <c r="K40" s="8" t="s">
        <v>29</v>
      </c>
      <c r="L40" s="11">
        <v>0</v>
      </c>
      <c r="M40" s="6">
        <v>0</v>
      </c>
      <c r="N40" s="8" t="s">
        <v>29</v>
      </c>
      <c r="O40" s="11">
        <v>0</v>
      </c>
      <c r="P40" s="6">
        <v>0</v>
      </c>
      <c r="Q40" s="8" t="s">
        <v>29</v>
      </c>
      <c r="R40" s="9">
        <f t="shared" si="0"/>
        <v>0</v>
      </c>
      <c r="S40" s="6">
        <f t="shared" si="0"/>
        <v>0</v>
      </c>
    </row>
    <row r="41" spans="2:19" ht="18.75" hidden="1" customHeight="1" x14ac:dyDescent="0.35">
      <c r="B41" s="6">
        <v>10</v>
      </c>
      <c r="C41" s="7"/>
      <c r="D41" s="6"/>
      <c r="E41" s="6"/>
      <c r="F41" s="6"/>
      <c r="G41" s="6"/>
      <c r="H41" s="6"/>
      <c r="I41" s="11"/>
      <c r="J41" s="6"/>
      <c r="K41" s="8"/>
      <c r="L41" s="11"/>
      <c r="M41" s="6"/>
      <c r="N41" s="8" t="s">
        <v>29</v>
      </c>
      <c r="O41" s="11"/>
      <c r="P41" s="6"/>
      <c r="Q41" s="8" t="s">
        <v>29</v>
      </c>
      <c r="R41" s="9">
        <f t="shared" si="0"/>
        <v>0</v>
      </c>
      <c r="S41" s="6">
        <f t="shared" si="0"/>
        <v>0</v>
      </c>
    </row>
    <row r="42" spans="2:19" ht="15" hidden="1" customHeight="1" x14ac:dyDescent="0.35">
      <c r="C42" s="7"/>
      <c r="D42" s="6"/>
      <c r="E42" s="6"/>
      <c r="F42" s="6"/>
      <c r="G42" s="6"/>
      <c r="H42" s="6"/>
      <c r="I42" s="11"/>
      <c r="J42" s="6"/>
      <c r="R42" s="9">
        <f t="shared" ref="R42" si="1">O42+L42+I42</f>
        <v>0</v>
      </c>
      <c r="S42" s="6"/>
    </row>
    <row r="45" spans="2:19" x14ac:dyDescent="0.3">
      <c r="H45" t="s">
        <v>377</v>
      </c>
    </row>
  </sheetData>
  <mergeCells count="16">
    <mergeCell ref="B39:B40"/>
    <mergeCell ref="B21:B22"/>
    <mergeCell ref="C21:C22"/>
    <mergeCell ref="B25:B26"/>
    <mergeCell ref="D25:D26"/>
    <mergeCell ref="D31:D37"/>
    <mergeCell ref="C31:C38"/>
    <mergeCell ref="B33:B38"/>
    <mergeCell ref="B9:B14"/>
    <mergeCell ref="C9:C14"/>
    <mergeCell ref="D9:D10"/>
    <mergeCell ref="B6:N6"/>
    <mergeCell ref="R6:S6"/>
    <mergeCell ref="I7:K7"/>
    <mergeCell ref="L7:N7"/>
    <mergeCell ref="O7:Q7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6:S22"/>
  <sheetViews>
    <sheetView topLeftCell="A4" zoomScale="70" zoomScaleNormal="70" workbookViewId="0">
      <selection activeCell="B6" sqref="B6:S22"/>
    </sheetView>
  </sheetViews>
  <sheetFormatPr defaultRowHeight="14.4" x14ac:dyDescent="0.3"/>
  <cols>
    <col min="4" max="4" width="22.6640625" bestFit="1" customWidth="1"/>
    <col min="5" max="5" width="8.6640625" bestFit="1" customWidth="1"/>
    <col min="7" max="7" width="14.109375" bestFit="1" customWidth="1"/>
    <col min="10" max="10" width="8.5546875" bestFit="1" customWidth="1"/>
    <col min="11" max="11" width="26" bestFit="1" customWidth="1"/>
    <col min="13" max="13" width="8.5546875" bestFit="1" customWidth="1"/>
    <col min="14" max="14" width="35.33203125" bestFit="1" customWidth="1"/>
    <col min="17" max="17" width="26.88671875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391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x14ac:dyDescent="0.35">
      <c r="B9" s="10">
        <v>1</v>
      </c>
      <c r="C9" s="7" t="s">
        <v>18</v>
      </c>
      <c r="D9" s="6" t="s">
        <v>19</v>
      </c>
      <c r="E9" s="6">
        <v>2191</v>
      </c>
      <c r="F9" s="6">
        <v>489.71</v>
      </c>
      <c r="G9" s="6" t="s">
        <v>20</v>
      </c>
      <c r="H9" s="11" t="s">
        <v>214</v>
      </c>
      <c r="I9" s="11"/>
      <c r="J9" s="6"/>
      <c r="K9" s="8"/>
      <c r="L9" s="11"/>
      <c r="M9" s="6"/>
      <c r="N9" s="23" t="s">
        <v>163</v>
      </c>
      <c r="O9" s="11">
        <v>0</v>
      </c>
      <c r="P9" s="6">
        <v>0</v>
      </c>
      <c r="Q9" s="8" t="s">
        <v>29</v>
      </c>
      <c r="R9" s="9">
        <f t="shared" ref="R9:S22" si="0">O9+L9+I9</f>
        <v>0</v>
      </c>
      <c r="S9" s="6">
        <f t="shared" si="0"/>
        <v>0</v>
      </c>
    </row>
    <row r="10" spans="2:19" ht="18" x14ac:dyDescent="0.35">
      <c r="B10" s="40">
        <v>2</v>
      </c>
      <c r="C10" s="42" t="s">
        <v>21</v>
      </c>
      <c r="D10" s="40" t="s">
        <v>23</v>
      </c>
      <c r="E10" s="6">
        <v>86292</v>
      </c>
      <c r="F10" s="6">
        <v>914.4</v>
      </c>
      <c r="G10" s="6" t="s">
        <v>367</v>
      </c>
      <c r="H10" s="6" t="s">
        <v>129</v>
      </c>
      <c r="I10" s="11">
        <v>88</v>
      </c>
      <c r="J10" s="6">
        <v>88</v>
      </c>
      <c r="K10" s="8"/>
      <c r="L10" s="11"/>
      <c r="M10" s="6"/>
      <c r="N10" s="6"/>
      <c r="O10" s="11">
        <v>44</v>
      </c>
      <c r="P10" s="6">
        <v>44</v>
      </c>
      <c r="Q10" s="6"/>
      <c r="R10" s="9">
        <f t="shared" si="0"/>
        <v>132</v>
      </c>
      <c r="S10" s="6">
        <f t="shared" si="0"/>
        <v>132</v>
      </c>
    </row>
    <row r="11" spans="2:19" ht="18" x14ac:dyDescent="0.35">
      <c r="B11" s="41"/>
      <c r="C11" s="43"/>
      <c r="D11" s="41"/>
      <c r="E11" s="6">
        <v>86292</v>
      </c>
      <c r="F11" s="6">
        <v>914.4</v>
      </c>
      <c r="G11" s="6" t="s">
        <v>301</v>
      </c>
      <c r="H11" s="6" t="s">
        <v>129</v>
      </c>
      <c r="I11" s="11"/>
      <c r="J11" s="6"/>
      <c r="K11" s="8"/>
      <c r="L11" s="11">
        <v>88</v>
      </c>
      <c r="M11" s="6">
        <v>88</v>
      </c>
      <c r="N11" s="6"/>
      <c r="O11" s="11">
        <v>44</v>
      </c>
      <c r="P11" s="6">
        <v>44</v>
      </c>
      <c r="Q11" s="6"/>
      <c r="R11" s="9"/>
      <c r="S11" s="6"/>
    </row>
    <row r="12" spans="2:19" ht="18" x14ac:dyDescent="0.35">
      <c r="B12" s="14">
        <v>3</v>
      </c>
      <c r="C12" s="13" t="s">
        <v>22</v>
      </c>
      <c r="D12" s="6" t="s">
        <v>23</v>
      </c>
      <c r="E12" s="6">
        <v>86292</v>
      </c>
      <c r="F12" s="6">
        <v>914.4</v>
      </c>
      <c r="G12" s="6" t="s">
        <v>328</v>
      </c>
      <c r="H12" s="6" t="s">
        <v>293</v>
      </c>
      <c r="I12" s="11">
        <v>9</v>
      </c>
      <c r="J12" s="6">
        <v>9</v>
      </c>
      <c r="K12" s="8"/>
      <c r="L12" s="11"/>
      <c r="M12" s="6"/>
      <c r="N12" s="6" t="s">
        <v>211</v>
      </c>
      <c r="O12" s="11"/>
      <c r="P12" s="6"/>
      <c r="Q12" s="8" t="s">
        <v>29</v>
      </c>
      <c r="R12" s="9">
        <f t="shared" si="0"/>
        <v>9</v>
      </c>
      <c r="S12" s="6">
        <f t="shared" si="0"/>
        <v>9</v>
      </c>
    </row>
    <row r="13" spans="2:19" ht="18" x14ac:dyDescent="0.35">
      <c r="B13" s="6">
        <v>4</v>
      </c>
      <c r="C13" s="7" t="s">
        <v>25</v>
      </c>
      <c r="D13" s="6"/>
      <c r="E13" s="10">
        <v>99721</v>
      </c>
      <c r="F13" s="6">
        <v>200</v>
      </c>
      <c r="G13" s="6" t="s">
        <v>303</v>
      </c>
      <c r="H13" s="6" t="s">
        <v>209</v>
      </c>
      <c r="I13" s="11"/>
      <c r="J13" s="6"/>
      <c r="K13" s="8"/>
      <c r="L13" s="11"/>
      <c r="M13" s="6"/>
      <c r="N13" s="8" t="s">
        <v>393</v>
      </c>
      <c r="O13" s="11">
        <v>40</v>
      </c>
      <c r="P13" s="6">
        <v>36</v>
      </c>
      <c r="Q13" s="8" t="s">
        <v>396</v>
      </c>
      <c r="R13" s="9">
        <f t="shared" si="0"/>
        <v>40</v>
      </c>
      <c r="S13" s="6">
        <f t="shared" si="0"/>
        <v>36</v>
      </c>
    </row>
    <row r="14" spans="2:19" ht="18" x14ac:dyDescent="0.35">
      <c r="B14" s="10">
        <v>5</v>
      </c>
      <c r="C14" s="7" t="s">
        <v>28</v>
      </c>
      <c r="D14" s="6" t="s">
        <v>379</v>
      </c>
      <c r="E14" s="10">
        <v>98812</v>
      </c>
      <c r="F14" s="6">
        <v>292</v>
      </c>
      <c r="G14" s="6" t="s">
        <v>27</v>
      </c>
      <c r="H14" s="6" t="s">
        <v>209</v>
      </c>
      <c r="I14" s="11">
        <v>146</v>
      </c>
      <c r="J14" s="6">
        <v>146</v>
      </c>
      <c r="K14" s="8"/>
      <c r="L14" s="11"/>
      <c r="M14" s="6"/>
      <c r="N14" s="8" t="s">
        <v>252</v>
      </c>
      <c r="O14" s="11">
        <v>97</v>
      </c>
      <c r="P14" s="6">
        <v>97</v>
      </c>
      <c r="Q14" s="6" t="s">
        <v>397</v>
      </c>
      <c r="R14" s="9">
        <f t="shared" si="0"/>
        <v>243</v>
      </c>
      <c r="S14" s="6">
        <f t="shared" si="0"/>
        <v>243</v>
      </c>
    </row>
    <row r="15" spans="2:19" ht="18" x14ac:dyDescent="0.35">
      <c r="B15" s="14">
        <v>6</v>
      </c>
      <c r="C15" s="7" t="s">
        <v>30</v>
      </c>
      <c r="D15" s="37" t="s">
        <v>378</v>
      </c>
      <c r="E15" s="10">
        <v>99719</v>
      </c>
      <c r="F15" s="6">
        <v>1107</v>
      </c>
      <c r="G15" s="6" t="s">
        <v>236</v>
      </c>
      <c r="H15" s="11" t="s">
        <v>129</v>
      </c>
      <c r="I15" s="11"/>
      <c r="J15" s="6"/>
      <c r="K15" s="8"/>
      <c r="L15" s="11"/>
      <c r="M15" s="6"/>
      <c r="N15" s="8" t="s">
        <v>252</v>
      </c>
      <c r="O15" s="11"/>
      <c r="P15" s="6"/>
      <c r="Q15" s="8" t="s">
        <v>394</v>
      </c>
      <c r="R15" s="9">
        <f t="shared" si="0"/>
        <v>0</v>
      </c>
      <c r="S15" s="6">
        <f t="shared" si="0"/>
        <v>0</v>
      </c>
    </row>
    <row r="16" spans="2:19" ht="18" x14ac:dyDescent="0.35">
      <c r="B16" s="6">
        <v>7</v>
      </c>
      <c r="C16" s="7" t="s">
        <v>31</v>
      </c>
      <c r="D16" s="6" t="s">
        <v>64</v>
      </c>
      <c r="E16" s="6">
        <v>90129</v>
      </c>
      <c r="F16" s="6">
        <v>2540</v>
      </c>
      <c r="G16" s="6" t="s">
        <v>49</v>
      </c>
      <c r="H16" s="6" t="s">
        <v>256</v>
      </c>
      <c r="I16" s="11">
        <v>28</v>
      </c>
      <c r="J16" s="6">
        <v>28</v>
      </c>
      <c r="K16" s="8"/>
      <c r="L16" s="11">
        <v>29</v>
      </c>
      <c r="M16" s="6">
        <v>29</v>
      </c>
      <c r="N16" s="8"/>
      <c r="O16" s="11">
        <v>29</v>
      </c>
      <c r="P16" s="6">
        <v>29</v>
      </c>
      <c r="Q16" s="8"/>
      <c r="R16" s="9">
        <f t="shared" si="0"/>
        <v>86</v>
      </c>
      <c r="S16" s="6">
        <f t="shared" si="0"/>
        <v>86</v>
      </c>
    </row>
    <row r="17" spans="2:19" ht="18" x14ac:dyDescent="0.35">
      <c r="B17" s="14">
        <v>8</v>
      </c>
      <c r="C17" s="42" t="s">
        <v>33</v>
      </c>
      <c r="D17" s="40" t="s">
        <v>392</v>
      </c>
      <c r="E17" s="6">
        <v>86205</v>
      </c>
      <c r="F17" s="6">
        <v>6100</v>
      </c>
      <c r="G17" s="6" t="s">
        <v>49</v>
      </c>
      <c r="H17" s="6" t="s">
        <v>118</v>
      </c>
      <c r="I17" s="11">
        <v>39</v>
      </c>
      <c r="J17" s="6">
        <v>39</v>
      </c>
      <c r="K17" s="8"/>
      <c r="L17" s="11"/>
      <c r="M17" s="6"/>
      <c r="N17" s="8"/>
      <c r="O17" s="11"/>
      <c r="P17" s="6"/>
      <c r="Q17" s="8"/>
      <c r="R17" s="9">
        <f t="shared" si="0"/>
        <v>39</v>
      </c>
      <c r="S17" s="6">
        <f t="shared" si="0"/>
        <v>39</v>
      </c>
    </row>
    <row r="18" spans="2:19" ht="18" x14ac:dyDescent="0.35">
      <c r="B18" s="14"/>
      <c r="C18" s="53"/>
      <c r="D18" s="52"/>
      <c r="E18" s="6">
        <v>86206</v>
      </c>
      <c r="F18" s="6">
        <v>5100</v>
      </c>
      <c r="G18" s="6" t="s">
        <v>27</v>
      </c>
      <c r="H18" s="6" t="s">
        <v>118</v>
      </c>
      <c r="I18" s="11"/>
      <c r="J18" s="6"/>
      <c r="K18" s="8"/>
      <c r="L18" s="11">
        <v>13</v>
      </c>
      <c r="M18" s="6">
        <v>13</v>
      </c>
      <c r="N18" s="8"/>
      <c r="O18" s="11"/>
      <c r="P18" s="6"/>
      <c r="Q18" s="8"/>
      <c r="R18" s="9"/>
      <c r="S18" s="6"/>
    </row>
    <row r="19" spans="2:19" ht="18" x14ac:dyDescent="0.35">
      <c r="B19" s="14"/>
      <c r="C19" s="43"/>
      <c r="D19" s="41"/>
      <c r="E19" s="6">
        <v>2473</v>
      </c>
      <c r="F19" s="6">
        <v>5100</v>
      </c>
      <c r="G19" s="6" t="s">
        <v>27</v>
      </c>
      <c r="H19" s="6" t="s">
        <v>118</v>
      </c>
      <c r="I19" s="11"/>
      <c r="J19" s="6"/>
      <c r="K19" s="8"/>
      <c r="L19" s="11">
        <v>75</v>
      </c>
      <c r="M19" s="6">
        <v>75</v>
      </c>
      <c r="N19" s="8"/>
      <c r="O19" s="11">
        <v>32</v>
      </c>
      <c r="P19" s="6">
        <v>32</v>
      </c>
      <c r="Q19" s="8"/>
      <c r="R19" s="9">
        <f t="shared" ref="R19:R20" si="1">O19+L19+I19</f>
        <v>107</v>
      </c>
      <c r="S19" s="6">
        <f t="shared" ref="S19:S20" si="2">P19+M19+J19</f>
        <v>107</v>
      </c>
    </row>
    <row r="20" spans="2:19" ht="18" x14ac:dyDescent="0.35">
      <c r="B20" s="14"/>
      <c r="C20" s="7" t="s">
        <v>33</v>
      </c>
      <c r="D20" s="10" t="s">
        <v>395</v>
      </c>
      <c r="E20" s="6">
        <v>2439</v>
      </c>
      <c r="F20" s="6">
        <v>5000</v>
      </c>
      <c r="G20" s="6" t="s">
        <v>49</v>
      </c>
      <c r="H20" s="6" t="s">
        <v>240</v>
      </c>
      <c r="I20" s="11"/>
      <c r="J20" s="6"/>
      <c r="K20" s="8"/>
      <c r="L20" s="11"/>
      <c r="M20" s="6"/>
      <c r="N20" s="8"/>
      <c r="O20" s="11">
        <v>19</v>
      </c>
      <c r="P20" s="6">
        <v>15</v>
      </c>
      <c r="Q20" s="8" t="s">
        <v>44</v>
      </c>
      <c r="R20" s="9">
        <f t="shared" si="1"/>
        <v>19</v>
      </c>
      <c r="S20" s="6">
        <f t="shared" si="2"/>
        <v>15</v>
      </c>
    </row>
    <row r="21" spans="2:19" ht="18" x14ac:dyDescent="0.35">
      <c r="B21" s="6">
        <v>9</v>
      </c>
      <c r="C21" s="7" t="s">
        <v>34</v>
      </c>
      <c r="D21" s="6" t="s">
        <v>64</v>
      </c>
      <c r="E21" s="6">
        <v>90129</v>
      </c>
      <c r="F21" s="6">
        <v>2540</v>
      </c>
      <c r="G21" s="6" t="s">
        <v>49</v>
      </c>
      <c r="H21" s="6" t="s">
        <v>227</v>
      </c>
      <c r="I21" s="11">
        <v>124</v>
      </c>
      <c r="J21" s="6">
        <v>124</v>
      </c>
      <c r="K21" s="8"/>
      <c r="L21" s="11">
        <v>124</v>
      </c>
      <c r="M21" s="6">
        <v>124</v>
      </c>
      <c r="N21" s="8"/>
      <c r="O21" s="11">
        <v>124</v>
      </c>
      <c r="P21" s="6">
        <v>124</v>
      </c>
      <c r="Q21" s="8"/>
      <c r="R21" s="9">
        <f t="shared" si="0"/>
        <v>372</v>
      </c>
      <c r="S21" s="6">
        <f t="shared" si="0"/>
        <v>372</v>
      </c>
    </row>
    <row r="22" spans="2:19" ht="18" x14ac:dyDescent="0.35">
      <c r="B22" s="6">
        <v>10</v>
      </c>
      <c r="C22" s="7" t="s">
        <v>35</v>
      </c>
      <c r="D22" s="6" t="s">
        <v>19</v>
      </c>
      <c r="E22" s="6">
        <v>2122</v>
      </c>
      <c r="F22" s="6">
        <v>796.5</v>
      </c>
      <c r="G22" s="6" t="s">
        <v>359</v>
      </c>
      <c r="H22" s="6" t="s">
        <v>209</v>
      </c>
      <c r="I22" s="11"/>
      <c r="J22" s="6"/>
      <c r="K22" s="8" t="s">
        <v>252</v>
      </c>
      <c r="L22" s="11"/>
      <c r="M22" s="6"/>
      <c r="N22" s="8" t="s">
        <v>252</v>
      </c>
      <c r="O22" s="11">
        <v>0</v>
      </c>
      <c r="P22" s="6">
        <v>0</v>
      </c>
      <c r="Q22" s="8" t="s">
        <v>29</v>
      </c>
      <c r="R22" s="9">
        <f t="shared" si="0"/>
        <v>0</v>
      </c>
      <c r="S22" s="6">
        <f t="shared" si="0"/>
        <v>0</v>
      </c>
    </row>
  </sheetData>
  <mergeCells count="10">
    <mergeCell ref="B6:N6"/>
    <mergeCell ref="R6:S6"/>
    <mergeCell ref="I7:K7"/>
    <mergeCell ref="L7:N7"/>
    <mergeCell ref="O7:Q7"/>
    <mergeCell ref="C10:C11"/>
    <mergeCell ref="D10:D11"/>
    <mergeCell ref="B10:B11"/>
    <mergeCell ref="C17:C19"/>
    <mergeCell ref="D17:D19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5:S22"/>
  <sheetViews>
    <sheetView topLeftCell="C6" zoomScale="90" zoomScaleNormal="90" workbookViewId="0">
      <selection activeCell="K23" sqref="K23"/>
    </sheetView>
  </sheetViews>
  <sheetFormatPr defaultRowHeight="14.4" x14ac:dyDescent="0.3"/>
  <cols>
    <col min="4" max="4" width="22.6640625" bestFit="1" customWidth="1"/>
    <col min="7" max="7" width="14.109375" bestFit="1" customWidth="1"/>
    <col min="11" max="11" width="11.109375" bestFit="1" customWidth="1"/>
    <col min="14" max="14" width="11.109375" bestFit="1" customWidth="1"/>
    <col min="15" max="15" width="7.33203125" bestFit="1" customWidth="1"/>
    <col min="17" max="17" width="27.88671875" customWidth="1"/>
  </cols>
  <sheetData>
    <row r="5" spans="2:19" ht="18" x14ac:dyDescent="0.35">
      <c r="B5" s="44" t="s">
        <v>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6"/>
      <c r="O5" s="1" t="s">
        <v>1</v>
      </c>
      <c r="P5" s="2" t="s">
        <v>400</v>
      </c>
      <c r="Q5" s="1" t="s">
        <v>2</v>
      </c>
      <c r="R5" s="47"/>
      <c r="S5" s="48"/>
    </row>
    <row r="6" spans="2:19" ht="72" x14ac:dyDescent="0.3">
      <c r="B6" s="4" t="s">
        <v>3</v>
      </c>
      <c r="C6" s="4" t="s">
        <v>4</v>
      </c>
      <c r="D6" s="4" t="s">
        <v>5</v>
      </c>
      <c r="E6" s="5" t="s">
        <v>6</v>
      </c>
      <c r="F6" s="4" t="s">
        <v>7</v>
      </c>
      <c r="G6" s="4" t="s">
        <v>8</v>
      </c>
      <c r="H6" s="5"/>
      <c r="I6" s="49" t="s">
        <v>9</v>
      </c>
      <c r="J6" s="50"/>
      <c r="K6" s="51"/>
      <c r="L6" s="49" t="s">
        <v>10</v>
      </c>
      <c r="M6" s="50"/>
      <c r="N6" s="51"/>
      <c r="O6" s="49" t="s">
        <v>11</v>
      </c>
      <c r="P6" s="50"/>
      <c r="Q6" s="51"/>
      <c r="R6" s="4" t="s">
        <v>12</v>
      </c>
      <c r="S6" s="4" t="s">
        <v>13</v>
      </c>
    </row>
    <row r="7" spans="2:19" ht="18" x14ac:dyDescent="0.3">
      <c r="B7" s="3"/>
      <c r="C7" s="4"/>
      <c r="D7" s="4"/>
      <c r="E7" s="5"/>
      <c r="F7" s="4"/>
      <c r="G7" s="4"/>
      <c r="H7" s="5" t="s">
        <v>14</v>
      </c>
      <c r="I7" s="5" t="s">
        <v>15</v>
      </c>
      <c r="J7" s="5" t="s">
        <v>16</v>
      </c>
      <c r="K7" s="5" t="s">
        <v>17</v>
      </c>
      <c r="L7" s="5" t="s">
        <v>15</v>
      </c>
      <c r="M7" s="5" t="s">
        <v>16</v>
      </c>
      <c r="N7" s="5" t="s">
        <v>17</v>
      </c>
      <c r="O7" s="5" t="s">
        <v>15</v>
      </c>
      <c r="P7" s="5" t="s">
        <v>16</v>
      </c>
      <c r="Q7" s="5" t="s">
        <v>17</v>
      </c>
      <c r="R7" s="9" t="s">
        <v>50</v>
      </c>
      <c r="S7" s="6"/>
    </row>
    <row r="8" spans="2:19" ht="18" x14ac:dyDescent="0.35">
      <c r="B8" s="10">
        <f ca="1">B8:R231</f>
        <v>0</v>
      </c>
      <c r="C8" s="7" t="s">
        <v>18</v>
      </c>
      <c r="D8" s="6" t="s">
        <v>19</v>
      </c>
      <c r="E8" s="6">
        <v>2191</v>
      </c>
      <c r="F8" s="6">
        <v>489.71</v>
      </c>
      <c r="G8" s="6" t="s">
        <v>20</v>
      </c>
      <c r="H8" s="11" t="s">
        <v>214</v>
      </c>
      <c r="I8" s="11"/>
      <c r="J8" s="6"/>
      <c r="K8" s="8"/>
      <c r="L8" s="11"/>
      <c r="M8" s="6"/>
      <c r="N8" s="6" t="s">
        <v>252</v>
      </c>
      <c r="O8" s="11">
        <v>73</v>
      </c>
      <c r="P8" s="6">
        <v>27</v>
      </c>
      <c r="Q8" s="6" t="s">
        <v>252</v>
      </c>
      <c r="R8" s="9">
        <f>O8+L8+I8</f>
        <v>73</v>
      </c>
      <c r="S8" s="6">
        <f>P8+M8+J8</f>
        <v>27</v>
      </c>
    </row>
    <row r="9" spans="2:19" ht="18" x14ac:dyDescent="0.35">
      <c r="B9" s="40">
        <v>2</v>
      </c>
      <c r="C9" s="42" t="s">
        <v>21</v>
      </c>
      <c r="D9" s="40" t="s">
        <v>23</v>
      </c>
      <c r="E9" s="6">
        <v>86292</v>
      </c>
      <c r="F9" s="6">
        <v>914.4</v>
      </c>
      <c r="G9" s="6" t="s">
        <v>367</v>
      </c>
      <c r="H9" s="6" t="s">
        <v>129</v>
      </c>
      <c r="I9" s="11"/>
      <c r="J9" s="6"/>
      <c r="K9" s="8"/>
      <c r="L9" s="11"/>
      <c r="M9" s="6"/>
      <c r="N9" s="6" t="s">
        <v>252</v>
      </c>
      <c r="O9" s="11"/>
      <c r="P9" s="6"/>
      <c r="Q9" s="6"/>
      <c r="R9" s="9">
        <f t="shared" ref="R9:R22" si="0">O9+L9+I9</f>
        <v>0</v>
      </c>
      <c r="S9" s="6">
        <f t="shared" ref="S9:S21" si="1">P9+M9+J9</f>
        <v>0</v>
      </c>
    </row>
    <row r="10" spans="2:19" ht="18" x14ac:dyDescent="0.35">
      <c r="B10" s="41"/>
      <c r="C10" s="43"/>
      <c r="D10" s="41"/>
      <c r="E10" s="6">
        <v>86292</v>
      </c>
      <c r="F10" s="6">
        <v>914.4</v>
      </c>
      <c r="G10" s="6" t="s">
        <v>301</v>
      </c>
      <c r="H10" s="6" t="s">
        <v>129</v>
      </c>
      <c r="I10" s="11">
        <v>72</v>
      </c>
      <c r="J10" s="6">
        <v>72</v>
      </c>
      <c r="K10" s="8"/>
      <c r="L10" s="11"/>
      <c r="M10" s="6"/>
      <c r="N10" s="6" t="s">
        <v>50</v>
      </c>
      <c r="O10" s="11"/>
      <c r="P10" s="6"/>
      <c r="Q10" s="6"/>
      <c r="R10" s="9">
        <f t="shared" si="0"/>
        <v>72</v>
      </c>
      <c r="S10" s="6">
        <f t="shared" si="1"/>
        <v>72</v>
      </c>
    </row>
    <row r="11" spans="2:19" ht="18" x14ac:dyDescent="0.35">
      <c r="B11" s="16"/>
      <c r="C11" s="13" t="s">
        <v>21</v>
      </c>
      <c r="D11" s="10" t="s">
        <v>19</v>
      </c>
      <c r="E11" s="6">
        <v>2122</v>
      </c>
      <c r="F11" s="6">
        <v>796.5</v>
      </c>
      <c r="G11" s="6" t="s">
        <v>359</v>
      </c>
      <c r="H11" s="6" t="s">
        <v>401</v>
      </c>
      <c r="I11" s="11"/>
      <c r="J11" s="6"/>
      <c r="K11" s="8"/>
      <c r="L11" s="11"/>
      <c r="M11" s="6"/>
      <c r="N11" s="6"/>
      <c r="O11" s="11">
        <v>110</v>
      </c>
      <c r="P11" s="6">
        <v>45</v>
      </c>
      <c r="Q11" s="8" t="s">
        <v>402</v>
      </c>
      <c r="R11" s="9"/>
      <c r="S11" s="6"/>
    </row>
    <row r="12" spans="2:19" ht="18" x14ac:dyDescent="0.35">
      <c r="B12" s="14">
        <v>3</v>
      </c>
      <c r="C12" s="13" t="s">
        <v>22</v>
      </c>
      <c r="D12" s="6" t="s">
        <v>23</v>
      </c>
      <c r="E12" s="6">
        <v>86292</v>
      </c>
      <c r="F12" s="6">
        <v>914.4</v>
      </c>
      <c r="G12" s="6" t="s">
        <v>328</v>
      </c>
      <c r="H12" s="6" t="s">
        <v>293</v>
      </c>
      <c r="I12" s="11"/>
      <c r="J12" s="6"/>
      <c r="K12" s="8"/>
      <c r="L12" s="11"/>
      <c r="M12" s="6"/>
      <c r="N12" s="6" t="s">
        <v>252</v>
      </c>
      <c r="O12" s="11"/>
      <c r="P12" s="6"/>
      <c r="Q12" s="6" t="s">
        <v>252</v>
      </c>
      <c r="R12" s="9">
        <f t="shared" si="0"/>
        <v>0</v>
      </c>
      <c r="S12" s="6">
        <f t="shared" si="1"/>
        <v>0</v>
      </c>
    </row>
    <row r="13" spans="2:19" ht="18" x14ac:dyDescent="0.35">
      <c r="B13" s="40">
        <v>4</v>
      </c>
      <c r="C13" s="42" t="s">
        <v>25</v>
      </c>
      <c r="D13" s="6" t="s">
        <v>395</v>
      </c>
      <c r="E13" s="10">
        <v>99721</v>
      </c>
      <c r="F13" s="6">
        <v>200</v>
      </c>
      <c r="G13" s="6" t="s">
        <v>398</v>
      </c>
      <c r="H13" s="6" t="s">
        <v>209</v>
      </c>
      <c r="I13" s="11">
        <v>42</v>
      </c>
      <c r="J13" s="6">
        <v>42</v>
      </c>
      <c r="K13" s="8"/>
      <c r="L13" s="11"/>
      <c r="M13" s="6"/>
      <c r="N13" s="8" t="s">
        <v>252</v>
      </c>
      <c r="O13" s="11"/>
      <c r="P13" s="6"/>
      <c r="Q13" s="8"/>
      <c r="R13" s="9">
        <f t="shared" si="0"/>
        <v>42</v>
      </c>
      <c r="S13" s="6">
        <f t="shared" si="1"/>
        <v>42</v>
      </c>
    </row>
    <row r="14" spans="2:19" ht="18" x14ac:dyDescent="0.35">
      <c r="B14" s="41"/>
      <c r="C14" s="43"/>
      <c r="D14" s="6" t="s">
        <v>395</v>
      </c>
      <c r="E14" s="10">
        <v>99721</v>
      </c>
      <c r="F14" s="6">
        <v>200</v>
      </c>
      <c r="G14" s="6" t="s">
        <v>27</v>
      </c>
      <c r="H14" s="6" t="s">
        <v>209</v>
      </c>
      <c r="I14" s="11">
        <v>50</v>
      </c>
      <c r="J14" s="6">
        <v>50</v>
      </c>
      <c r="K14" s="8"/>
      <c r="L14" s="11"/>
      <c r="M14" s="6"/>
      <c r="N14" s="8"/>
      <c r="O14" s="11"/>
      <c r="P14" s="6"/>
      <c r="Q14" s="6" t="s">
        <v>403</v>
      </c>
      <c r="R14" s="9">
        <f t="shared" si="0"/>
        <v>50</v>
      </c>
      <c r="S14" s="6">
        <f t="shared" si="1"/>
        <v>50</v>
      </c>
    </row>
    <row r="15" spans="2:19" ht="18" x14ac:dyDescent="0.35">
      <c r="B15" s="10">
        <v>5</v>
      </c>
      <c r="C15" s="7" t="s">
        <v>28</v>
      </c>
      <c r="D15" s="6" t="s">
        <v>379</v>
      </c>
      <c r="E15" s="10">
        <v>98812</v>
      </c>
      <c r="F15" s="6">
        <v>292</v>
      </c>
      <c r="G15" s="6" t="s">
        <v>27</v>
      </c>
      <c r="H15" s="6" t="s">
        <v>209</v>
      </c>
      <c r="I15" s="11"/>
      <c r="J15" s="6"/>
      <c r="K15" s="8"/>
      <c r="L15" s="11"/>
      <c r="M15" s="6"/>
      <c r="N15" s="8" t="s">
        <v>252</v>
      </c>
      <c r="O15" s="11"/>
      <c r="P15" s="6"/>
      <c r="Q15" s="6" t="s">
        <v>403</v>
      </c>
      <c r="R15" s="9">
        <f t="shared" si="0"/>
        <v>0</v>
      </c>
      <c r="S15" s="6">
        <f t="shared" si="1"/>
        <v>0</v>
      </c>
    </row>
    <row r="16" spans="2:19" ht="18" x14ac:dyDescent="0.35">
      <c r="B16" s="40">
        <v>6</v>
      </c>
      <c r="C16" s="42" t="s">
        <v>30</v>
      </c>
      <c r="D16" s="6" t="s">
        <v>395</v>
      </c>
      <c r="E16" s="10">
        <v>86804</v>
      </c>
      <c r="F16" s="6">
        <v>1095</v>
      </c>
      <c r="G16" s="6" t="s">
        <v>399</v>
      </c>
      <c r="H16" s="11" t="s">
        <v>293</v>
      </c>
      <c r="I16" s="11">
        <v>24</v>
      </c>
      <c r="J16" s="6">
        <v>24</v>
      </c>
      <c r="K16" s="8"/>
      <c r="L16" s="11"/>
      <c r="M16" s="6"/>
      <c r="N16" s="8"/>
      <c r="O16" s="11"/>
      <c r="P16" s="6"/>
      <c r="Q16" s="8"/>
      <c r="R16" s="9">
        <f t="shared" si="0"/>
        <v>24</v>
      </c>
      <c r="S16" s="6">
        <f t="shared" si="1"/>
        <v>24</v>
      </c>
    </row>
    <row r="17" spans="2:19" ht="18" x14ac:dyDescent="0.35">
      <c r="B17" s="41"/>
      <c r="C17" s="43"/>
      <c r="D17" s="6" t="s">
        <v>395</v>
      </c>
      <c r="E17" s="10">
        <v>2495</v>
      </c>
      <c r="F17" s="6">
        <v>6096</v>
      </c>
      <c r="G17" s="6" t="s">
        <v>350</v>
      </c>
      <c r="H17" s="11" t="s">
        <v>226</v>
      </c>
      <c r="I17" s="11"/>
      <c r="J17" s="6"/>
      <c r="K17" s="8"/>
      <c r="L17" s="11">
        <v>100</v>
      </c>
      <c r="M17" s="6">
        <v>100</v>
      </c>
      <c r="N17" s="8"/>
      <c r="O17" s="11">
        <v>65</v>
      </c>
      <c r="P17" s="6">
        <v>65</v>
      </c>
      <c r="Q17" s="6" t="s">
        <v>403</v>
      </c>
      <c r="R17" s="9">
        <f t="shared" si="0"/>
        <v>165</v>
      </c>
      <c r="S17" s="6">
        <f t="shared" si="1"/>
        <v>165</v>
      </c>
    </row>
    <row r="18" spans="2:19" ht="18" x14ac:dyDescent="0.35">
      <c r="B18" s="6">
        <v>7</v>
      </c>
      <c r="C18" s="7" t="s">
        <v>31</v>
      </c>
      <c r="D18" s="6" t="s">
        <v>64</v>
      </c>
      <c r="E18" s="6">
        <v>90129</v>
      </c>
      <c r="F18" s="6">
        <v>2540</v>
      </c>
      <c r="G18" s="6" t="s">
        <v>49</v>
      </c>
      <c r="H18" s="6" t="s">
        <v>256</v>
      </c>
      <c r="I18" s="11">
        <v>29</v>
      </c>
      <c r="J18" s="6">
        <v>29</v>
      </c>
      <c r="K18" s="8"/>
      <c r="L18" s="11">
        <v>31</v>
      </c>
      <c r="M18" s="6">
        <v>31</v>
      </c>
      <c r="N18" s="8"/>
      <c r="O18" s="11">
        <v>31</v>
      </c>
      <c r="P18" s="6">
        <v>31</v>
      </c>
      <c r="Q18" s="8"/>
      <c r="R18" s="9">
        <f t="shared" si="0"/>
        <v>91</v>
      </c>
      <c r="S18" s="6">
        <f t="shared" si="1"/>
        <v>91</v>
      </c>
    </row>
    <row r="19" spans="2:19" ht="18" x14ac:dyDescent="0.35">
      <c r="B19" s="14">
        <v>8</v>
      </c>
      <c r="C19" s="25" t="s">
        <v>33</v>
      </c>
      <c r="D19" s="10" t="s">
        <v>395</v>
      </c>
      <c r="E19" s="6">
        <v>2464</v>
      </c>
      <c r="F19" s="6">
        <v>2500</v>
      </c>
      <c r="G19" s="6" t="s">
        <v>328</v>
      </c>
      <c r="H19" s="6" t="s">
        <v>129</v>
      </c>
      <c r="I19" s="11">
        <v>34</v>
      </c>
      <c r="J19" s="6">
        <v>34</v>
      </c>
      <c r="K19" s="8"/>
      <c r="L19" s="11"/>
      <c r="M19" s="6"/>
      <c r="N19" s="8"/>
      <c r="O19" s="11">
        <v>12</v>
      </c>
      <c r="P19" s="6">
        <v>12</v>
      </c>
      <c r="Q19" s="8" t="s">
        <v>397</v>
      </c>
      <c r="R19" s="9">
        <f t="shared" si="0"/>
        <v>46</v>
      </c>
      <c r="S19" s="6">
        <f t="shared" si="1"/>
        <v>46</v>
      </c>
    </row>
    <row r="20" spans="2:19" ht="18" x14ac:dyDescent="0.35">
      <c r="B20" s="14"/>
      <c r="C20" s="25" t="s">
        <v>33</v>
      </c>
      <c r="D20" s="10" t="s">
        <v>395</v>
      </c>
      <c r="E20" s="6">
        <v>1792</v>
      </c>
      <c r="F20" s="6">
        <v>5000</v>
      </c>
      <c r="G20" s="6" t="s">
        <v>49</v>
      </c>
      <c r="H20" s="6" t="s">
        <v>240</v>
      </c>
      <c r="I20" s="11"/>
      <c r="J20" s="6"/>
      <c r="K20" s="8"/>
      <c r="L20" s="11"/>
      <c r="M20" s="6"/>
      <c r="N20" s="8"/>
      <c r="O20" s="11">
        <v>7</v>
      </c>
      <c r="P20" s="6">
        <v>4</v>
      </c>
      <c r="Q20" s="8" t="s">
        <v>44</v>
      </c>
      <c r="R20" s="9"/>
      <c r="S20" s="6"/>
    </row>
    <row r="21" spans="2:19" ht="18" x14ac:dyDescent="0.35">
      <c r="B21" s="6">
        <v>9</v>
      </c>
      <c r="C21" s="7" t="s">
        <v>34</v>
      </c>
      <c r="D21" s="6" t="s">
        <v>64</v>
      </c>
      <c r="E21" s="6">
        <v>90129</v>
      </c>
      <c r="F21" s="6">
        <v>2540</v>
      </c>
      <c r="G21" s="6" t="s">
        <v>49</v>
      </c>
      <c r="H21" s="6" t="s">
        <v>227</v>
      </c>
      <c r="I21" s="11">
        <v>124</v>
      </c>
      <c r="J21" s="6">
        <v>110</v>
      </c>
      <c r="K21" s="8"/>
      <c r="L21" s="11">
        <v>124</v>
      </c>
      <c r="M21" s="6">
        <v>124</v>
      </c>
      <c r="N21" s="8"/>
      <c r="O21" s="11">
        <v>124</v>
      </c>
      <c r="P21" s="6">
        <v>124</v>
      </c>
      <c r="Q21" s="8"/>
      <c r="R21" s="9">
        <f t="shared" si="0"/>
        <v>372</v>
      </c>
      <c r="S21" s="6">
        <f t="shared" si="1"/>
        <v>358</v>
      </c>
    </row>
    <row r="22" spans="2:19" ht="18" x14ac:dyDescent="0.35">
      <c r="B22" s="6">
        <v>10</v>
      </c>
      <c r="C22" s="7" t="s">
        <v>35</v>
      </c>
      <c r="D22" s="6" t="s">
        <v>19</v>
      </c>
      <c r="E22" s="6">
        <v>2122</v>
      </c>
      <c r="F22" s="6">
        <v>796.5</v>
      </c>
      <c r="G22" s="6" t="s">
        <v>359</v>
      </c>
      <c r="H22" s="6" t="s">
        <v>209</v>
      </c>
      <c r="I22" s="11"/>
      <c r="J22" s="6"/>
      <c r="K22" s="8" t="s">
        <v>252</v>
      </c>
      <c r="L22" s="11"/>
      <c r="M22" s="6"/>
      <c r="N22" s="8" t="s">
        <v>252</v>
      </c>
      <c r="O22" s="11">
        <v>146</v>
      </c>
      <c r="P22" s="6">
        <v>108</v>
      </c>
      <c r="Q22" s="8" t="s">
        <v>404</v>
      </c>
      <c r="R22" s="9">
        <f t="shared" si="0"/>
        <v>146</v>
      </c>
      <c r="S22" s="6">
        <f t="shared" ref="S22" si="2">P22+M22+J22</f>
        <v>108</v>
      </c>
    </row>
  </sheetData>
  <mergeCells count="12">
    <mergeCell ref="R5:S5"/>
    <mergeCell ref="I6:K6"/>
    <mergeCell ref="L6:N6"/>
    <mergeCell ref="O6:Q6"/>
    <mergeCell ref="B9:B10"/>
    <mergeCell ref="C9:C10"/>
    <mergeCell ref="D9:D10"/>
    <mergeCell ref="C13:C14"/>
    <mergeCell ref="C16:C17"/>
    <mergeCell ref="B13:B14"/>
    <mergeCell ref="B16:B17"/>
    <mergeCell ref="B5:N5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19"/>
  <sheetViews>
    <sheetView topLeftCell="D5" workbookViewId="0">
      <selection activeCell="B6" sqref="B6:S19"/>
    </sheetView>
  </sheetViews>
  <sheetFormatPr defaultRowHeight="14.4" x14ac:dyDescent="0.3"/>
  <cols>
    <col min="4" max="4" width="14.44140625" bestFit="1" customWidth="1"/>
    <col min="5" max="5" width="8.6640625" bestFit="1" customWidth="1"/>
    <col min="7" max="7" width="14.109375" bestFit="1" customWidth="1"/>
    <col min="11" max="11" width="22.88671875" bestFit="1" customWidth="1"/>
    <col min="14" max="14" width="22.88671875" bestFit="1" customWidth="1"/>
  </cols>
  <sheetData>
    <row r="1" spans="1:19" x14ac:dyDescent="0.3">
      <c r="A1" s="39" t="s">
        <v>50</v>
      </c>
    </row>
    <row r="6" spans="1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400</v>
      </c>
      <c r="Q6" s="1" t="s">
        <v>2</v>
      </c>
      <c r="R6" s="47"/>
      <c r="S6" s="48"/>
    </row>
    <row r="7" spans="1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1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1:19" ht="18" x14ac:dyDescent="0.35">
      <c r="B9" s="10">
        <v>1</v>
      </c>
      <c r="C9" s="7" t="s">
        <v>18</v>
      </c>
      <c r="D9" s="6" t="s">
        <v>19</v>
      </c>
      <c r="E9" s="6">
        <v>2191</v>
      </c>
      <c r="F9" s="6">
        <v>489.71</v>
      </c>
      <c r="G9" s="6" t="s">
        <v>20</v>
      </c>
      <c r="H9" s="11" t="s">
        <v>214</v>
      </c>
      <c r="I9" s="11">
        <v>73</v>
      </c>
      <c r="J9" s="6">
        <v>73</v>
      </c>
      <c r="K9" s="8"/>
      <c r="L9" s="11">
        <v>11</v>
      </c>
      <c r="M9" s="6">
        <v>11</v>
      </c>
      <c r="N9" s="6" t="s">
        <v>257</v>
      </c>
      <c r="O9" s="11"/>
      <c r="P9" s="6"/>
      <c r="Q9" s="6"/>
      <c r="R9" s="9">
        <f>I9+L9+O9</f>
        <v>84</v>
      </c>
      <c r="S9" s="6">
        <f>J9+M9+P9</f>
        <v>84</v>
      </c>
    </row>
    <row r="10" spans="1:19" ht="18" x14ac:dyDescent="0.35">
      <c r="B10" s="16">
        <v>2</v>
      </c>
      <c r="C10" s="13" t="s">
        <v>21</v>
      </c>
      <c r="D10" s="10" t="s">
        <v>19</v>
      </c>
      <c r="E10" s="6">
        <v>2122</v>
      </c>
      <c r="F10" s="6">
        <v>796.5</v>
      </c>
      <c r="G10" s="6" t="s">
        <v>359</v>
      </c>
      <c r="H10" s="6" t="s">
        <v>401</v>
      </c>
      <c r="I10" s="11">
        <v>110</v>
      </c>
      <c r="J10" s="6">
        <v>100</v>
      </c>
      <c r="K10" s="8"/>
      <c r="L10" s="11">
        <v>110</v>
      </c>
      <c r="M10" s="6">
        <v>110</v>
      </c>
      <c r="N10" s="6"/>
      <c r="O10" s="11"/>
      <c r="P10" s="6"/>
      <c r="Q10" s="8"/>
      <c r="R10" s="9">
        <f t="shared" ref="R10:R19" si="0">I10+L10+O10</f>
        <v>220</v>
      </c>
      <c r="S10" s="6">
        <f t="shared" ref="S10:S19" si="1">J10+M10+P10</f>
        <v>210</v>
      </c>
    </row>
    <row r="11" spans="1:19" ht="18" x14ac:dyDescent="0.35">
      <c r="B11" s="14">
        <v>3</v>
      </c>
      <c r="C11" s="13" t="s">
        <v>22</v>
      </c>
      <c r="D11" s="6" t="s">
        <v>23</v>
      </c>
      <c r="E11" s="6">
        <v>86292</v>
      </c>
      <c r="F11" s="6">
        <v>914.4</v>
      </c>
      <c r="G11" s="6" t="s">
        <v>328</v>
      </c>
      <c r="H11" s="6" t="s">
        <v>293</v>
      </c>
      <c r="I11" s="11"/>
      <c r="J11" s="6"/>
      <c r="K11" s="8" t="s">
        <v>252</v>
      </c>
      <c r="L11" s="11"/>
      <c r="M11" s="6"/>
      <c r="N11" s="8" t="s">
        <v>252</v>
      </c>
      <c r="O11" s="11"/>
      <c r="P11" s="6"/>
      <c r="Q11" s="6"/>
      <c r="R11" s="9">
        <f t="shared" si="0"/>
        <v>0</v>
      </c>
      <c r="S11" s="6">
        <f t="shared" si="1"/>
        <v>0</v>
      </c>
    </row>
    <row r="12" spans="1:19" ht="18" x14ac:dyDescent="0.35">
      <c r="B12" s="14">
        <v>4</v>
      </c>
      <c r="C12" s="25" t="s">
        <v>25</v>
      </c>
      <c r="D12" s="6"/>
      <c r="E12" s="10"/>
      <c r="F12" s="6"/>
      <c r="G12" s="6"/>
      <c r="H12" s="6"/>
      <c r="I12" s="11"/>
      <c r="J12" s="6"/>
      <c r="K12" s="8" t="s">
        <v>252</v>
      </c>
      <c r="L12" s="11"/>
      <c r="M12" s="6"/>
      <c r="N12" s="8" t="s">
        <v>252</v>
      </c>
      <c r="O12" s="11"/>
      <c r="P12" s="6"/>
      <c r="Q12" s="8"/>
      <c r="R12" s="9">
        <f t="shared" si="0"/>
        <v>0</v>
      </c>
      <c r="S12" s="6">
        <f t="shared" si="1"/>
        <v>0</v>
      </c>
    </row>
    <row r="13" spans="1:19" ht="18" x14ac:dyDescent="0.35">
      <c r="B13" s="10">
        <v>5</v>
      </c>
      <c r="C13" s="7" t="s">
        <v>28</v>
      </c>
      <c r="D13" s="6" t="s">
        <v>379</v>
      </c>
      <c r="E13" s="10">
        <v>98812</v>
      </c>
      <c r="F13" s="6">
        <v>292</v>
      </c>
      <c r="G13" s="6" t="s">
        <v>27</v>
      </c>
      <c r="H13" s="6" t="s">
        <v>209</v>
      </c>
      <c r="I13" s="11"/>
      <c r="J13" s="6"/>
      <c r="K13" s="8" t="s">
        <v>252</v>
      </c>
      <c r="L13" s="11"/>
      <c r="M13" s="6"/>
      <c r="N13" s="8" t="s">
        <v>252</v>
      </c>
      <c r="O13" s="11"/>
      <c r="P13" s="6"/>
      <c r="Q13" s="6"/>
      <c r="R13" s="9">
        <f t="shared" si="0"/>
        <v>0</v>
      </c>
      <c r="S13" s="6">
        <f t="shared" si="1"/>
        <v>0</v>
      </c>
    </row>
    <row r="14" spans="1:19" ht="18" x14ac:dyDescent="0.35">
      <c r="B14" s="14">
        <v>6</v>
      </c>
      <c r="C14" s="25" t="s">
        <v>30</v>
      </c>
      <c r="D14" s="6" t="s">
        <v>395</v>
      </c>
      <c r="E14" s="10">
        <v>86805</v>
      </c>
      <c r="F14" s="6">
        <v>1095</v>
      </c>
      <c r="G14" s="6" t="s">
        <v>399</v>
      </c>
      <c r="H14" s="11" t="s">
        <v>293</v>
      </c>
      <c r="I14" s="11">
        <v>13</v>
      </c>
      <c r="J14" s="6">
        <v>13</v>
      </c>
      <c r="K14" s="8" t="s">
        <v>257</v>
      </c>
      <c r="L14" s="11"/>
      <c r="M14" s="6"/>
      <c r="N14" s="8" t="s">
        <v>252</v>
      </c>
      <c r="O14" s="11"/>
      <c r="P14" s="6"/>
      <c r="Q14" s="8"/>
      <c r="R14" s="9">
        <f t="shared" si="0"/>
        <v>13</v>
      </c>
      <c r="S14" s="6">
        <f t="shared" si="1"/>
        <v>13</v>
      </c>
    </row>
    <row r="15" spans="1:19" ht="18.75" customHeight="1" x14ac:dyDescent="0.35">
      <c r="B15" s="6">
        <v>7</v>
      </c>
      <c r="C15" s="7" t="s">
        <v>31</v>
      </c>
      <c r="D15" s="6" t="s">
        <v>64</v>
      </c>
      <c r="E15" s="6">
        <v>90129</v>
      </c>
      <c r="F15" s="6">
        <v>2540</v>
      </c>
      <c r="G15" s="6" t="s">
        <v>49</v>
      </c>
      <c r="H15" s="6" t="s">
        <v>256</v>
      </c>
      <c r="I15" s="11">
        <v>31</v>
      </c>
      <c r="J15" s="6">
        <v>26</v>
      </c>
      <c r="K15" s="8" t="s">
        <v>405</v>
      </c>
      <c r="L15" s="11">
        <v>31</v>
      </c>
      <c r="M15" s="6">
        <v>31</v>
      </c>
      <c r="N15" s="8"/>
      <c r="O15" s="11"/>
      <c r="P15" s="6"/>
      <c r="Q15" s="8"/>
      <c r="R15" s="9">
        <f t="shared" si="0"/>
        <v>62</v>
      </c>
      <c r="S15" s="6">
        <f t="shared" si="1"/>
        <v>57</v>
      </c>
    </row>
    <row r="16" spans="1:19" ht="18" x14ac:dyDescent="0.35">
      <c r="B16" s="40">
        <v>8</v>
      </c>
      <c r="C16" s="42" t="s">
        <v>33</v>
      </c>
      <c r="D16" s="10" t="s">
        <v>395</v>
      </c>
      <c r="E16" s="6">
        <v>1792</v>
      </c>
      <c r="F16" s="6">
        <v>5000</v>
      </c>
      <c r="G16" s="6" t="s">
        <v>49</v>
      </c>
      <c r="H16" s="6" t="s">
        <v>240</v>
      </c>
      <c r="I16" s="11">
        <v>31</v>
      </c>
      <c r="J16" s="6">
        <v>31</v>
      </c>
      <c r="K16" s="8"/>
      <c r="L16" s="11">
        <v>20</v>
      </c>
      <c r="M16" s="6">
        <v>20</v>
      </c>
      <c r="N16" s="8" t="s">
        <v>406</v>
      </c>
      <c r="O16" s="11"/>
      <c r="P16" s="6"/>
      <c r="Q16" s="8"/>
      <c r="R16" s="9">
        <f t="shared" si="0"/>
        <v>51</v>
      </c>
      <c r="S16" s="6">
        <f t="shared" si="1"/>
        <v>51</v>
      </c>
    </row>
    <row r="17" spans="2:19" ht="18" x14ac:dyDescent="0.35">
      <c r="B17" s="41"/>
      <c r="C17" s="43"/>
      <c r="D17" s="10" t="s">
        <v>395</v>
      </c>
      <c r="E17" s="6">
        <v>1792</v>
      </c>
      <c r="F17" s="6">
        <v>2500</v>
      </c>
      <c r="G17" s="6" t="s">
        <v>49</v>
      </c>
      <c r="H17" s="6" t="s">
        <v>355</v>
      </c>
      <c r="I17" s="11"/>
      <c r="J17" s="6"/>
      <c r="K17" s="8"/>
      <c r="L17" s="11">
        <v>5</v>
      </c>
      <c r="M17" s="6">
        <v>4</v>
      </c>
      <c r="N17" s="8" t="s">
        <v>180</v>
      </c>
      <c r="O17" s="11"/>
      <c r="P17" s="6"/>
      <c r="Q17" s="8"/>
      <c r="R17" s="9">
        <f>I17+L17+O17</f>
        <v>5</v>
      </c>
      <c r="S17" s="6">
        <f t="shared" si="1"/>
        <v>4</v>
      </c>
    </row>
    <row r="18" spans="2:19" ht="18" x14ac:dyDescent="0.35">
      <c r="B18" s="6">
        <v>9</v>
      </c>
      <c r="C18" s="7" t="s">
        <v>34</v>
      </c>
      <c r="D18" s="6" t="s">
        <v>64</v>
      </c>
      <c r="E18" s="6">
        <v>90129</v>
      </c>
      <c r="F18" s="6">
        <v>2540</v>
      </c>
      <c r="G18" s="6" t="s">
        <v>49</v>
      </c>
      <c r="H18" s="6" t="s">
        <v>227</v>
      </c>
      <c r="I18" s="11">
        <v>124</v>
      </c>
      <c r="J18" s="6">
        <v>80</v>
      </c>
      <c r="K18" s="8"/>
      <c r="L18" s="11">
        <v>124</v>
      </c>
      <c r="M18" s="6">
        <v>124</v>
      </c>
      <c r="N18" s="8"/>
      <c r="O18" s="11"/>
      <c r="P18" s="6"/>
      <c r="Q18" s="8"/>
      <c r="R18" s="9">
        <f t="shared" si="0"/>
        <v>248</v>
      </c>
      <c r="S18" s="6">
        <f t="shared" si="1"/>
        <v>204</v>
      </c>
    </row>
    <row r="19" spans="2:19" ht="18" x14ac:dyDescent="0.35">
      <c r="B19" s="6">
        <v>10</v>
      </c>
      <c r="C19" s="7" t="s">
        <v>35</v>
      </c>
      <c r="D19" s="6" t="s">
        <v>19</v>
      </c>
      <c r="E19" s="6">
        <v>2122</v>
      </c>
      <c r="F19" s="6">
        <v>796.5</v>
      </c>
      <c r="G19" s="6" t="s">
        <v>359</v>
      </c>
      <c r="H19" s="6" t="s">
        <v>209</v>
      </c>
      <c r="I19" s="11">
        <v>146</v>
      </c>
      <c r="J19" s="6">
        <v>146</v>
      </c>
      <c r="K19" s="8"/>
      <c r="L19" s="11">
        <v>146</v>
      </c>
      <c r="M19" s="6">
        <v>146</v>
      </c>
      <c r="N19" s="8"/>
      <c r="O19" s="11"/>
      <c r="P19" s="6"/>
      <c r="Q19" s="8"/>
      <c r="R19" s="9">
        <f t="shared" si="0"/>
        <v>292</v>
      </c>
      <c r="S19" s="6">
        <f t="shared" si="1"/>
        <v>292</v>
      </c>
    </row>
  </sheetData>
  <mergeCells count="7">
    <mergeCell ref="C16:C17"/>
    <mergeCell ref="B16:B17"/>
    <mergeCell ref="B6:N6"/>
    <mergeCell ref="R6:S6"/>
    <mergeCell ref="I7:K7"/>
    <mergeCell ref="L7:N7"/>
    <mergeCell ref="O7:Q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6:S20"/>
  <sheetViews>
    <sheetView topLeftCell="D6" workbookViewId="0">
      <selection activeCell="J16" sqref="J16"/>
    </sheetView>
  </sheetViews>
  <sheetFormatPr defaultRowHeight="14.4" x14ac:dyDescent="0.3"/>
  <cols>
    <col min="4" max="4" width="14.44140625" bestFit="1" customWidth="1"/>
    <col min="5" max="5" width="8.6640625" bestFit="1" customWidth="1"/>
    <col min="7" max="7" width="13.5546875" bestFit="1" customWidth="1"/>
    <col min="8" max="8" width="9.5546875" bestFit="1" customWidth="1"/>
    <col min="11" max="11" width="12.44140625" bestFit="1" customWidth="1"/>
    <col min="14" max="14" width="19.88671875" bestFit="1" customWidth="1"/>
  </cols>
  <sheetData>
    <row r="6" spans="2:19" ht="18" x14ac:dyDescent="0.35">
      <c r="B6" s="44" t="s">
        <v>0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6"/>
      <c r="O6" s="1" t="s">
        <v>1</v>
      </c>
      <c r="P6" s="2" t="s">
        <v>407</v>
      </c>
      <c r="Q6" s="1" t="s">
        <v>2</v>
      </c>
      <c r="R6" s="47"/>
      <c r="S6" s="48"/>
    </row>
    <row r="7" spans="2:19" ht="72" x14ac:dyDescent="0.3">
      <c r="B7" s="4" t="s">
        <v>3</v>
      </c>
      <c r="C7" s="4" t="s">
        <v>4</v>
      </c>
      <c r="D7" s="4" t="s">
        <v>5</v>
      </c>
      <c r="E7" s="5" t="s">
        <v>6</v>
      </c>
      <c r="F7" s="4" t="s">
        <v>7</v>
      </c>
      <c r="G7" s="4" t="s">
        <v>8</v>
      </c>
      <c r="H7" s="5"/>
      <c r="I7" s="49" t="s">
        <v>9</v>
      </c>
      <c r="J7" s="50"/>
      <c r="K7" s="51"/>
      <c r="L7" s="49" t="s">
        <v>10</v>
      </c>
      <c r="M7" s="50"/>
      <c r="N7" s="51"/>
      <c r="O7" s="49" t="s">
        <v>11</v>
      </c>
      <c r="P7" s="50"/>
      <c r="Q7" s="51"/>
      <c r="R7" s="4" t="s">
        <v>12</v>
      </c>
      <c r="S7" s="4" t="s">
        <v>13</v>
      </c>
    </row>
    <row r="8" spans="2:19" ht="18" x14ac:dyDescent="0.3">
      <c r="B8" s="3"/>
      <c r="C8" s="4"/>
      <c r="D8" s="4"/>
      <c r="E8" s="5"/>
      <c r="F8" s="4"/>
      <c r="G8" s="4"/>
      <c r="H8" s="5" t="s">
        <v>14</v>
      </c>
      <c r="I8" s="5" t="s">
        <v>15</v>
      </c>
      <c r="J8" s="5" t="s">
        <v>16</v>
      </c>
      <c r="K8" s="5" t="s">
        <v>17</v>
      </c>
      <c r="L8" s="5" t="s">
        <v>15</v>
      </c>
      <c r="M8" s="5" t="s">
        <v>16</v>
      </c>
      <c r="N8" s="5" t="s">
        <v>17</v>
      </c>
      <c r="O8" s="5" t="s">
        <v>15</v>
      </c>
      <c r="P8" s="5" t="s">
        <v>16</v>
      </c>
      <c r="Q8" s="5" t="s">
        <v>17</v>
      </c>
      <c r="R8" s="9" t="s">
        <v>50</v>
      </c>
      <c r="S8" s="6"/>
    </row>
    <row r="9" spans="2:19" ht="18" x14ac:dyDescent="0.35">
      <c r="B9" s="10">
        <v>1</v>
      </c>
      <c r="C9" s="7" t="s">
        <v>18</v>
      </c>
      <c r="D9" s="6" t="s">
        <v>19</v>
      </c>
      <c r="E9" s="6">
        <v>2191</v>
      </c>
      <c r="F9" s="6">
        <v>489.71</v>
      </c>
      <c r="G9" s="6" t="s">
        <v>20</v>
      </c>
      <c r="H9" s="11" t="s">
        <v>214</v>
      </c>
      <c r="I9" s="11"/>
      <c r="J9" s="6"/>
      <c r="K9" s="8" t="s">
        <v>362</v>
      </c>
      <c r="L9" s="11"/>
      <c r="M9" s="6"/>
      <c r="N9" s="8" t="s">
        <v>252</v>
      </c>
      <c r="O9" s="11"/>
      <c r="P9" s="6"/>
      <c r="Q9" s="6"/>
      <c r="R9" s="9">
        <f>I9+L9+O9</f>
        <v>0</v>
      </c>
      <c r="S9" s="6">
        <f>J9+M9+P9</f>
        <v>0</v>
      </c>
    </row>
    <row r="10" spans="2:19" ht="18" x14ac:dyDescent="0.35">
      <c r="B10" s="16">
        <v>2</v>
      </c>
      <c r="C10" s="13" t="s">
        <v>21</v>
      </c>
      <c r="D10" s="10" t="s">
        <v>19</v>
      </c>
      <c r="E10" s="6">
        <v>2122</v>
      </c>
      <c r="F10" s="6">
        <v>796.5</v>
      </c>
      <c r="G10" s="6" t="s">
        <v>359</v>
      </c>
      <c r="H10" s="6" t="s">
        <v>401</v>
      </c>
      <c r="I10" s="11"/>
      <c r="J10" s="6"/>
      <c r="K10" s="8" t="s">
        <v>252</v>
      </c>
      <c r="L10" s="11"/>
      <c r="M10" s="6"/>
      <c r="N10" s="8" t="s">
        <v>252</v>
      </c>
      <c r="O10" s="11"/>
      <c r="P10" s="6"/>
      <c r="Q10" s="8"/>
      <c r="R10" s="9">
        <f t="shared" ref="R10:R20" si="0">I10+L10+O10</f>
        <v>0</v>
      </c>
      <c r="S10" s="6">
        <f t="shared" ref="S10:S20" si="1">J10+M10+P10</f>
        <v>0</v>
      </c>
    </row>
    <row r="11" spans="2:19" ht="18" x14ac:dyDescent="0.35">
      <c r="B11" s="14">
        <v>3</v>
      </c>
      <c r="C11" s="13" t="s">
        <v>22</v>
      </c>
      <c r="D11" s="6" t="s">
        <v>23</v>
      </c>
      <c r="E11" s="6">
        <v>86292</v>
      </c>
      <c r="F11" s="6">
        <v>914.4</v>
      </c>
      <c r="G11" s="6" t="s">
        <v>328</v>
      </c>
      <c r="H11" s="6" t="s">
        <v>293</v>
      </c>
      <c r="I11" s="11"/>
      <c r="J11" s="6"/>
      <c r="K11" s="8" t="s">
        <v>252</v>
      </c>
      <c r="L11" s="11"/>
      <c r="M11" s="6"/>
      <c r="N11" s="8" t="s">
        <v>252</v>
      </c>
      <c r="O11" s="11"/>
      <c r="P11" s="6"/>
      <c r="Q11" s="6"/>
      <c r="R11" s="9">
        <f t="shared" si="0"/>
        <v>0</v>
      </c>
      <c r="S11" s="6">
        <f t="shared" si="1"/>
        <v>0</v>
      </c>
    </row>
    <row r="12" spans="2:19" ht="18" x14ac:dyDescent="0.35">
      <c r="B12" s="14">
        <v>4</v>
      </c>
      <c r="C12" s="25" t="s">
        <v>25</v>
      </c>
      <c r="D12" s="6"/>
      <c r="E12" s="10"/>
      <c r="F12" s="6"/>
      <c r="G12" s="6"/>
      <c r="H12" s="6"/>
      <c r="I12" s="11"/>
      <c r="J12" s="6"/>
      <c r="K12" s="8" t="s">
        <v>252</v>
      </c>
      <c r="L12" s="11"/>
      <c r="M12" s="6"/>
      <c r="N12" s="8" t="s">
        <v>252</v>
      </c>
      <c r="O12" s="11"/>
      <c r="P12" s="6"/>
      <c r="Q12" s="8"/>
      <c r="R12" s="9">
        <f t="shared" si="0"/>
        <v>0</v>
      </c>
      <c r="S12" s="6">
        <f t="shared" si="1"/>
        <v>0</v>
      </c>
    </row>
    <row r="13" spans="2:19" ht="18" x14ac:dyDescent="0.35">
      <c r="B13" s="10">
        <v>5</v>
      </c>
      <c r="C13" s="7" t="s">
        <v>28</v>
      </c>
      <c r="D13" s="6" t="s">
        <v>379</v>
      </c>
      <c r="E13" s="10">
        <v>98812</v>
      </c>
      <c r="F13" s="6">
        <v>292</v>
      </c>
      <c r="G13" s="6" t="s">
        <v>27</v>
      </c>
      <c r="H13" s="6" t="s">
        <v>209</v>
      </c>
      <c r="I13" s="11"/>
      <c r="J13" s="6"/>
      <c r="K13" s="8" t="s">
        <v>252</v>
      </c>
      <c r="L13" s="11"/>
      <c r="M13" s="6"/>
      <c r="N13" s="8" t="s">
        <v>252</v>
      </c>
      <c r="O13" s="11"/>
      <c r="P13" s="6"/>
      <c r="Q13" s="6"/>
      <c r="R13" s="9">
        <f t="shared" si="0"/>
        <v>0</v>
      </c>
      <c r="S13" s="6">
        <f t="shared" si="1"/>
        <v>0</v>
      </c>
    </row>
    <row r="14" spans="2:19" ht="18" x14ac:dyDescent="0.35">
      <c r="B14" s="14">
        <v>6</v>
      </c>
      <c r="C14" s="25" t="s">
        <v>30</v>
      </c>
      <c r="D14" s="6" t="s">
        <v>395</v>
      </c>
      <c r="E14" s="10">
        <v>86805</v>
      </c>
      <c r="F14" s="6">
        <v>1095</v>
      </c>
      <c r="G14" s="6" t="s">
        <v>399</v>
      </c>
      <c r="H14" s="11" t="s">
        <v>293</v>
      </c>
      <c r="I14" s="11">
        <v>44</v>
      </c>
      <c r="J14" s="6">
        <v>35</v>
      </c>
      <c r="K14" s="8" t="s">
        <v>180</v>
      </c>
      <c r="L14" s="11">
        <v>88</v>
      </c>
      <c r="M14" s="6">
        <v>88</v>
      </c>
      <c r="N14" s="8"/>
      <c r="O14" s="11"/>
      <c r="P14" s="6"/>
      <c r="Q14" s="8"/>
      <c r="R14" s="9">
        <f t="shared" si="0"/>
        <v>132</v>
      </c>
      <c r="S14" s="6">
        <f t="shared" si="1"/>
        <v>123</v>
      </c>
    </row>
    <row r="15" spans="2:19" ht="18" x14ac:dyDescent="0.35">
      <c r="B15" s="6">
        <v>7</v>
      </c>
      <c r="C15" s="7" t="s">
        <v>31</v>
      </c>
      <c r="D15" s="6" t="s">
        <v>64</v>
      </c>
      <c r="E15" s="6">
        <v>90129</v>
      </c>
      <c r="F15" s="6">
        <v>2540</v>
      </c>
      <c r="G15" s="6" t="s">
        <v>49</v>
      </c>
      <c r="H15" s="6" t="s">
        <v>256</v>
      </c>
      <c r="I15" s="11">
        <v>31</v>
      </c>
      <c r="J15" s="6">
        <v>30</v>
      </c>
      <c r="K15" s="8"/>
      <c r="L15" s="11">
        <v>31</v>
      </c>
      <c r="M15" s="6">
        <v>25</v>
      </c>
      <c r="N15" s="8" t="s">
        <v>409</v>
      </c>
      <c r="O15" s="11"/>
      <c r="P15" s="6"/>
      <c r="Q15" s="8"/>
      <c r="R15" s="9">
        <f t="shared" si="0"/>
        <v>62</v>
      </c>
      <c r="S15" s="6">
        <f t="shared" si="1"/>
        <v>55</v>
      </c>
    </row>
    <row r="16" spans="2:19" ht="18" x14ac:dyDescent="0.35">
      <c r="B16" s="40">
        <v>8</v>
      </c>
      <c r="C16" s="42" t="s">
        <v>33</v>
      </c>
      <c r="D16" s="40" t="s">
        <v>395</v>
      </c>
      <c r="E16" s="6">
        <v>1800</v>
      </c>
      <c r="F16" s="6">
        <v>5000</v>
      </c>
      <c r="G16" s="6">
        <v>8</v>
      </c>
      <c r="H16" s="6" t="s">
        <v>408</v>
      </c>
      <c r="I16" s="11">
        <v>32</v>
      </c>
      <c r="J16" s="6">
        <v>30</v>
      </c>
      <c r="K16" s="8"/>
      <c r="L16" s="11">
        <v>3</v>
      </c>
      <c r="M16" s="6">
        <v>3</v>
      </c>
      <c r="N16" s="8"/>
      <c r="O16" s="11"/>
      <c r="P16" s="6"/>
      <c r="Q16" s="8"/>
      <c r="R16" s="9">
        <f t="shared" si="0"/>
        <v>35</v>
      </c>
      <c r="S16" s="6">
        <f t="shared" si="1"/>
        <v>33</v>
      </c>
    </row>
    <row r="17" spans="2:19" ht="18" x14ac:dyDescent="0.35">
      <c r="B17" s="52"/>
      <c r="C17" s="53"/>
      <c r="D17" s="52"/>
      <c r="E17" s="6">
        <v>2444</v>
      </c>
      <c r="F17" s="6">
        <v>5000</v>
      </c>
      <c r="G17" s="6" t="s">
        <v>49</v>
      </c>
      <c r="H17" s="6" t="s">
        <v>239</v>
      </c>
      <c r="I17" s="11"/>
      <c r="J17" s="6"/>
      <c r="K17" s="8"/>
      <c r="L17" s="11">
        <v>5</v>
      </c>
      <c r="M17" s="6">
        <v>5</v>
      </c>
      <c r="N17" s="8" t="s">
        <v>177</v>
      </c>
      <c r="O17" s="11"/>
      <c r="P17" s="6"/>
      <c r="Q17" s="8"/>
      <c r="R17" s="9">
        <f t="shared" si="0"/>
        <v>5</v>
      </c>
      <c r="S17" s="6">
        <f t="shared" si="1"/>
        <v>5</v>
      </c>
    </row>
    <row r="18" spans="2:19" ht="18" x14ac:dyDescent="0.35">
      <c r="B18" s="41"/>
      <c r="C18" s="43"/>
      <c r="D18" s="41"/>
      <c r="E18" s="6">
        <v>99643</v>
      </c>
      <c r="F18" s="6">
        <v>5000</v>
      </c>
      <c r="G18" s="6" t="s">
        <v>49</v>
      </c>
      <c r="H18" s="6" t="s">
        <v>192</v>
      </c>
      <c r="I18" s="11"/>
      <c r="J18" s="6"/>
      <c r="K18" s="8"/>
      <c r="L18" s="11">
        <v>15</v>
      </c>
      <c r="M18" s="6">
        <v>15</v>
      </c>
      <c r="N18" s="8" t="s">
        <v>180</v>
      </c>
      <c r="O18" s="11"/>
      <c r="P18" s="6"/>
      <c r="Q18" s="8"/>
      <c r="R18" s="9">
        <f t="shared" si="0"/>
        <v>15</v>
      </c>
      <c r="S18" s="6">
        <f t="shared" si="1"/>
        <v>15</v>
      </c>
    </row>
    <row r="19" spans="2:19" ht="18" x14ac:dyDescent="0.35">
      <c r="B19" s="6">
        <v>9</v>
      </c>
      <c r="C19" s="7" t="s">
        <v>34</v>
      </c>
      <c r="D19" s="6" t="s">
        <v>64</v>
      </c>
      <c r="E19" s="6">
        <v>90129</v>
      </c>
      <c r="F19" s="6">
        <v>2540</v>
      </c>
      <c r="G19" s="6" t="s">
        <v>49</v>
      </c>
      <c r="H19" s="6" t="s">
        <v>227</v>
      </c>
      <c r="I19" s="11">
        <v>124</v>
      </c>
      <c r="J19" s="6">
        <v>120</v>
      </c>
      <c r="K19" s="8"/>
      <c r="L19" s="11">
        <v>124</v>
      </c>
      <c r="M19" s="6">
        <v>124</v>
      </c>
      <c r="N19" s="8"/>
      <c r="O19" s="11"/>
      <c r="P19" s="6"/>
      <c r="Q19" s="8"/>
      <c r="R19" s="9">
        <f t="shared" si="0"/>
        <v>248</v>
      </c>
      <c r="S19" s="6">
        <f t="shared" si="1"/>
        <v>244</v>
      </c>
    </row>
    <row r="20" spans="2:19" ht="18" x14ac:dyDescent="0.35">
      <c r="B20" s="6">
        <v>10</v>
      </c>
      <c r="C20" s="7" t="s">
        <v>35</v>
      </c>
      <c r="D20" s="6" t="s">
        <v>19</v>
      </c>
      <c r="E20" s="6">
        <v>2122</v>
      </c>
      <c r="F20" s="6">
        <v>796.5</v>
      </c>
      <c r="G20" s="6" t="s">
        <v>359</v>
      </c>
      <c r="H20" s="6" t="s">
        <v>209</v>
      </c>
      <c r="I20" s="11"/>
      <c r="J20" s="6"/>
      <c r="K20" s="8" t="s">
        <v>252</v>
      </c>
      <c r="L20" s="11"/>
      <c r="M20" s="6"/>
      <c r="N20" s="8" t="s">
        <v>252</v>
      </c>
      <c r="O20" s="11"/>
      <c r="P20" s="6"/>
      <c r="Q20" s="8"/>
      <c r="R20" s="9">
        <f t="shared" si="0"/>
        <v>0</v>
      </c>
      <c r="S20" s="6">
        <f t="shared" si="1"/>
        <v>0</v>
      </c>
    </row>
  </sheetData>
  <mergeCells count="8">
    <mergeCell ref="C16:C18"/>
    <mergeCell ref="D16:D18"/>
    <mergeCell ref="B16:B18"/>
    <mergeCell ref="B6:N6"/>
    <mergeCell ref="R6:S6"/>
    <mergeCell ref="I7:K7"/>
    <mergeCell ref="L7:N7"/>
    <mergeCell ref="O7:Q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5:R18"/>
  <sheetViews>
    <sheetView zoomScale="80" zoomScaleNormal="80" workbookViewId="0">
      <selection activeCell="A5" sqref="A5:R18"/>
    </sheetView>
  </sheetViews>
  <sheetFormatPr defaultRowHeight="14.4" x14ac:dyDescent="0.3"/>
  <cols>
    <col min="3" max="3" width="13.44140625" bestFit="1" customWidth="1"/>
    <col min="6" max="6" width="11.5546875" bestFit="1" customWidth="1"/>
    <col min="7" max="7" width="16.33203125" bestFit="1" customWidth="1"/>
    <col min="16" max="16" width="25.109375" bestFit="1" customWidth="1"/>
  </cols>
  <sheetData>
    <row r="5" spans="1:18" ht="18" x14ac:dyDescent="0.35">
      <c r="A5" s="44" t="s">
        <v>0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6"/>
      <c r="N5" s="1" t="s">
        <v>1</v>
      </c>
      <c r="O5" s="2" t="s">
        <v>415</v>
      </c>
      <c r="P5" s="1" t="s">
        <v>2</v>
      </c>
      <c r="Q5" s="47"/>
      <c r="R5" s="48"/>
    </row>
    <row r="6" spans="1:18" ht="72" x14ac:dyDescent="0.3">
      <c r="A6" s="4" t="s">
        <v>3</v>
      </c>
      <c r="B6" s="4" t="s">
        <v>4</v>
      </c>
      <c r="C6" s="4" t="s">
        <v>5</v>
      </c>
      <c r="D6" s="5" t="s">
        <v>6</v>
      </c>
      <c r="E6" s="4" t="s">
        <v>7</v>
      </c>
      <c r="F6" s="4" t="s">
        <v>8</v>
      </c>
      <c r="G6" s="5"/>
      <c r="H6" s="49" t="s">
        <v>9</v>
      </c>
      <c r="I6" s="50"/>
      <c r="J6" s="51"/>
      <c r="K6" s="49" t="s">
        <v>10</v>
      </c>
      <c r="L6" s="50"/>
      <c r="M6" s="51"/>
      <c r="N6" s="49" t="s">
        <v>11</v>
      </c>
      <c r="O6" s="50"/>
      <c r="P6" s="51"/>
      <c r="Q6" s="4" t="s">
        <v>12</v>
      </c>
      <c r="R6" s="4" t="s">
        <v>13</v>
      </c>
    </row>
    <row r="7" spans="1:18" ht="18" x14ac:dyDescent="0.3">
      <c r="A7" s="3"/>
      <c r="B7" s="4"/>
      <c r="C7" s="4"/>
      <c r="D7" s="5"/>
      <c r="E7" s="4"/>
      <c r="F7" s="4"/>
      <c r="G7" s="5" t="s">
        <v>14</v>
      </c>
      <c r="H7" s="5" t="s">
        <v>15</v>
      </c>
      <c r="I7" s="5" t="s">
        <v>16</v>
      </c>
      <c r="J7" s="5" t="s">
        <v>17</v>
      </c>
      <c r="K7" s="5" t="s">
        <v>15</v>
      </c>
      <c r="L7" s="5" t="s">
        <v>16</v>
      </c>
      <c r="M7" s="5" t="s">
        <v>17</v>
      </c>
      <c r="N7" s="5" t="s">
        <v>15</v>
      </c>
      <c r="O7" s="5" t="s">
        <v>16</v>
      </c>
      <c r="P7" s="5" t="s">
        <v>17</v>
      </c>
      <c r="Q7" s="9" t="s">
        <v>50</v>
      </c>
      <c r="R7" s="6"/>
    </row>
    <row r="8" spans="1:18" ht="18" x14ac:dyDescent="0.35">
      <c r="A8" s="10">
        <v>1</v>
      </c>
      <c r="B8" s="7" t="s">
        <v>18</v>
      </c>
      <c r="C8" s="6" t="s">
        <v>19</v>
      </c>
      <c r="D8" s="6">
        <v>2191</v>
      </c>
      <c r="E8" s="6">
        <v>489.71</v>
      </c>
      <c r="F8" s="6" t="s">
        <v>20</v>
      </c>
      <c r="G8" s="11" t="s">
        <v>214</v>
      </c>
      <c r="H8" s="11">
        <v>73</v>
      </c>
      <c r="I8" s="6">
        <v>56</v>
      </c>
      <c r="J8" s="8"/>
      <c r="K8" s="11">
        <v>73</v>
      </c>
      <c r="L8" s="6">
        <v>73</v>
      </c>
      <c r="M8" s="8"/>
      <c r="N8" s="11">
        <v>73</v>
      </c>
      <c r="O8" s="6">
        <v>73</v>
      </c>
      <c r="P8" s="6"/>
      <c r="Q8" s="9">
        <f>H8+K8+N8</f>
        <v>219</v>
      </c>
      <c r="R8" s="6">
        <f>I8+L8+O8</f>
        <v>202</v>
      </c>
    </row>
    <row r="9" spans="1:18" ht="18" x14ac:dyDescent="0.35">
      <c r="A9" s="16">
        <v>2</v>
      </c>
      <c r="B9" s="13" t="s">
        <v>21</v>
      </c>
      <c r="C9" s="10" t="s">
        <v>19</v>
      </c>
      <c r="D9" s="6">
        <v>2123</v>
      </c>
      <c r="E9" s="6">
        <v>418.2</v>
      </c>
      <c r="F9" s="6" t="s">
        <v>410</v>
      </c>
      <c r="G9" s="6" t="s">
        <v>118</v>
      </c>
      <c r="H9" s="11">
        <v>88</v>
      </c>
      <c r="I9" s="6">
        <v>83</v>
      </c>
      <c r="J9" s="8"/>
      <c r="K9" s="11"/>
      <c r="L9" s="6"/>
      <c r="M9" s="8" t="s">
        <v>163</v>
      </c>
      <c r="N9" s="11">
        <v>24</v>
      </c>
      <c r="O9" s="6">
        <v>21</v>
      </c>
      <c r="P9" s="8" t="s">
        <v>416</v>
      </c>
      <c r="Q9" s="9">
        <f t="shared" ref="Q9:Q18" si="0">H9+K9+N9</f>
        <v>112</v>
      </c>
      <c r="R9" s="6">
        <f t="shared" ref="R9:R18" si="1">I9+L9+O9</f>
        <v>104</v>
      </c>
    </row>
    <row r="10" spans="1:18" ht="18" x14ac:dyDescent="0.35">
      <c r="A10" s="14">
        <v>3</v>
      </c>
      <c r="B10" s="13" t="s">
        <v>22</v>
      </c>
      <c r="C10" s="6" t="s">
        <v>19</v>
      </c>
      <c r="D10" s="6">
        <v>2191</v>
      </c>
      <c r="E10" s="6">
        <v>489.7</v>
      </c>
      <c r="F10" s="6" t="s">
        <v>20</v>
      </c>
      <c r="G10" s="6" t="s">
        <v>411</v>
      </c>
      <c r="H10" s="11">
        <v>73</v>
      </c>
      <c r="I10" s="6">
        <v>50</v>
      </c>
      <c r="J10" s="8" t="s">
        <v>44</v>
      </c>
      <c r="K10" s="11"/>
      <c r="L10" s="6"/>
      <c r="M10" s="8" t="s">
        <v>163</v>
      </c>
      <c r="N10" s="11">
        <v>73</v>
      </c>
      <c r="O10" s="6">
        <v>53</v>
      </c>
      <c r="P10" s="6"/>
      <c r="Q10" s="9">
        <f t="shared" si="0"/>
        <v>146</v>
      </c>
      <c r="R10" s="6">
        <f t="shared" si="1"/>
        <v>103</v>
      </c>
    </row>
    <row r="11" spans="1:18" ht="18" x14ac:dyDescent="0.35">
      <c r="A11" s="14">
        <v>4</v>
      </c>
      <c r="B11" s="25" t="s">
        <v>25</v>
      </c>
      <c r="C11" s="6" t="s">
        <v>19</v>
      </c>
      <c r="D11" s="10">
        <v>2123</v>
      </c>
      <c r="E11" s="6">
        <v>428.75</v>
      </c>
      <c r="F11" s="6" t="s">
        <v>410</v>
      </c>
      <c r="G11" s="6"/>
      <c r="H11" s="11"/>
      <c r="I11" s="6"/>
      <c r="J11" s="8"/>
      <c r="K11" s="11"/>
      <c r="L11" s="6"/>
      <c r="M11" s="8" t="s">
        <v>163</v>
      </c>
      <c r="N11" s="11">
        <v>88</v>
      </c>
      <c r="O11" s="6">
        <v>50</v>
      </c>
      <c r="P11" s="8" t="s">
        <v>44</v>
      </c>
      <c r="Q11" s="9">
        <f t="shared" si="0"/>
        <v>88</v>
      </c>
      <c r="R11" s="6">
        <f t="shared" si="1"/>
        <v>50</v>
      </c>
    </row>
    <row r="12" spans="1:18" ht="18" x14ac:dyDescent="0.35">
      <c r="A12" s="10">
        <v>5</v>
      </c>
      <c r="B12" s="7" t="s">
        <v>28</v>
      </c>
      <c r="C12" s="6" t="s">
        <v>19</v>
      </c>
      <c r="D12" s="10">
        <v>2123</v>
      </c>
      <c r="E12" s="6">
        <v>412.2</v>
      </c>
      <c r="F12" s="6" t="s">
        <v>410</v>
      </c>
      <c r="G12" s="6" t="s">
        <v>412</v>
      </c>
      <c r="H12" s="11"/>
      <c r="I12" s="6"/>
      <c r="J12" s="8" t="s">
        <v>44</v>
      </c>
      <c r="K12" s="11">
        <v>51</v>
      </c>
      <c r="L12" s="6">
        <v>51</v>
      </c>
      <c r="M12" s="8" t="s">
        <v>50</v>
      </c>
      <c r="N12" s="11">
        <v>55</v>
      </c>
      <c r="O12" s="6">
        <v>55</v>
      </c>
      <c r="P12" s="6"/>
      <c r="Q12" s="9">
        <f t="shared" si="0"/>
        <v>106</v>
      </c>
      <c r="R12" s="6">
        <f t="shared" si="1"/>
        <v>106</v>
      </c>
    </row>
    <row r="13" spans="1:18" ht="18" x14ac:dyDescent="0.35">
      <c r="A13" s="14">
        <v>6</v>
      </c>
      <c r="B13" s="25" t="s">
        <v>30</v>
      </c>
      <c r="C13" s="6" t="s">
        <v>395</v>
      </c>
      <c r="D13" s="10">
        <v>99719</v>
      </c>
      <c r="E13" s="6">
        <v>1107.2</v>
      </c>
      <c r="F13" s="6" t="s">
        <v>413</v>
      </c>
      <c r="G13" s="11" t="s">
        <v>401</v>
      </c>
      <c r="H13" s="11">
        <v>110</v>
      </c>
      <c r="I13" s="6">
        <v>90</v>
      </c>
      <c r="J13" s="8"/>
      <c r="K13" s="11"/>
      <c r="L13" s="6"/>
      <c r="M13" s="8" t="s">
        <v>163</v>
      </c>
      <c r="N13" s="11">
        <v>88</v>
      </c>
      <c r="O13" s="6">
        <v>82</v>
      </c>
      <c r="P13" s="8" t="s">
        <v>172</v>
      </c>
      <c r="Q13" s="9">
        <f t="shared" si="0"/>
        <v>198</v>
      </c>
      <c r="R13" s="6">
        <f t="shared" si="1"/>
        <v>172</v>
      </c>
    </row>
    <row r="14" spans="1:18" ht="18" x14ac:dyDescent="0.35">
      <c r="A14" s="6">
        <v>7</v>
      </c>
      <c r="B14" s="7" t="s">
        <v>31</v>
      </c>
      <c r="C14" s="6" t="s">
        <v>64</v>
      </c>
      <c r="D14" s="6">
        <v>90129</v>
      </c>
      <c r="E14" s="6">
        <v>2540</v>
      </c>
      <c r="F14" s="6" t="s">
        <v>49</v>
      </c>
      <c r="G14" s="6" t="s">
        <v>256</v>
      </c>
      <c r="H14" s="11">
        <v>31</v>
      </c>
      <c r="I14" s="6">
        <v>30</v>
      </c>
      <c r="J14" s="8"/>
      <c r="K14" s="11">
        <v>31</v>
      </c>
      <c r="L14" s="6">
        <v>27</v>
      </c>
      <c r="M14" s="8"/>
      <c r="N14" s="11">
        <v>31</v>
      </c>
      <c r="O14" s="6">
        <v>27</v>
      </c>
      <c r="P14" s="8"/>
      <c r="Q14" s="9">
        <f t="shared" si="0"/>
        <v>93</v>
      </c>
      <c r="R14" s="6">
        <f t="shared" si="1"/>
        <v>84</v>
      </c>
    </row>
    <row r="15" spans="1:18" ht="18" x14ac:dyDescent="0.35">
      <c r="A15" s="40">
        <v>8</v>
      </c>
      <c r="B15" s="42" t="s">
        <v>33</v>
      </c>
      <c r="C15" s="14" t="s">
        <v>395</v>
      </c>
      <c r="D15" s="6">
        <v>99719</v>
      </c>
      <c r="E15" s="6">
        <v>5000</v>
      </c>
      <c r="F15" s="6" t="s">
        <v>414</v>
      </c>
      <c r="G15" s="6" t="s">
        <v>171</v>
      </c>
      <c r="H15" s="11">
        <v>44</v>
      </c>
      <c r="I15" s="6">
        <v>30</v>
      </c>
      <c r="J15" s="8"/>
      <c r="K15" s="11">
        <v>43</v>
      </c>
      <c r="L15" s="6">
        <v>43</v>
      </c>
      <c r="M15" s="8"/>
      <c r="N15" s="11"/>
      <c r="O15" s="6"/>
      <c r="P15" s="8"/>
      <c r="Q15" s="9">
        <f t="shared" si="0"/>
        <v>87</v>
      </c>
      <c r="R15" s="6">
        <f t="shared" si="1"/>
        <v>73</v>
      </c>
    </row>
    <row r="16" spans="1:18" ht="18" x14ac:dyDescent="0.35">
      <c r="A16" s="41"/>
      <c r="B16" s="43"/>
      <c r="C16" s="14" t="s">
        <v>395</v>
      </c>
      <c r="D16" s="6">
        <v>99719</v>
      </c>
      <c r="E16" s="6">
        <v>5000</v>
      </c>
      <c r="F16" s="6" t="s">
        <v>413</v>
      </c>
      <c r="G16" s="6" t="s">
        <v>171</v>
      </c>
      <c r="H16" s="11"/>
      <c r="I16" s="6"/>
      <c r="J16" s="8"/>
      <c r="K16" s="11"/>
      <c r="L16" s="6"/>
      <c r="M16" s="8"/>
      <c r="N16" s="11">
        <v>30</v>
      </c>
      <c r="O16" s="6">
        <v>29</v>
      </c>
      <c r="P16" s="8" t="s">
        <v>44</v>
      </c>
      <c r="Q16" s="9"/>
      <c r="R16" s="6"/>
    </row>
    <row r="17" spans="1:18" ht="18" x14ac:dyDescent="0.35">
      <c r="A17" s="6">
        <v>9</v>
      </c>
      <c r="B17" s="7" t="s">
        <v>34</v>
      </c>
      <c r="C17" s="6" t="s">
        <v>64</v>
      </c>
      <c r="D17" s="6">
        <v>90129</v>
      </c>
      <c r="E17" s="6">
        <v>2540</v>
      </c>
      <c r="F17" s="6" t="s">
        <v>49</v>
      </c>
      <c r="G17" s="6" t="s">
        <v>227</v>
      </c>
      <c r="H17" s="11">
        <v>124</v>
      </c>
      <c r="I17" s="6">
        <v>116</v>
      </c>
      <c r="J17" s="8"/>
      <c r="K17" s="11">
        <v>124</v>
      </c>
      <c r="L17" s="6">
        <v>112</v>
      </c>
      <c r="M17" s="8"/>
      <c r="N17" s="11">
        <v>124</v>
      </c>
      <c r="O17" s="6">
        <v>124</v>
      </c>
      <c r="P17" s="8"/>
      <c r="Q17" s="9">
        <f t="shared" si="0"/>
        <v>372</v>
      </c>
      <c r="R17" s="6">
        <f t="shared" si="1"/>
        <v>352</v>
      </c>
    </row>
    <row r="18" spans="1:18" ht="18" x14ac:dyDescent="0.35">
      <c r="A18" s="6">
        <v>10</v>
      </c>
      <c r="B18" s="7" t="s">
        <v>35</v>
      </c>
      <c r="C18" s="6" t="s">
        <v>19</v>
      </c>
      <c r="D18" s="6">
        <v>2122</v>
      </c>
      <c r="E18" s="6">
        <v>796.5</v>
      </c>
      <c r="F18" s="6" t="s">
        <v>359</v>
      </c>
      <c r="G18" s="6" t="s">
        <v>209</v>
      </c>
      <c r="H18" s="11">
        <v>146</v>
      </c>
      <c r="I18" s="6">
        <v>141</v>
      </c>
      <c r="J18" s="8"/>
      <c r="K18" s="11"/>
      <c r="L18" s="6"/>
      <c r="M18" s="8" t="s">
        <v>163</v>
      </c>
      <c r="N18" s="11"/>
      <c r="O18" s="6"/>
      <c r="P18" s="8" t="s">
        <v>163</v>
      </c>
      <c r="Q18" s="9">
        <f t="shared" si="0"/>
        <v>146</v>
      </c>
      <c r="R18" s="6">
        <f t="shared" si="1"/>
        <v>141</v>
      </c>
    </row>
  </sheetData>
  <mergeCells count="7">
    <mergeCell ref="B15:B16"/>
    <mergeCell ref="A15:A16"/>
    <mergeCell ref="A5:M5"/>
    <mergeCell ref="Q5:R5"/>
    <mergeCell ref="H6:J6"/>
    <mergeCell ref="K6:M6"/>
    <mergeCell ref="N6:P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4:T22"/>
  <sheetViews>
    <sheetView tabSelected="1" zoomScale="80" zoomScaleNormal="80" workbookViewId="0">
      <selection activeCell="K7" sqref="K7"/>
    </sheetView>
  </sheetViews>
  <sheetFormatPr defaultRowHeight="14.4" x14ac:dyDescent="0.3"/>
  <cols>
    <col min="3" max="3" width="15.44140625" customWidth="1"/>
    <col min="6" max="6" width="14.109375" customWidth="1"/>
    <col min="7" max="7" width="15.5546875" customWidth="1"/>
    <col min="10" max="10" width="16.77734375" bestFit="1" customWidth="1"/>
    <col min="11" max="12" width="18.5546875" customWidth="1"/>
    <col min="15" max="15" width="18.5546875" customWidth="1"/>
    <col min="18" max="18" width="19.109375" customWidth="1"/>
  </cols>
  <sheetData>
    <row r="4" spans="1:20" ht="18" x14ac:dyDescent="0.35">
      <c r="A4" s="44" t="s">
        <v>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6"/>
      <c r="P4" s="1" t="s">
        <v>1</v>
      </c>
      <c r="Q4" s="2" t="s">
        <v>417</v>
      </c>
      <c r="R4" s="1" t="s">
        <v>2</v>
      </c>
      <c r="S4" s="47"/>
      <c r="T4" s="48"/>
    </row>
    <row r="5" spans="1:20" ht="72" x14ac:dyDescent="0.3">
      <c r="A5" s="4" t="s">
        <v>3</v>
      </c>
      <c r="B5" s="4" t="s">
        <v>4</v>
      </c>
      <c r="C5" s="4" t="s">
        <v>5</v>
      </c>
      <c r="D5" s="5" t="s">
        <v>6</v>
      </c>
      <c r="E5" s="4" t="s">
        <v>7</v>
      </c>
      <c r="F5" s="4" t="s">
        <v>8</v>
      </c>
      <c r="G5" s="5"/>
      <c r="H5" s="49" t="s">
        <v>9</v>
      </c>
      <c r="I5" s="50"/>
      <c r="J5" s="50"/>
      <c r="K5" s="51"/>
      <c r="L5" s="32"/>
      <c r="M5" s="49" t="s">
        <v>10</v>
      </c>
      <c r="N5" s="50"/>
      <c r="O5" s="51"/>
      <c r="P5" s="49" t="s">
        <v>11</v>
      </c>
      <c r="Q5" s="50"/>
      <c r="R5" s="51"/>
      <c r="S5" s="4" t="s">
        <v>12</v>
      </c>
      <c r="T5" s="4" t="s">
        <v>13</v>
      </c>
    </row>
    <row r="6" spans="1:20" ht="18" x14ac:dyDescent="0.3">
      <c r="A6" s="3"/>
      <c r="B6" s="4"/>
      <c r="C6" s="4"/>
      <c r="D6" s="5"/>
      <c r="E6" s="4"/>
      <c r="F6" s="4"/>
      <c r="G6" s="5" t="s">
        <v>14</v>
      </c>
      <c r="H6" s="5" t="s">
        <v>15</v>
      </c>
      <c r="I6" s="5" t="s">
        <v>16</v>
      </c>
      <c r="J6" s="5" t="s">
        <v>418</v>
      </c>
      <c r="K6" s="5" t="s">
        <v>17</v>
      </c>
      <c r="L6" s="5"/>
      <c r="M6" s="5" t="s">
        <v>15</v>
      </c>
      <c r="N6" s="5" t="s">
        <v>16</v>
      </c>
      <c r="O6" s="5" t="s">
        <v>17</v>
      </c>
      <c r="P6" s="5" t="s">
        <v>15</v>
      </c>
      <c r="Q6" s="5" t="s">
        <v>16</v>
      </c>
      <c r="R6" s="5" t="s">
        <v>17</v>
      </c>
      <c r="S6" s="9" t="s">
        <v>50</v>
      </c>
      <c r="T6" s="6"/>
    </row>
    <row r="7" spans="1:20" ht="18" x14ac:dyDescent="0.35">
      <c r="A7" s="10">
        <v>1</v>
      </c>
      <c r="B7" s="7" t="s">
        <v>18</v>
      </c>
      <c r="C7" s="6" t="s">
        <v>19</v>
      </c>
      <c r="D7" s="6">
        <v>2191</v>
      </c>
      <c r="E7" s="6">
        <v>489.71</v>
      </c>
      <c r="F7" s="6" t="s">
        <v>20</v>
      </c>
      <c r="G7" s="11" t="s">
        <v>214</v>
      </c>
      <c r="H7" s="11">
        <v>73</v>
      </c>
      <c r="I7" s="6">
        <v>0</v>
      </c>
      <c r="J7" s="8"/>
      <c r="K7" s="8" t="s">
        <v>57</v>
      </c>
      <c r="L7" s="8"/>
      <c r="M7" s="11">
        <v>73</v>
      </c>
      <c r="N7" s="6">
        <v>0</v>
      </c>
      <c r="O7" s="8" t="s">
        <v>57</v>
      </c>
      <c r="P7" s="11">
        <v>73</v>
      </c>
      <c r="Q7" s="6"/>
      <c r="R7" s="8"/>
      <c r="S7" s="9">
        <f t="shared" ref="S7:S17" si="0">H7+M7+P7</f>
        <v>219</v>
      </c>
      <c r="T7" s="6">
        <f t="shared" ref="T7:T17" si="1">I7+N7+Q7</f>
        <v>0</v>
      </c>
    </row>
    <row r="8" spans="1:20" ht="18" x14ac:dyDescent="0.35">
      <c r="A8" s="16">
        <v>2</v>
      </c>
      <c r="B8" s="13" t="s">
        <v>21</v>
      </c>
      <c r="C8" s="10" t="s">
        <v>19</v>
      </c>
      <c r="D8" s="6">
        <v>2123</v>
      </c>
      <c r="E8" s="6">
        <v>418.2</v>
      </c>
      <c r="F8" s="6" t="s">
        <v>410</v>
      </c>
      <c r="G8" s="6" t="s">
        <v>118</v>
      </c>
      <c r="H8" s="11">
        <v>88</v>
      </c>
      <c r="I8" s="6">
        <v>0</v>
      </c>
      <c r="J8" s="8"/>
      <c r="K8" s="8" t="s">
        <v>57</v>
      </c>
      <c r="L8" s="8"/>
      <c r="M8" s="11">
        <v>88</v>
      </c>
      <c r="N8" s="6">
        <v>88</v>
      </c>
      <c r="O8" s="8"/>
      <c r="P8" s="11">
        <v>88</v>
      </c>
      <c r="Q8" s="6"/>
      <c r="R8" s="8"/>
      <c r="S8" s="9">
        <f t="shared" si="0"/>
        <v>264</v>
      </c>
      <c r="T8" s="6">
        <f t="shared" si="1"/>
        <v>88</v>
      </c>
    </row>
    <row r="9" spans="1:20" ht="18" x14ac:dyDescent="0.35">
      <c r="A9" s="14">
        <v>3</v>
      </c>
      <c r="B9" s="13" t="s">
        <v>22</v>
      </c>
      <c r="C9" s="6" t="s">
        <v>19</v>
      </c>
      <c r="D9" s="6">
        <v>2191</v>
      </c>
      <c r="E9" s="6">
        <v>489.7</v>
      </c>
      <c r="F9" s="6" t="s">
        <v>20</v>
      </c>
      <c r="G9" s="6" t="s">
        <v>411</v>
      </c>
      <c r="H9" s="11">
        <v>73</v>
      </c>
      <c r="I9" s="6">
        <v>73</v>
      </c>
      <c r="J9" s="8"/>
      <c r="K9" s="8"/>
      <c r="L9" s="8"/>
      <c r="M9" s="11">
        <v>73</v>
      </c>
      <c r="N9" s="6">
        <v>70</v>
      </c>
      <c r="O9" s="8"/>
      <c r="P9" s="11">
        <v>73</v>
      </c>
      <c r="Q9" s="6"/>
      <c r="R9" s="8"/>
      <c r="S9" s="9">
        <f t="shared" si="0"/>
        <v>219</v>
      </c>
      <c r="T9" s="6">
        <f t="shared" si="1"/>
        <v>143</v>
      </c>
    </row>
    <row r="10" spans="1:20" ht="18" x14ac:dyDescent="0.35">
      <c r="A10" s="14">
        <v>4</v>
      </c>
      <c r="B10" s="25" t="s">
        <v>25</v>
      </c>
      <c r="C10" s="6" t="s">
        <v>19</v>
      </c>
      <c r="D10" s="10">
        <v>2123</v>
      </c>
      <c r="E10" s="6">
        <v>428.75</v>
      </c>
      <c r="F10" s="6" t="s">
        <v>410</v>
      </c>
      <c r="G10" s="6" t="s">
        <v>129</v>
      </c>
      <c r="H10" s="11">
        <v>88</v>
      </c>
      <c r="I10" s="6">
        <v>44</v>
      </c>
      <c r="J10" s="8"/>
      <c r="K10" s="8" t="s">
        <v>57</v>
      </c>
      <c r="L10" s="8"/>
      <c r="M10" s="11">
        <v>88</v>
      </c>
      <c r="N10" s="6">
        <v>88</v>
      </c>
      <c r="O10" s="8"/>
      <c r="P10" s="11">
        <v>88</v>
      </c>
      <c r="Q10" s="6"/>
      <c r="R10" s="8"/>
      <c r="S10" s="9">
        <f t="shared" si="0"/>
        <v>264</v>
      </c>
      <c r="T10" s="6">
        <f t="shared" si="1"/>
        <v>132</v>
      </c>
    </row>
    <row r="11" spans="1:20" ht="18" x14ac:dyDescent="0.35">
      <c r="A11" s="10">
        <v>5</v>
      </c>
      <c r="B11" s="7" t="s">
        <v>28</v>
      </c>
      <c r="C11" s="6" t="s">
        <v>19</v>
      </c>
      <c r="D11" s="10">
        <v>2123</v>
      </c>
      <c r="E11" s="6">
        <v>418.2</v>
      </c>
      <c r="F11" s="6" t="s">
        <v>410</v>
      </c>
      <c r="G11" s="6" t="s">
        <v>297</v>
      </c>
      <c r="H11" s="11">
        <v>64</v>
      </c>
      <c r="I11" s="6">
        <v>0</v>
      </c>
      <c r="J11" s="8"/>
      <c r="K11" s="8" t="s">
        <v>57</v>
      </c>
      <c r="L11" s="8"/>
      <c r="M11" s="11">
        <v>64</v>
      </c>
      <c r="N11" s="6">
        <v>0</v>
      </c>
      <c r="O11" s="8" t="s">
        <v>57</v>
      </c>
      <c r="P11" s="11">
        <v>64</v>
      </c>
      <c r="Q11" s="6"/>
      <c r="R11" s="8" t="s">
        <v>50</v>
      </c>
      <c r="S11" s="9">
        <f t="shared" si="0"/>
        <v>192</v>
      </c>
      <c r="T11" s="6">
        <f t="shared" si="1"/>
        <v>0</v>
      </c>
    </row>
    <row r="12" spans="1:20" ht="18" x14ac:dyDescent="0.35">
      <c r="A12" s="14">
        <v>6</v>
      </c>
      <c r="B12" s="25" t="s">
        <v>30</v>
      </c>
      <c r="C12" s="6" t="s">
        <v>395</v>
      </c>
      <c r="D12" s="10">
        <v>99719</v>
      </c>
      <c r="E12" s="6">
        <v>1107.2</v>
      </c>
      <c r="F12" s="6" t="s">
        <v>413</v>
      </c>
      <c r="G12" s="11" t="s">
        <v>401</v>
      </c>
      <c r="H12" s="11">
        <v>26</v>
      </c>
      <c r="I12" s="6">
        <v>26</v>
      </c>
      <c r="J12" s="8"/>
      <c r="K12" s="8" t="s">
        <v>57</v>
      </c>
      <c r="L12" s="8"/>
      <c r="M12" s="11"/>
      <c r="N12" s="6"/>
      <c r="O12" s="8" t="s">
        <v>57</v>
      </c>
      <c r="P12" s="11"/>
      <c r="Q12" s="6"/>
      <c r="R12" s="8"/>
      <c r="S12" s="9">
        <f t="shared" si="0"/>
        <v>26</v>
      </c>
      <c r="T12" s="6">
        <f t="shared" si="1"/>
        <v>26</v>
      </c>
    </row>
    <row r="13" spans="1:20" ht="18" x14ac:dyDescent="0.35">
      <c r="A13" s="6">
        <v>7</v>
      </c>
      <c r="B13" s="7" t="s">
        <v>31</v>
      </c>
      <c r="C13" s="6" t="s">
        <v>64</v>
      </c>
      <c r="D13" s="6">
        <v>90129</v>
      </c>
      <c r="E13" s="6">
        <v>2540</v>
      </c>
      <c r="F13" s="6" t="s">
        <v>49</v>
      </c>
      <c r="G13" s="6" t="s">
        <v>256</v>
      </c>
      <c r="H13" s="11">
        <v>31</v>
      </c>
      <c r="I13" s="6">
        <v>31</v>
      </c>
      <c r="J13" s="8"/>
      <c r="K13" s="8"/>
      <c r="L13" s="8"/>
      <c r="M13" s="11">
        <v>31</v>
      </c>
      <c r="N13" s="6">
        <v>31</v>
      </c>
      <c r="O13" s="8"/>
      <c r="P13" s="11">
        <v>31</v>
      </c>
      <c r="Q13" s="6"/>
      <c r="R13" s="8"/>
      <c r="S13" s="9">
        <f t="shared" si="0"/>
        <v>93</v>
      </c>
      <c r="T13" s="6">
        <f t="shared" si="1"/>
        <v>62</v>
      </c>
    </row>
    <row r="14" spans="1:20" ht="18" hidden="1" x14ac:dyDescent="0.35">
      <c r="A14" s="40">
        <v>8</v>
      </c>
      <c r="B14" s="42" t="s">
        <v>33</v>
      </c>
      <c r="C14" s="14" t="s">
        <v>395</v>
      </c>
      <c r="D14" s="6">
        <v>99719</v>
      </c>
      <c r="E14" s="6">
        <v>5000</v>
      </c>
      <c r="F14" s="6" t="s">
        <v>414</v>
      </c>
      <c r="G14" s="6" t="s">
        <v>171</v>
      </c>
      <c r="H14" s="11">
        <v>44</v>
      </c>
      <c r="I14" s="6">
        <v>30</v>
      </c>
      <c r="J14" s="8"/>
      <c r="K14" s="8"/>
      <c r="L14" s="8"/>
      <c r="M14" s="11">
        <v>44</v>
      </c>
      <c r="N14" s="6"/>
      <c r="O14" s="8"/>
      <c r="P14" s="11">
        <v>44</v>
      </c>
      <c r="Q14" s="6"/>
      <c r="R14" s="8"/>
      <c r="S14" s="9">
        <f t="shared" si="0"/>
        <v>132</v>
      </c>
      <c r="T14" s="6">
        <f t="shared" si="1"/>
        <v>30</v>
      </c>
    </row>
    <row r="15" spans="1:20" ht="18" x14ac:dyDescent="0.35">
      <c r="A15" s="41"/>
      <c r="B15" s="43"/>
      <c r="C15" s="14" t="s">
        <v>395</v>
      </c>
      <c r="D15" s="6">
        <v>99719</v>
      </c>
      <c r="E15" s="6">
        <v>5000</v>
      </c>
      <c r="F15" s="6" t="s">
        <v>413</v>
      </c>
      <c r="G15" s="6" t="s">
        <v>171</v>
      </c>
      <c r="H15" s="11">
        <v>44</v>
      </c>
      <c r="I15" s="6">
        <v>0</v>
      </c>
      <c r="J15" s="8"/>
      <c r="K15" s="8" t="s">
        <v>57</v>
      </c>
      <c r="L15" s="8"/>
      <c r="M15" s="11">
        <v>44</v>
      </c>
      <c r="N15" s="6">
        <v>43</v>
      </c>
      <c r="O15" s="8"/>
      <c r="P15" s="11">
        <v>44</v>
      </c>
      <c r="Q15" s="6"/>
      <c r="R15" s="8"/>
      <c r="S15" s="9">
        <f t="shared" si="0"/>
        <v>132</v>
      </c>
      <c r="T15" s="6">
        <f t="shared" si="1"/>
        <v>43</v>
      </c>
    </row>
    <row r="16" spans="1:20" ht="18" x14ac:dyDescent="0.35">
      <c r="A16" s="6">
        <v>9</v>
      </c>
      <c r="B16" s="7" t="s">
        <v>34</v>
      </c>
      <c r="C16" s="6" t="s">
        <v>64</v>
      </c>
      <c r="D16" s="6">
        <v>90129</v>
      </c>
      <c r="E16" s="6">
        <v>2540</v>
      </c>
      <c r="F16" s="6" t="s">
        <v>49</v>
      </c>
      <c r="G16" s="6" t="s">
        <v>227</v>
      </c>
      <c r="H16" s="11">
        <v>124</v>
      </c>
      <c r="I16" s="6">
        <v>124</v>
      </c>
      <c r="J16" s="8"/>
      <c r="K16" s="8"/>
      <c r="L16" s="8"/>
      <c r="M16" s="11">
        <v>124</v>
      </c>
      <c r="N16" s="6">
        <v>124</v>
      </c>
      <c r="O16" s="8"/>
      <c r="P16" s="11">
        <v>124</v>
      </c>
      <c r="Q16" s="6"/>
      <c r="R16" s="8"/>
      <c r="S16" s="9">
        <f t="shared" si="0"/>
        <v>372</v>
      </c>
      <c r="T16" s="6">
        <f t="shared" si="1"/>
        <v>248</v>
      </c>
    </row>
    <row r="17" spans="1:20" ht="18" x14ac:dyDescent="0.35">
      <c r="A17" s="6">
        <v>10</v>
      </c>
      <c r="B17" s="7" t="s">
        <v>35</v>
      </c>
      <c r="C17" s="6" t="s">
        <v>19</v>
      </c>
      <c r="D17" s="6">
        <v>2122</v>
      </c>
      <c r="E17" s="6">
        <v>796.5</v>
      </c>
      <c r="F17" s="6" t="s">
        <v>359</v>
      </c>
      <c r="G17" s="6" t="s">
        <v>209</v>
      </c>
      <c r="H17" s="11">
        <v>146</v>
      </c>
      <c r="I17" s="6">
        <v>0</v>
      </c>
      <c r="J17" s="8"/>
      <c r="K17" s="8" t="s">
        <v>57</v>
      </c>
      <c r="L17" s="8"/>
      <c r="M17" s="11">
        <v>146</v>
      </c>
      <c r="N17" s="6">
        <v>0</v>
      </c>
      <c r="O17" s="8" t="s">
        <v>57</v>
      </c>
      <c r="P17" s="11">
        <v>146</v>
      </c>
      <c r="Q17" s="6"/>
      <c r="R17" s="8"/>
      <c r="S17" s="9">
        <f t="shared" si="0"/>
        <v>438</v>
      </c>
      <c r="T17" s="6">
        <f t="shared" si="1"/>
        <v>0</v>
      </c>
    </row>
    <row r="22" spans="1:20" x14ac:dyDescent="0.3">
      <c r="M22" t="s">
        <v>50</v>
      </c>
    </row>
  </sheetData>
  <mergeCells count="7">
    <mergeCell ref="A14:A15"/>
    <mergeCell ref="B14:B15"/>
    <mergeCell ref="A4:O4"/>
    <mergeCell ref="S4:T4"/>
    <mergeCell ref="H5:K5"/>
    <mergeCell ref="M5:O5"/>
    <mergeCell ref="P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2 TO 3</vt:lpstr>
      <vt:lpstr>3 TO 4</vt:lpstr>
      <vt:lpstr>4 TO 5</vt:lpstr>
      <vt:lpstr>5 TO 6</vt:lpstr>
      <vt:lpstr>6 TO 7</vt:lpstr>
      <vt:lpstr>7 TO 8</vt:lpstr>
      <vt:lpstr>8 to 9</vt:lpstr>
      <vt:lpstr>9 to 10</vt:lpstr>
      <vt:lpstr>10 to 11</vt:lpstr>
      <vt:lpstr>11 to 12</vt:lpstr>
      <vt:lpstr>12 to 13</vt:lpstr>
      <vt:lpstr>13 to 14</vt:lpstr>
      <vt:lpstr>15 to 16</vt:lpstr>
      <vt:lpstr>16 TO 17</vt:lpstr>
      <vt:lpstr>17 TO 18</vt:lpstr>
      <vt:lpstr>18 TO 19</vt:lpstr>
      <vt:lpstr>19 TO 20</vt:lpstr>
      <vt:lpstr>21 TO 22</vt:lpstr>
      <vt:lpstr>22 TO 23</vt:lpstr>
      <vt:lpstr>23 TO 24</vt:lpstr>
      <vt:lpstr> 24-25</vt:lpstr>
      <vt:lpstr> 25-26</vt:lpstr>
      <vt:lpstr> 26-27</vt:lpstr>
      <vt:lpstr>27-28</vt:lpstr>
      <vt:lpstr>28-29</vt:lpstr>
      <vt:lpstr>29-30</vt:lpstr>
      <vt:lpstr>30-31</vt:lpstr>
      <vt:lpstr>31-1</vt:lpstr>
      <vt:lpstr>01-02</vt:lpstr>
      <vt:lpstr>02-03</vt:lpstr>
      <vt:lpstr>03 TO 04</vt:lpstr>
      <vt:lpstr>04-05</vt:lpstr>
      <vt:lpstr>5-6</vt:lpstr>
      <vt:lpstr>6-7</vt:lpstr>
      <vt:lpstr>7-8</vt:lpstr>
      <vt:lpstr>8-9</vt:lpstr>
      <vt:lpstr>9-10</vt:lpstr>
      <vt:lpstr> 10-11</vt:lpstr>
      <vt:lpstr> 11-12</vt:lpstr>
      <vt:lpstr> 12-13</vt:lpstr>
      <vt:lpstr>13-14</vt:lpstr>
      <vt:lpstr> 14-15</vt:lpstr>
      <vt:lpstr>15-16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2026-03-05T05:39:25Z</dcterms:modified>
</cp:coreProperties>
</file>