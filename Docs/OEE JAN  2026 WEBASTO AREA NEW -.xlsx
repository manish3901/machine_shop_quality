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mingapl-my.sharepoint.com/personal/manish_globalaluminium_com/Documents/Skills/Web_dev/MOA/machine_shop/"/>
    </mc:Choice>
  </mc:AlternateContent>
  <xr:revisionPtr revIDLastSave="205" documentId="11_1A32881348EABE22C20A58495E631092629DBC33" xr6:coauthVersionLast="47" xr6:coauthVersionMax="47" xr10:uidLastSave="{C5B45D39-4A4F-47C8-83FD-5CE5ECD09B8F}"/>
  <bookViews>
    <workbookView xWindow="-108" yWindow="-108" windowWidth="23256" windowHeight="12456" tabRatio="607" firstSheet="1" activeTab="4" xr2:uid="{00000000-000D-0000-FFFF-FFFF00000000}"/>
  </bookViews>
  <sheets>
    <sheet name="Sheet2" sheetId="11" state="hidden" r:id="rId1"/>
    <sheet name="pareto " sheetId="15" r:id="rId2"/>
    <sheet name="JAN-26 (8hrs OEE)" sheetId="16" r:id="rId3"/>
    <sheet name="Copy" sheetId="26" r:id="rId4"/>
    <sheet name="Sheet3" sheetId="27" r:id="rId5"/>
    <sheet name="Sheet12" sheetId="25" state="hidden" r:id="rId6"/>
    <sheet name="Sheet11" sheetId="24" state="hidden" r:id="rId7"/>
    <sheet name="Sheet9" sheetId="22" state="hidden" r:id="rId8"/>
    <sheet name="Sheet10" sheetId="23" state="hidden" r:id="rId9"/>
    <sheet name="Sheet8" sheetId="20" state="hidden" r:id="rId10"/>
    <sheet name="Sheet7" sheetId="21" state="hidden" r:id="rId11"/>
    <sheet name="Sheet6" sheetId="17" state="hidden" r:id="rId12"/>
    <sheet name="Sheet5" sheetId="18" state="hidden" r:id="rId13"/>
    <sheet name="Sheet1" sheetId="10" state="hidden" r:id="rId14"/>
  </sheets>
  <definedNames>
    <definedName name="_xlnm._FilterDatabase" localSheetId="3" hidden="1">Copy!$A$10:$AV$437</definedName>
    <definedName name="_xlnm._FilterDatabase" localSheetId="2" hidden="1">'JAN-26 (8hrs OEE)'!$A$8:$AW$437</definedName>
    <definedName name="_xlnm.Print_Area" localSheetId="3">Copy!$A$1:$AV$609</definedName>
    <definedName name="_xlnm.Print_Area" localSheetId="2">'JAN-26 (8hrs OEE)'!$A$1:$AU$609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27" l="1"/>
  <c r="M25" i="27"/>
  <c r="P25" i="27" s="1"/>
  <c r="I25" i="27"/>
  <c r="O25" i="27" s="1"/>
  <c r="N24" i="27"/>
  <c r="N23" i="27" s="1"/>
  <c r="M24" i="27"/>
  <c r="M23" i="27" s="1"/>
  <c r="I24" i="27"/>
  <c r="L23" i="27"/>
  <c r="M13" i="27" s="1"/>
  <c r="K23" i="27"/>
  <c r="J23" i="27"/>
  <c r="K13" i="27" s="1"/>
  <c r="K7" i="27" s="1"/>
  <c r="Q15" i="27"/>
  <c r="U9" i="27"/>
  <c r="Q14" i="27"/>
  <c r="U8" i="27"/>
  <c r="N13" i="27"/>
  <c r="L13" i="27"/>
  <c r="I13" i="27"/>
  <c r="T7" i="27"/>
  <c r="S7" i="27"/>
  <c r="R7" i="27"/>
  <c r="P13" i="26"/>
  <c r="P14" i="26"/>
  <c r="Q12" i="26"/>
  <c r="U7" i="27" l="1"/>
  <c r="L7" i="27"/>
  <c r="M7" i="27"/>
  <c r="Q25" i="27"/>
  <c r="P24" i="27"/>
  <c r="P23" i="27" s="1"/>
  <c r="I23" i="27"/>
  <c r="O24" i="27"/>
  <c r="O23" i="27" s="1"/>
  <c r="Q437" i="26"/>
  <c r="P437" i="26" s="1"/>
  <c r="N437" i="26"/>
  <c r="AR436" i="26"/>
  <c r="AU436" i="26" s="1"/>
  <c r="AM436" i="26"/>
  <c r="Q436" i="26" s="1"/>
  <c r="AD436" i="26"/>
  <c r="N436" i="26"/>
  <c r="K436" i="26"/>
  <c r="AR435" i="26"/>
  <c r="AU435" i="26" s="1"/>
  <c r="AM435" i="26"/>
  <c r="Q435" i="26" s="1"/>
  <c r="AD435" i="26"/>
  <c r="N435" i="26"/>
  <c r="K435" i="26"/>
  <c r="AR434" i="26"/>
  <c r="AU434" i="26" s="1"/>
  <c r="AM434" i="26"/>
  <c r="Q434" i="26" s="1"/>
  <c r="AD434" i="26"/>
  <c r="N434" i="26"/>
  <c r="K434" i="26"/>
  <c r="AR433" i="26"/>
  <c r="AU433" i="26" s="1"/>
  <c r="AM433" i="26"/>
  <c r="Q433" i="26" s="1"/>
  <c r="AD433" i="26"/>
  <c r="N433" i="26"/>
  <c r="K433" i="26"/>
  <c r="AR432" i="26"/>
  <c r="AU432" i="26" s="1"/>
  <c r="AM432" i="26"/>
  <c r="Q432" i="26" s="1"/>
  <c r="AD432" i="26"/>
  <c r="N432" i="26"/>
  <c r="K432" i="26"/>
  <c r="AR431" i="26"/>
  <c r="AU431" i="26" s="1"/>
  <c r="AM431" i="26"/>
  <c r="Q431" i="26" s="1"/>
  <c r="AD431" i="26"/>
  <c r="N431" i="26"/>
  <c r="K431" i="26"/>
  <c r="AR430" i="26"/>
  <c r="AU430" i="26" s="1"/>
  <c r="AM430" i="26"/>
  <c r="AD430" i="26"/>
  <c r="Q430" i="26"/>
  <c r="N430" i="26"/>
  <c r="K430" i="26"/>
  <c r="AR429" i="26"/>
  <c r="AU429" i="26" s="1"/>
  <c r="AM429" i="26"/>
  <c r="AD429" i="26"/>
  <c r="Q429" i="26"/>
  <c r="N429" i="26"/>
  <c r="K429" i="26"/>
  <c r="AR428" i="26"/>
  <c r="AU428" i="26" s="1"/>
  <c r="AM428" i="26"/>
  <c r="Q428" i="26" s="1"/>
  <c r="AD428" i="26"/>
  <c r="N428" i="26"/>
  <c r="K428" i="26"/>
  <c r="AR427" i="26"/>
  <c r="AU427" i="26" s="1"/>
  <c r="AM427" i="26"/>
  <c r="AD427" i="26"/>
  <c r="Q427" i="26"/>
  <c r="N427" i="26"/>
  <c r="K427" i="26"/>
  <c r="AR426" i="26"/>
  <c r="AU426" i="26" s="1"/>
  <c r="AM426" i="26"/>
  <c r="Q426" i="26" s="1"/>
  <c r="AD426" i="26"/>
  <c r="N426" i="26"/>
  <c r="K426" i="26"/>
  <c r="AR425" i="26"/>
  <c r="AU425" i="26" s="1"/>
  <c r="AM425" i="26"/>
  <c r="Q425" i="26" s="1"/>
  <c r="P425" i="26" s="1"/>
  <c r="AS425" i="26" s="1"/>
  <c r="AD425" i="26"/>
  <c r="N425" i="26"/>
  <c r="K425" i="26"/>
  <c r="AR424" i="26"/>
  <c r="AU424" i="26" s="1"/>
  <c r="AM424" i="26"/>
  <c r="AD424" i="26"/>
  <c r="Q424" i="26"/>
  <c r="N424" i="26"/>
  <c r="K424" i="26"/>
  <c r="AR423" i="26"/>
  <c r="AU423" i="26" s="1"/>
  <c r="AM423" i="26"/>
  <c r="Q423" i="26" s="1"/>
  <c r="AD423" i="26"/>
  <c r="N423" i="26"/>
  <c r="K423" i="26"/>
  <c r="AR422" i="26"/>
  <c r="AU422" i="26" s="1"/>
  <c r="AM422" i="26"/>
  <c r="Q422" i="26" s="1"/>
  <c r="AD422" i="26"/>
  <c r="N422" i="26"/>
  <c r="K422" i="26"/>
  <c r="AR421" i="26"/>
  <c r="AU421" i="26" s="1"/>
  <c r="AM421" i="26"/>
  <c r="Q421" i="26" s="1"/>
  <c r="AD421" i="26"/>
  <c r="N421" i="26"/>
  <c r="K421" i="26"/>
  <c r="AR420" i="26"/>
  <c r="AU420" i="26" s="1"/>
  <c r="AM420" i="26"/>
  <c r="Q420" i="26" s="1"/>
  <c r="AD420" i="26"/>
  <c r="N420" i="26"/>
  <c r="K420" i="26"/>
  <c r="AR419" i="26"/>
  <c r="AU419" i="26" s="1"/>
  <c r="AM419" i="26"/>
  <c r="Q419" i="26" s="1"/>
  <c r="AD419" i="26"/>
  <c r="N419" i="26"/>
  <c r="K419" i="26"/>
  <c r="AR418" i="26"/>
  <c r="AU418" i="26" s="1"/>
  <c r="AM418" i="26"/>
  <c r="Q418" i="26" s="1"/>
  <c r="AD418" i="26"/>
  <c r="N418" i="26"/>
  <c r="K418" i="26"/>
  <c r="AR417" i="26"/>
  <c r="AU417" i="26" s="1"/>
  <c r="AM417" i="26"/>
  <c r="AD417" i="26"/>
  <c r="Q417" i="26"/>
  <c r="N417" i="26"/>
  <c r="K417" i="26"/>
  <c r="AR416" i="26"/>
  <c r="AU416" i="26" s="1"/>
  <c r="AM416" i="26"/>
  <c r="Q416" i="26" s="1"/>
  <c r="AD416" i="26"/>
  <c r="N416" i="26"/>
  <c r="K416" i="26"/>
  <c r="AR415" i="26"/>
  <c r="AU415" i="26" s="1"/>
  <c r="AM415" i="26"/>
  <c r="Q415" i="26" s="1"/>
  <c r="AD415" i="26"/>
  <c r="N415" i="26"/>
  <c r="K415" i="26"/>
  <c r="AR414" i="26"/>
  <c r="AU414" i="26" s="1"/>
  <c r="AM414" i="26"/>
  <c r="Q414" i="26" s="1"/>
  <c r="AD414" i="26"/>
  <c r="N414" i="26"/>
  <c r="K414" i="26"/>
  <c r="AO413" i="26"/>
  <c r="AR413" i="26" s="1"/>
  <c r="AU413" i="26" s="1"/>
  <c r="AM413" i="26"/>
  <c r="Q413" i="26" s="1"/>
  <c r="AD413" i="26"/>
  <c r="N413" i="26"/>
  <c r="K413" i="26"/>
  <c r="AR412" i="26"/>
  <c r="AU412" i="26" s="1"/>
  <c r="AM412" i="26"/>
  <c r="Q412" i="26" s="1"/>
  <c r="AD412" i="26"/>
  <c r="N412" i="26"/>
  <c r="K412" i="26"/>
  <c r="AO411" i="26"/>
  <c r="AT411" i="26" s="1"/>
  <c r="AM411" i="26"/>
  <c r="Q411" i="26" s="1"/>
  <c r="AD411" i="26"/>
  <c r="N411" i="26"/>
  <c r="K411" i="26"/>
  <c r="AO410" i="26"/>
  <c r="AT410" i="26" s="1"/>
  <c r="AM410" i="26"/>
  <c r="Q410" i="26" s="1"/>
  <c r="AD410" i="26"/>
  <c r="N410" i="26"/>
  <c r="K410" i="26"/>
  <c r="AO409" i="26"/>
  <c r="AM409" i="26"/>
  <c r="Q409" i="26" s="1"/>
  <c r="AD409" i="26"/>
  <c r="N409" i="26"/>
  <c r="K409" i="26"/>
  <c r="AR408" i="26"/>
  <c r="AU408" i="26" s="1"/>
  <c r="AM408" i="26"/>
  <c r="Q408" i="26" s="1"/>
  <c r="AD408" i="26"/>
  <c r="N408" i="26"/>
  <c r="K408" i="26"/>
  <c r="AR407" i="26"/>
  <c r="AU407" i="26" s="1"/>
  <c r="AM407" i="26"/>
  <c r="Q407" i="26" s="1"/>
  <c r="AD407" i="26"/>
  <c r="N407" i="26"/>
  <c r="K407" i="26"/>
  <c r="AR406" i="26"/>
  <c r="AU406" i="26" s="1"/>
  <c r="AM406" i="26"/>
  <c r="Q406" i="26" s="1"/>
  <c r="AD406" i="26"/>
  <c r="N406" i="26"/>
  <c r="K406" i="26"/>
  <c r="AR405" i="26"/>
  <c r="AU405" i="26" s="1"/>
  <c r="AM405" i="26"/>
  <c r="Q405" i="26" s="1"/>
  <c r="AD405" i="26"/>
  <c r="N405" i="26"/>
  <c r="K405" i="26"/>
  <c r="AR404" i="26"/>
  <c r="AU404" i="26" s="1"/>
  <c r="AM404" i="26"/>
  <c r="Q404" i="26" s="1"/>
  <c r="AD404" i="26"/>
  <c r="N404" i="26"/>
  <c r="K404" i="26"/>
  <c r="AR403" i="26"/>
  <c r="AU403" i="26" s="1"/>
  <c r="AM403" i="26"/>
  <c r="Q403" i="26" s="1"/>
  <c r="AD403" i="26"/>
  <c r="N403" i="26"/>
  <c r="K403" i="26"/>
  <c r="AR402" i="26"/>
  <c r="AU402" i="26" s="1"/>
  <c r="AM402" i="26"/>
  <c r="Q402" i="26" s="1"/>
  <c r="AD402" i="26"/>
  <c r="N402" i="26"/>
  <c r="K402" i="26"/>
  <c r="AR401" i="26"/>
  <c r="AU401" i="26" s="1"/>
  <c r="AM401" i="26"/>
  <c r="Q401" i="26" s="1"/>
  <c r="AD401" i="26"/>
  <c r="N401" i="26"/>
  <c r="K401" i="26"/>
  <c r="AR400" i="26"/>
  <c r="AU400" i="26" s="1"/>
  <c r="AM400" i="26"/>
  <c r="Q400" i="26" s="1"/>
  <c r="AD400" i="26"/>
  <c r="N400" i="26"/>
  <c r="K400" i="26"/>
  <c r="AR399" i="26"/>
  <c r="AU399" i="26" s="1"/>
  <c r="AM399" i="26"/>
  <c r="Q399" i="26" s="1"/>
  <c r="AD399" i="26"/>
  <c r="N399" i="26"/>
  <c r="K399" i="26"/>
  <c r="AR398" i="26"/>
  <c r="AU398" i="26" s="1"/>
  <c r="AM398" i="26"/>
  <c r="Q398" i="26" s="1"/>
  <c r="AD398" i="26"/>
  <c r="N398" i="26"/>
  <c r="K398" i="26"/>
  <c r="AR397" i="26"/>
  <c r="AU397" i="26" s="1"/>
  <c r="AM397" i="26"/>
  <c r="Q397" i="26" s="1"/>
  <c r="AD397" i="26"/>
  <c r="N397" i="26"/>
  <c r="K397" i="26"/>
  <c r="AR396" i="26"/>
  <c r="AU396" i="26" s="1"/>
  <c r="AM396" i="26"/>
  <c r="Q396" i="26" s="1"/>
  <c r="AD396" i="26"/>
  <c r="N396" i="26"/>
  <c r="K396" i="26"/>
  <c r="AR395" i="26"/>
  <c r="AU395" i="26" s="1"/>
  <c r="AM395" i="26"/>
  <c r="Q395" i="26" s="1"/>
  <c r="AD395" i="26"/>
  <c r="N395" i="26"/>
  <c r="K395" i="26"/>
  <c r="AR394" i="26"/>
  <c r="AU394" i="26" s="1"/>
  <c r="AM394" i="26"/>
  <c r="Q394" i="26" s="1"/>
  <c r="AD394" i="26"/>
  <c r="N394" i="26"/>
  <c r="K394" i="26"/>
  <c r="AR393" i="26"/>
  <c r="AU393" i="26" s="1"/>
  <c r="AM393" i="26"/>
  <c r="Q393" i="26" s="1"/>
  <c r="AD393" i="26"/>
  <c r="N393" i="26"/>
  <c r="K393" i="26"/>
  <c r="AR392" i="26"/>
  <c r="AU392" i="26" s="1"/>
  <c r="AM392" i="26"/>
  <c r="Q392" i="26" s="1"/>
  <c r="AD392" i="26"/>
  <c r="P392" i="26" s="1"/>
  <c r="AS392" i="26" s="1"/>
  <c r="N392" i="26"/>
  <c r="K392" i="26"/>
  <c r="AR391" i="26"/>
  <c r="AU391" i="26" s="1"/>
  <c r="AM391" i="26"/>
  <c r="Q391" i="26" s="1"/>
  <c r="AD391" i="26"/>
  <c r="N391" i="26"/>
  <c r="K391" i="26"/>
  <c r="AR390" i="26"/>
  <c r="AU390" i="26" s="1"/>
  <c r="AM390" i="26"/>
  <c r="Q390" i="26" s="1"/>
  <c r="AD390" i="26"/>
  <c r="N390" i="26"/>
  <c r="K390" i="26"/>
  <c r="AR389" i="26"/>
  <c r="AU389" i="26" s="1"/>
  <c r="AM389" i="26"/>
  <c r="Q389" i="26" s="1"/>
  <c r="AD389" i="26"/>
  <c r="N389" i="26"/>
  <c r="K389" i="26"/>
  <c r="AR388" i="26"/>
  <c r="AU388" i="26" s="1"/>
  <c r="AM388" i="26"/>
  <c r="Q388" i="26" s="1"/>
  <c r="AD388" i="26"/>
  <c r="N388" i="26"/>
  <c r="K388" i="26"/>
  <c r="AR387" i="26"/>
  <c r="AU387" i="26" s="1"/>
  <c r="AM387" i="26"/>
  <c r="Q387" i="26" s="1"/>
  <c r="AD387" i="26"/>
  <c r="N387" i="26"/>
  <c r="K387" i="26"/>
  <c r="AR386" i="26"/>
  <c r="AU386" i="26" s="1"/>
  <c r="AM386" i="26"/>
  <c r="Q386" i="26" s="1"/>
  <c r="AD386" i="26"/>
  <c r="N386" i="26"/>
  <c r="K386" i="26"/>
  <c r="AR385" i="26"/>
  <c r="AU385" i="26" s="1"/>
  <c r="AM385" i="26"/>
  <c r="Q385" i="26" s="1"/>
  <c r="AD385" i="26"/>
  <c r="N385" i="26"/>
  <c r="K385" i="26"/>
  <c r="AR384" i="26"/>
  <c r="AU384" i="26" s="1"/>
  <c r="AM384" i="26"/>
  <c r="Q384" i="26" s="1"/>
  <c r="AD384" i="26"/>
  <c r="P384" i="26" s="1"/>
  <c r="AS384" i="26" s="1"/>
  <c r="N384" i="26"/>
  <c r="K384" i="26"/>
  <c r="AR383" i="26"/>
  <c r="AU383" i="26" s="1"/>
  <c r="AM383" i="26"/>
  <c r="Q383" i="26" s="1"/>
  <c r="AD383" i="26"/>
  <c r="N383" i="26"/>
  <c r="K383" i="26"/>
  <c r="AR382" i="26"/>
  <c r="AU382" i="26" s="1"/>
  <c r="AM382" i="26"/>
  <c r="Q382" i="26" s="1"/>
  <c r="AD382" i="26"/>
  <c r="N382" i="26"/>
  <c r="K382" i="26"/>
  <c r="AR381" i="26"/>
  <c r="AU381" i="26" s="1"/>
  <c r="AM381" i="26"/>
  <c r="Q381" i="26" s="1"/>
  <c r="AD381" i="26"/>
  <c r="N381" i="26"/>
  <c r="K381" i="26"/>
  <c r="AR380" i="26"/>
  <c r="AU380" i="26" s="1"/>
  <c r="AM380" i="26"/>
  <c r="Q380" i="26" s="1"/>
  <c r="AD380" i="26"/>
  <c r="N380" i="26"/>
  <c r="K380" i="26"/>
  <c r="AR379" i="26"/>
  <c r="AU379" i="26" s="1"/>
  <c r="AM379" i="26"/>
  <c r="Q379" i="26" s="1"/>
  <c r="AD379" i="26"/>
  <c r="N379" i="26"/>
  <c r="K379" i="26"/>
  <c r="AR378" i="26"/>
  <c r="AU378" i="26" s="1"/>
  <c r="AM378" i="26"/>
  <c r="Q378" i="26" s="1"/>
  <c r="AD378" i="26"/>
  <c r="N378" i="26"/>
  <c r="K378" i="26"/>
  <c r="AR377" i="26"/>
  <c r="AU377" i="26" s="1"/>
  <c r="AM377" i="26"/>
  <c r="Q377" i="26" s="1"/>
  <c r="AD377" i="26"/>
  <c r="N377" i="26"/>
  <c r="K377" i="26"/>
  <c r="AR376" i="26"/>
  <c r="AU376" i="26" s="1"/>
  <c r="AM376" i="26"/>
  <c r="Q376" i="26" s="1"/>
  <c r="AD376" i="26"/>
  <c r="N376" i="26"/>
  <c r="K376" i="26"/>
  <c r="AR375" i="26"/>
  <c r="AU375" i="26" s="1"/>
  <c r="AM375" i="26"/>
  <c r="Q375" i="26" s="1"/>
  <c r="AD375" i="26"/>
  <c r="N375" i="26"/>
  <c r="K375" i="26"/>
  <c r="AR374" i="26"/>
  <c r="AU374" i="26" s="1"/>
  <c r="AM374" i="26"/>
  <c r="Q374" i="26" s="1"/>
  <c r="AD374" i="26"/>
  <c r="N374" i="26"/>
  <c r="K374" i="26"/>
  <c r="AR373" i="26"/>
  <c r="AU373" i="26" s="1"/>
  <c r="AM373" i="26"/>
  <c r="Q373" i="26" s="1"/>
  <c r="AD373" i="26"/>
  <c r="N373" i="26"/>
  <c r="K373" i="26"/>
  <c r="AR372" i="26"/>
  <c r="AU372" i="26" s="1"/>
  <c r="AM372" i="26"/>
  <c r="Q372" i="26" s="1"/>
  <c r="AD372" i="26"/>
  <c r="N372" i="26"/>
  <c r="K372" i="26"/>
  <c r="AR371" i="26"/>
  <c r="AU371" i="26" s="1"/>
  <c r="AM371" i="26"/>
  <c r="Q371" i="26" s="1"/>
  <c r="AD371" i="26"/>
  <c r="N371" i="26"/>
  <c r="K371" i="26"/>
  <c r="AR370" i="26"/>
  <c r="AU370" i="26" s="1"/>
  <c r="AM370" i="26"/>
  <c r="Q370" i="26" s="1"/>
  <c r="AD370" i="26"/>
  <c r="N370" i="26"/>
  <c r="K370" i="26"/>
  <c r="AR369" i="26"/>
  <c r="AU369" i="26" s="1"/>
  <c r="AM369" i="26"/>
  <c r="Q369" i="26" s="1"/>
  <c r="AD369" i="26"/>
  <c r="N369" i="26"/>
  <c r="K369" i="26"/>
  <c r="AR368" i="26"/>
  <c r="AU368" i="26" s="1"/>
  <c r="AM368" i="26"/>
  <c r="Q368" i="26" s="1"/>
  <c r="AD368" i="26"/>
  <c r="N368" i="26"/>
  <c r="K368" i="26"/>
  <c r="AR367" i="26"/>
  <c r="AU367" i="26" s="1"/>
  <c r="AM367" i="26"/>
  <c r="Q367" i="26" s="1"/>
  <c r="AD367" i="26"/>
  <c r="N367" i="26"/>
  <c r="K367" i="26"/>
  <c r="AR366" i="26"/>
  <c r="AU366" i="26" s="1"/>
  <c r="AM366" i="26"/>
  <c r="Q366" i="26" s="1"/>
  <c r="AD366" i="26"/>
  <c r="N366" i="26"/>
  <c r="K366" i="26"/>
  <c r="AR365" i="26"/>
  <c r="AU365" i="26" s="1"/>
  <c r="AM365" i="26"/>
  <c r="Q365" i="26" s="1"/>
  <c r="AD365" i="26"/>
  <c r="N365" i="26"/>
  <c r="K365" i="26"/>
  <c r="AR364" i="26"/>
  <c r="AU364" i="26" s="1"/>
  <c r="AM364" i="26"/>
  <c r="Q364" i="26" s="1"/>
  <c r="AD364" i="26"/>
  <c r="N364" i="26"/>
  <c r="K364" i="26"/>
  <c r="AR363" i="26"/>
  <c r="AU363" i="26" s="1"/>
  <c r="AM363" i="26"/>
  <c r="Q363" i="26" s="1"/>
  <c r="AD363" i="26"/>
  <c r="N363" i="26"/>
  <c r="K363" i="26"/>
  <c r="AR362" i="26"/>
  <c r="AU362" i="26" s="1"/>
  <c r="AM362" i="26"/>
  <c r="Q362" i="26" s="1"/>
  <c r="AD362" i="26"/>
  <c r="N362" i="26"/>
  <c r="K362" i="26"/>
  <c r="AR361" i="26"/>
  <c r="AU361" i="26" s="1"/>
  <c r="AM361" i="26"/>
  <c r="Q361" i="26" s="1"/>
  <c r="AD361" i="26"/>
  <c r="N361" i="26"/>
  <c r="K361" i="26"/>
  <c r="AR360" i="26"/>
  <c r="AU360" i="26" s="1"/>
  <c r="AM360" i="26"/>
  <c r="Q360" i="26" s="1"/>
  <c r="AD360" i="26"/>
  <c r="N360" i="26"/>
  <c r="K360" i="26"/>
  <c r="AR359" i="26"/>
  <c r="AU359" i="26" s="1"/>
  <c r="AM359" i="26"/>
  <c r="Q359" i="26" s="1"/>
  <c r="AD359" i="26"/>
  <c r="N359" i="26"/>
  <c r="K359" i="26"/>
  <c r="AR358" i="26"/>
  <c r="AU358" i="26" s="1"/>
  <c r="AM358" i="26"/>
  <c r="Q358" i="26" s="1"/>
  <c r="AD358" i="26"/>
  <c r="P358" i="26" s="1"/>
  <c r="AS358" i="26" s="1"/>
  <c r="N358" i="26"/>
  <c r="K358" i="26"/>
  <c r="AN358" i="26" s="1"/>
  <c r="AT358" i="26" s="1"/>
  <c r="AV358" i="26" s="1"/>
  <c r="AR357" i="26"/>
  <c r="AU357" i="26" s="1"/>
  <c r="AM357" i="26"/>
  <c r="Q357" i="26" s="1"/>
  <c r="AD357" i="26"/>
  <c r="N357" i="26"/>
  <c r="K357" i="26"/>
  <c r="AR356" i="26"/>
  <c r="AU356" i="26" s="1"/>
  <c r="AM356" i="26"/>
  <c r="Q356" i="26" s="1"/>
  <c r="AD356" i="26"/>
  <c r="N356" i="26"/>
  <c r="K356" i="26"/>
  <c r="AR355" i="26"/>
  <c r="AU355" i="26" s="1"/>
  <c r="AM355" i="26"/>
  <c r="Q355" i="26" s="1"/>
  <c r="AD355" i="26"/>
  <c r="N355" i="26"/>
  <c r="K355" i="26"/>
  <c r="AR354" i="26"/>
  <c r="AU354" i="26" s="1"/>
  <c r="AM354" i="26"/>
  <c r="Q354" i="26" s="1"/>
  <c r="AD354" i="26"/>
  <c r="N354" i="26"/>
  <c r="K354" i="26"/>
  <c r="AR353" i="26"/>
  <c r="AU353" i="26" s="1"/>
  <c r="AM353" i="26"/>
  <c r="Q353" i="26" s="1"/>
  <c r="AD353" i="26"/>
  <c r="N353" i="26"/>
  <c r="K353" i="26"/>
  <c r="AR352" i="26"/>
  <c r="AU352" i="26" s="1"/>
  <c r="AM352" i="26"/>
  <c r="Q352" i="26" s="1"/>
  <c r="AD352" i="26"/>
  <c r="N352" i="26"/>
  <c r="K352" i="26"/>
  <c r="AR351" i="26"/>
  <c r="AU351" i="26" s="1"/>
  <c r="AM351" i="26"/>
  <c r="Q351" i="26" s="1"/>
  <c r="AD351" i="26"/>
  <c r="N351" i="26"/>
  <c r="K351" i="26"/>
  <c r="AR350" i="26"/>
  <c r="AU350" i="26" s="1"/>
  <c r="AM350" i="26"/>
  <c r="Q350" i="26" s="1"/>
  <c r="AD350" i="26"/>
  <c r="N350" i="26"/>
  <c r="K350" i="26"/>
  <c r="AR349" i="26"/>
  <c r="AU349" i="26" s="1"/>
  <c r="AM349" i="26"/>
  <c r="Q349" i="26" s="1"/>
  <c r="AD349" i="26"/>
  <c r="N349" i="26"/>
  <c r="K349" i="26"/>
  <c r="AR348" i="26"/>
  <c r="AU348" i="26" s="1"/>
  <c r="AM348" i="26"/>
  <c r="Q348" i="26" s="1"/>
  <c r="AD348" i="26"/>
  <c r="N348" i="26"/>
  <c r="K348" i="26"/>
  <c r="AR347" i="26"/>
  <c r="AU347" i="26" s="1"/>
  <c r="AM347" i="26"/>
  <c r="Q347" i="26" s="1"/>
  <c r="AD347" i="26"/>
  <c r="N347" i="26"/>
  <c r="K347" i="26"/>
  <c r="AR346" i="26"/>
  <c r="AU346" i="26" s="1"/>
  <c r="AM346" i="26"/>
  <c r="Q346" i="26" s="1"/>
  <c r="AD346" i="26"/>
  <c r="N346" i="26"/>
  <c r="K346" i="26"/>
  <c r="AR345" i="26"/>
  <c r="AU345" i="26" s="1"/>
  <c r="AM345" i="26"/>
  <c r="Q345" i="26" s="1"/>
  <c r="AD345" i="26"/>
  <c r="N345" i="26"/>
  <c r="K345" i="26"/>
  <c r="AR344" i="26"/>
  <c r="AU344" i="26" s="1"/>
  <c r="AM344" i="26"/>
  <c r="Q344" i="26" s="1"/>
  <c r="AD344" i="26"/>
  <c r="N344" i="26"/>
  <c r="K344" i="26"/>
  <c r="AR343" i="26"/>
  <c r="AU343" i="26" s="1"/>
  <c r="AM343" i="26"/>
  <c r="Q343" i="26" s="1"/>
  <c r="AD343" i="26"/>
  <c r="N343" i="26"/>
  <c r="K343" i="26"/>
  <c r="AR342" i="26"/>
  <c r="AU342" i="26" s="1"/>
  <c r="AM342" i="26"/>
  <c r="Q342" i="26" s="1"/>
  <c r="AD342" i="26"/>
  <c r="N342" i="26"/>
  <c r="K342" i="26"/>
  <c r="AR341" i="26"/>
  <c r="AU341" i="26" s="1"/>
  <c r="AM341" i="26"/>
  <c r="Q341" i="26" s="1"/>
  <c r="AD341" i="26"/>
  <c r="N341" i="26"/>
  <c r="K341" i="26"/>
  <c r="AR340" i="26"/>
  <c r="AU340" i="26" s="1"/>
  <c r="AM340" i="26"/>
  <c r="Q340" i="26" s="1"/>
  <c r="AD340" i="26"/>
  <c r="N340" i="26"/>
  <c r="K340" i="26"/>
  <c r="AR339" i="26"/>
  <c r="AU339" i="26" s="1"/>
  <c r="AM339" i="26"/>
  <c r="Q339" i="26" s="1"/>
  <c r="AD339" i="26"/>
  <c r="N339" i="26"/>
  <c r="K339" i="26"/>
  <c r="AR338" i="26"/>
  <c r="AU338" i="26" s="1"/>
  <c r="AM338" i="26"/>
  <c r="Q338" i="26" s="1"/>
  <c r="AD338" i="26"/>
  <c r="N338" i="26"/>
  <c r="K338" i="26"/>
  <c r="AR337" i="26"/>
  <c r="AU337" i="26" s="1"/>
  <c r="AM337" i="26"/>
  <c r="Q337" i="26" s="1"/>
  <c r="AD337" i="26"/>
  <c r="N337" i="26"/>
  <c r="K337" i="26"/>
  <c r="AR336" i="26"/>
  <c r="AU336" i="26" s="1"/>
  <c r="AM336" i="26"/>
  <c r="Q336" i="26" s="1"/>
  <c r="AD336" i="26"/>
  <c r="N336" i="26"/>
  <c r="K336" i="26"/>
  <c r="AR335" i="26"/>
  <c r="AU335" i="26" s="1"/>
  <c r="AM335" i="26"/>
  <c r="Q335" i="26" s="1"/>
  <c r="AD335" i="26"/>
  <c r="N335" i="26"/>
  <c r="K335" i="26"/>
  <c r="AR334" i="26"/>
  <c r="AU334" i="26" s="1"/>
  <c r="AM334" i="26"/>
  <c r="Q334" i="26" s="1"/>
  <c r="AD334" i="26"/>
  <c r="N334" i="26"/>
  <c r="K334" i="26"/>
  <c r="AR333" i="26"/>
  <c r="AU333" i="26" s="1"/>
  <c r="AM333" i="26"/>
  <c r="Q333" i="26" s="1"/>
  <c r="AD333" i="26"/>
  <c r="N333" i="26"/>
  <c r="K333" i="26"/>
  <c r="AR332" i="26"/>
  <c r="AU332" i="26" s="1"/>
  <c r="AM332" i="26"/>
  <c r="Q332" i="26" s="1"/>
  <c r="AD332" i="26"/>
  <c r="N332" i="26"/>
  <c r="K332" i="26"/>
  <c r="AR331" i="26"/>
  <c r="AU331" i="26" s="1"/>
  <c r="AM331" i="26"/>
  <c r="AD331" i="26"/>
  <c r="Q331" i="26"/>
  <c r="N331" i="26"/>
  <c r="K331" i="26"/>
  <c r="AR330" i="26"/>
  <c r="AU330" i="26" s="1"/>
  <c r="AM330" i="26"/>
  <c r="Q330" i="26" s="1"/>
  <c r="AD330" i="26"/>
  <c r="N330" i="26"/>
  <c r="K330" i="26"/>
  <c r="AR329" i="26"/>
  <c r="AU329" i="26" s="1"/>
  <c r="AM329" i="26"/>
  <c r="Q329" i="26" s="1"/>
  <c r="AD329" i="26"/>
  <c r="N329" i="26"/>
  <c r="K329" i="26"/>
  <c r="AR328" i="26"/>
  <c r="AU328" i="26" s="1"/>
  <c r="AM328" i="26"/>
  <c r="Q328" i="26" s="1"/>
  <c r="AD328" i="26"/>
  <c r="N328" i="26"/>
  <c r="K328" i="26"/>
  <c r="AR327" i="26"/>
  <c r="AU327" i="26" s="1"/>
  <c r="AM327" i="26"/>
  <c r="Q327" i="26" s="1"/>
  <c r="AD327" i="26"/>
  <c r="N327" i="26"/>
  <c r="K327" i="26"/>
  <c r="AR326" i="26"/>
  <c r="AU326" i="26" s="1"/>
  <c r="AM326" i="26"/>
  <c r="AD326" i="26"/>
  <c r="Q326" i="26"/>
  <c r="N326" i="26"/>
  <c r="K326" i="26"/>
  <c r="AR325" i="26"/>
  <c r="AU325" i="26" s="1"/>
  <c r="AM325" i="26"/>
  <c r="Q325" i="26" s="1"/>
  <c r="AD325" i="26"/>
  <c r="N325" i="26"/>
  <c r="K325" i="26"/>
  <c r="AR324" i="26"/>
  <c r="AU324" i="26" s="1"/>
  <c r="AM324" i="26"/>
  <c r="Q324" i="26" s="1"/>
  <c r="AD324" i="26"/>
  <c r="N324" i="26"/>
  <c r="K324" i="26"/>
  <c r="AR323" i="26"/>
  <c r="AU323" i="26" s="1"/>
  <c r="AM323" i="26"/>
  <c r="Q323" i="26" s="1"/>
  <c r="AD323" i="26"/>
  <c r="N323" i="26"/>
  <c r="K323" i="26"/>
  <c r="AR322" i="26"/>
  <c r="AU322" i="26" s="1"/>
  <c r="AM322" i="26"/>
  <c r="Q322" i="26" s="1"/>
  <c r="AD322" i="26"/>
  <c r="N322" i="26"/>
  <c r="K322" i="26"/>
  <c r="AR321" i="26"/>
  <c r="AU321" i="26" s="1"/>
  <c r="AM321" i="26"/>
  <c r="Q321" i="26" s="1"/>
  <c r="AD321" i="26"/>
  <c r="N321" i="26"/>
  <c r="K321" i="26"/>
  <c r="AR320" i="26"/>
  <c r="AU320" i="26" s="1"/>
  <c r="AM320" i="26"/>
  <c r="Q320" i="26" s="1"/>
  <c r="AD320" i="26"/>
  <c r="N320" i="26"/>
  <c r="K320" i="26"/>
  <c r="AU319" i="26"/>
  <c r="AM319" i="26"/>
  <c r="Q319" i="26" s="1"/>
  <c r="AD319" i="26"/>
  <c r="N319" i="26"/>
  <c r="K319" i="26"/>
  <c r="AR318" i="26"/>
  <c r="AU318" i="26" s="1"/>
  <c r="AM318" i="26"/>
  <c r="Q318" i="26" s="1"/>
  <c r="AD318" i="26"/>
  <c r="N318" i="26"/>
  <c r="K318" i="26"/>
  <c r="AR317" i="26"/>
  <c r="AU317" i="26" s="1"/>
  <c r="AM317" i="26"/>
  <c r="Q317" i="26" s="1"/>
  <c r="AD317" i="26"/>
  <c r="N317" i="26"/>
  <c r="K317" i="26"/>
  <c r="AR316" i="26"/>
  <c r="AU316" i="26" s="1"/>
  <c r="AM316" i="26"/>
  <c r="Q316" i="26" s="1"/>
  <c r="AD316" i="26"/>
  <c r="N316" i="26"/>
  <c r="K316" i="26"/>
  <c r="AR315" i="26"/>
  <c r="AU315" i="26" s="1"/>
  <c r="AM315" i="26"/>
  <c r="Q315" i="26" s="1"/>
  <c r="AD315" i="26"/>
  <c r="N315" i="26"/>
  <c r="K315" i="26"/>
  <c r="AO314" i="26"/>
  <c r="AM314" i="26"/>
  <c r="Q314" i="26" s="1"/>
  <c r="AD314" i="26"/>
  <c r="N314" i="26"/>
  <c r="K314" i="26"/>
  <c r="AO313" i="26"/>
  <c r="AR313" i="26" s="1"/>
  <c r="AU313" i="26" s="1"/>
  <c r="AM313" i="26"/>
  <c r="Q313" i="26" s="1"/>
  <c r="AD313" i="26"/>
  <c r="N313" i="26"/>
  <c r="K313" i="26"/>
  <c r="AR312" i="26"/>
  <c r="AU312" i="26" s="1"/>
  <c r="AM312" i="26"/>
  <c r="Q312" i="26" s="1"/>
  <c r="AD312" i="26"/>
  <c r="N312" i="26"/>
  <c r="K312" i="26"/>
  <c r="AR311" i="26"/>
  <c r="AU311" i="26" s="1"/>
  <c r="AM311" i="26"/>
  <c r="Q311" i="26" s="1"/>
  <c r="AD311" i="26"/>
  <c r="N311" i="26"/>
  <c r="K311" i="26"/>
  <c r="AR310" i="26"/>
  <c r="AU310" i="26" s="1"/>
  <c r="AM310" i="26"/>
  <c r="Q310" i="26" s="1"/>
  <c r="AD310" i="26"/>
  <c r="N310" i="26"/>
  <c r="K310" i="26"/>
  <c r="AR309" i="26"/>
  <c r="AU309" i="26" s="1"/>
  <c r="AM309" i="26"/>
  <c r="Q309" i="26" s="1"/>
  <c r="AD309" i="26"/>
  <c r="N309" i="26"/>
  <c r="K309" i="26"/>
  <c r="AR308" i="26"/>
  <c r="AU308" i="26" s="1"/>
  <c r="AM308" i="26"/>
  <c r="AD308" i="26"/>
  <c r="Q308" i="26"/>
  <c r="N308" i="26"/>
  <c r="K308" i="26"/>
  <c r="AR307" i="26"/>
  <c r="AU307" i="26" s="1"/>
  <c r="AM307" i="26"/>
  <c r="Q307" i="26" s="1"/>
  <c r="AD307" i="26"/>
  <c r="N307" i="26"/>
  <c r="K307" i="26"/>
  <c r="AR306" i="26"/>
  <c r="AU306" i="26" s="1"/>
  <c r="AM306" i="26"/>
  <c r="Q306" i="26" s="1"/>
  <c r="AD306" i="26"/>
  <c r="N306" i="26"/>
  <c r="K306" i="26"/>
  <c r="AR305" i="26"/>
  <c r="AU305" i="26" s="1"/>
  <c r="AM305" i="26"/>
  <c r="Q305" i="26" s="1"/>
  <c r="AD305" i="26"/>
  <c r="N305" i="26"/>
  <c r="K305" i="26"/>
  <c r="AR304" i="26"/>
  <c r="AU304" i="26" s="1"/>
  <c r="AM304" i="26"/>
  <c r="Q304" i="26" s="1"/>
  <c r="AD304" i="26"/>
  <c r="N304" i="26"/>
  <c r="K304" i="26"/>
  <c r="AR303" i="26"/>
  <c r="AU303" i="26" s="1"/>
  <c r="AM303" i="26"/>
  <c r="Q303" i="26" s="1"/>
  <c r="AD303" i="26"/>
  <c r="N303" i="26"/>
  <c r="K303" i="26"/>
  <c r="AR302" i="26"/>
  <c r="AU302" i="26" s="1"/>
  <c r="AM302" i="26"/>
  <c r="Q302" i="26" s="1"/>
  <c r="AD302" i="26"/>
  <c r="N302" i="26"/>
  <c r="K302" i="26"/>
  <c r="AR301" i="26"/>
  <c r="AU301" i="26" s="1"/>
  <c r="AM301" i="26"/>
  <c r="AD301" i="26"/>
  <c r="Q301" i="26"/>
  <c r="N301" i="26"/>
  <c r="K301" i="26"/>
  <c r="AR300" i="26"/>
  <c r="AU300" i="26" s="1"/>
  <c r="AM300" i="26"/>
  <c r="Q300" i="26" s="1"/>
  <c r="AD300" i="26"/>
  <c r="N300" i="26"/>
  <c r="K300" i="26"/>
  <c r="AO299" i="26"/>
  <c r="AM299" i="26"/>
  <c r="Q299" i="26" s="1"/>
  <c r="AD299" i="26"/>
  <c r="N299" i="26"/>
  <c r="K299" i="26"/>
  <c r="AO298" i="26"/>
  <c r="AR298" i="26" s="1"/>
  <c r="AU298" i="26" s="1"/>
  <c r="AM298" i="26"/>
  <c r="Q298" i="26" s="1"/>
  <c r="AD298" i="26"/>
  <c r="N298" i="26"/>
  <c r="K298" i="26"/>
  <c r="AO297" i="26"/>
  <c r="AR297" i="26" s="1"/>
  <c r="AU297" i="26" s="1"/>
  <c r="AM297" i="26"/>
  <c r="Q297" i="26" s="1"/>
  <c r="AD297" i="26"/>
  <c r="N297" i="26"/>
  <c r="K297" i="26"/>
  <c r="AR296" i="26"/>
  <c r="AU296" i="26" s="1"/>
  <c r="AM296" i="26"/>
  <c r="Q296" i="26" s="1"/>
  <c r="AD296" i="26"/>
  <c r="N296" i="26"/>
  <c r="K296" i="26"/>
  <c r="AR295" i="26"/>
  <c r="AU295" i="26" s="1"/>
  <c r="AM295" i="26"/>
  <c r="Q295" i="26" s="1"/>
  <c r="AD295" i="26"/>
  <c r="N295" i="26"/>
  <c r="K295" i="26"/>
  <c r="AR294" i="26"/>
  <c r="AU294" i="26" s="1"/>
  <c r="AM294" i="26"/>
  <c r="Q294" i="26" s="1"/>
  <c r="AD294" i="26"/>
  <c r="N294" i="26"/>
  <c r="K294" i="26"/>
  <c r="AR293" i="26"/>
  <c r="AU293" i="26" s="1"/>
  <c r="AM293" i="26"/>
  <c r="AD293" i="26"/>
  <c r="Q293" i="26"/>
  <c r="P293" i="26" s="1"/>
  <c r="AS293" i="26" s="1"/>
  <c r="N293" i="26"/>
  <c r="K293" i="26"/>
  <c r="AR292" i="26"/>
  <c r="AU292" i="26" s="1"/>
  <c r="AM292" i="26"/>
  <c r="Q292" i="26" s="1"/>
  <c r="AD292" i="26"/>
  <c r="N292" i="26"/>
  <c r="K292" i="26"/>
  <c r="AR291" i="26"/>
  <c r="AU291" i="26" s="1"/>
  <c r="AM291" i="26"/>
  <c r="AD291" i="26"/>
  <c r="Q291" i="26"/>
  <c r="P291" i="26" s="1"/>
  <c r="AS291" i="26" s="1"/>
  <c r="N291" i="26"/>
  <c r="K291" i="26"/>
  <c r="AR290" i="26"/>
  <c r="AU290" i="26" s="1"/>
  <c r="AM290" i="26"/>
  <c r="Q290" i="26" s="1"/>
  <c r="AD290" i="26"/>
  <c r="N290" i="26"/>
  <c r="K290" i="26"/>
  <c r="AR289" i="26"/>
  <c r="AU289" i="26" s="1"/>
  <c r="AM289" i="26"/>
  <c r="Q289" i="26" s="1"/>
  <c r="AD289" i="26"/>
  <c r="N289" i="26"/>
  <c r="K289" i="26"/>
  <c r="AR288" i="26"/>
  <c r="AU288" i="26" s="1"/>
  <c r="AM288" i="26"/>
  <c r="AD288" i="26"/>
  <c r="Q288" i="26"/>
  <c r="N288" i="26"/>
  <c r="K288" i="26"/>
  <c r="AR287" i="26"/>
  <c r="AU287" i="26" s="1"/>
  <c r="AM287" i="26"/>
  <c r="Q287" i="26" s="1"/>
  <c r="AD287" i="26"/>
  <c r="N287" i="26"/>
  <c r="K287" i="26"/>
  <c r="AR286" i="26"/>
  <c r="AU286" i="26" s="1"/>
  <c r="AM286" i="26"/>
  <c r="Q286" i="26" s="1"/>
  <c r="AD286" i="26"/>
  <c r="N286" i="26"/>
  <c r="K286" i="26"/>
  <c r="AR285" i="26"/>
  <c r="AU285" i="26" s="1"/>
  <c r="AM285" i="26"/>
  <c r="Q285" i="26" s="1"/>
  <c r="AD285" i="26"/>
  <c r="N285" i="26"/>
  <c r="K285" i="26"/>
  <c r="AR284" i="26"/>
  <c r="AU284" i="26" s="1"/>
  <c r="AM284" i="26"/>
  <c r="Q284" i="26" s="1"/>
  <c r="AD284" i="26"/>
  <c r="N284" i="26"/>
  <c r="K284" i="26"/>
  <c r="AR283" i="26"/>
  <c r="AU283" i="26" s="1"/>
  <c r="AM283" i="26"/>
  <c r="Q283" i="26" s="1"/>
  <c r="AD283" i="26"/>
  <c r="N283" i="26"/>
  <c r="K283" i="26"/>
  <c r="AR282" i="26"/>
  <c r="AU282" i="26" s="1"/>
  <c r="AM282" i="26"/>
  <c r="AD282" i="26"/>
  <c r="Q282" i="26"/>
  <c r="P282" i="26" s="1"/>
  <c r="AS282" i="26" s="1"/>
  <c r="N282" i="26"/>
  <c r="K282" i="26"/>
  <c r="AR281" i="26"/>
  <c r="AU281" i="26" s="1"/>
  <c r="AM281" i="26"/>
  <c r="Q281" i="26" s="1"/>
  <c r="AD281" i="26"/>
  <c r="N281" i="26"/>
  <c r="K281" i="26"/>
  <c r="AR280" i="26"/>
  <c r="AU280" i="26" s="1"/>
  <c r="AM280" i="26"/>
  <c r="Q280" i="26" s="1"/>
  <c r="AD280" i="26"/>
  <c r="N280" i="26"/>
  <c r="K280" i="26"/>
  <c r="AR279" i="26"/>
  <c r="AU279" i="26" s="1"/>
  <c r="AM279" i="26"/>
  <c r="Q279" i="26" s="1"/>
  <c r="AD279" i="26"/>
  <c r="N279" i="26"/>
  <c r="K279" i="26"/>
  <c r="AR278" i="26"/>
  <c r="AU278" i="26" s="1"/>
  <c r="AM278" i="26"/>
  <c r="Q278" i="26" s="1"/>
  <c r="AD278" i="26"/>
  <c r="N278" i="26"/>
  <c r="K278" i="26"/>
  <c r="AR277" i="26"/>
  <c r="AU277" i="26" s="1"/>
  <c r="AM277" i="26"/>
  <c r="Q277" i="26" s="1"/>
  <c r="AD277" i="26"/>
  <c r="N277" i="26"/>
  <c r="K277" i="26"/>
  <c r="AR276" i="26"/>
  <c r="AU276" i="26" s="1"/>
  <c r="AM276" i="26"/>
  <c r="Q276" i="26" s="1"/>
  <c r="AD276" i="26"/>
  <c r="N276" i="26"/>
  <c r="K276" i="26"/>
  <c r="AR275" i="26"/>
  <c r="AU275" i="26" s="1"/>
  <c r="AM275" i="26"/>
  <c r="AD275" i="26"/>
  <c r="Q275" i="26"/>
  <c r="N275" i="26"/>
  <c r="K275" i="26"/>
  <c r="AR274" i="26"/>
  <c r="AU274" i="26" s="1"/>
  <c r="AM274" i="26"/>
  <c r="Q274" i="26" s="1"/>
  <c r="AD274" i="26"/>
  <c r="N274" i="26"/>
  <c r="K274" i="26"/>
  <c r="AR273" i="26"/>
  <c r="AU273" i="26" s="1"/>
  <c r="AM273" i="26"/>
  <c r="Q273" i="26" s="1"/>
  <c r="AD273" i="26"/>
  <c r="N273" i="26"/>
  <c r="K273" i="26"/>
  <c r="AR272" i="26"/>
  <c r="AU272" i="26" s="1"/>
  <c r="AM272" i="26"/>
  <c r="Q272" i="26" s="1"/>
  <c r="AD272" i="26"/>
  <c r="N272" i="26"/>
  <c r="K272" i="26"/>
  <c r="AR271" i="26"/>
  <c r="AU271" i="26" s="1"/>
  <c r="AM271" i="26"/>
  <c r="Q271" i="26" s="1"/>
  <c r="AD271" i="26"/>
  <c r="N271" i="26"/>
  <c r="K271" i="26"/>
  <c r="AR270" i="26"/>
  <c r="AU270" i="26" s="1"/>
  <c r="AM270" i="26"/>
  <c r="Q270" i="26" s="1"/>
  <c r="AD270" i="26"/>
  <c r="N270" i="26"/>
  <c r="K270" i="26"/>
  <c r="AR269" i="26"/>
  <c r="AU269" i="26" s="1"/>
  <c r="AM269" i="26"/>
  <c r="Q269" i="26" s="1"/>
  <c r="AD269" i="26"/>
  <c r="N269" i="26"/>
  <c r="K269" i="26"/>
  <c r="AR268" i="26"/>
  <c r="AU268" i="26" s="1"/>
  <c r="AM268" i="26"/>
  <c r="Q268" i="26" s="1"/>
  <c r="AD268" i="26"/>
  <c r="P268" i="26"/>
  <c r="AS268" i="26" s="1"/>
  <c r="N268" i="26"/>
  <c r="K268" i="26"/>
  <c r="AR267" i="26"/>
  <c r="AU267" i="26" s="1"/>
  <c r="AM267" i="26"/>
  <c r="Q267" i="26" s="1"/>
  <c r="AD267" i="26"/>
  <c r="N267" i="26"/>
  <c r="K267" i="26"/>
  <c r="AR266" i="26"/>
  <c r="AU266" i="26" s="1"/>
  <c r="AM266" i="26"/>
  <c r="Q266" i="26" s="1"/>
  <c r="AD266" i="26"/>
  <c r="N266" i="26"/>
  <c r="K266" i="26"/>
  <c r="AR265" i="26"/>
  <c r="AU265" i="26" s="1"/>
  <c r="AM265" i="26"/>
  <c r="Q265" i="26" s="1"/>
  <c r="AD265" i="26"/>
  <c r="N265" i="26"/>
  <c r="K265" i="26"/>
  <c r="AR264" i="26"/>
  <c r="AU264" i="26" s="1"/>
  <c r="AM264" i="26"/>
  <c r="Q264" i="26" s="1"/>
  <c r="AD264" i="26"/>
  <c r="N264" i="26"/>
  <c r="K264" i="26"/>
  <c r="AR263" i="26"/>
  <c r="AU263" i="26" s="1"/>
  <c r="AM263" i="26"/>
  <c r="Q263" i="26" s="1"/>
  <c r="AD263" i="26"/>
  <c r="N263" i="26"/>
  <c r="K263" i="26"/>
  <c r="AR262" i="26"/>
  <c r="AU262" i="26" s="1"/>
  <c r="AM262" i="26"/>
  <c r="Q262" i="26" s="1"/>
  <c r="AD262" i="26"/>
  <c r="N262" i="26"/>
  <c r="K262" i="26"/>
  <c r="AR261" i="26"/>
  <c r="AU261" i="26" s="1"/>
  <c r="AM261" i="26"/>
  <c r="Q261" i="26" s="1"/>
  <c r="AD261" i="26"/>
  <c r="N261" i="26"/>
  <c r="K261" i="26"/>
  <c r="AR260" i="26"/>
  <c r="AU260" i="26" s="1"/>
  <c r="AM260" i="26"/>
  <c r="Q260" i="26" s="1"/>
  <c r="AD260" i="26"/>
  <c r="N260" i="26"/>
  <c r="K260" i="26"/>
  <c r="AR259" i="26"/>
  <c r="AU259" i="26" s="1"/>
  <c r="AM259" i="26"/>
  <c r="Q259" i="26" s="1"/>
  <c r="AD259" i="26"/>
  <c r="N259" i="26"/>
  <c r="K259" i="26"/>
  <c r="AR258" i="26"/>
  <c r="AU258" i="26" s="1"/>
  <c r="AM258" i="26"/>
  <c r="Q258" i="26" s="1"/>
  <c r="AD258" i="26"/>
  <c r="N258" i="26"/>
  <c r="K258" i="26"/>
  <c r="AR257" i="26"/>
  <c r="AU257" i="26" s="1"/>
  <c r="AM257" i="26"/>
  <c r="Q257" i="26" s="1"/>
  <c r="AD257" i="26"/>
  <c r="N257" i="26"/>
  <c r="K257" i="26"/>
  <c r="AR256" i="26"/>
  <c r="AU256" i="26" s="1"/>
  <c r="AM256" i="26"/>
  <c r="Q256" i="26" s="1"/>
  <c r="AD256" i="26"/>
  <c r="N256" i="26"/>
  <c r="K256" i="26"/>
  <c r="AR255" i="26"/>
  <c r="AU255" i="26" s="1"/>
  <c r="AM255" i="26"/>
  <c r="Q255" i="26" s="1"/>
  <c r="AD255" i="26"/>
  <c r="N255" i="26"/>
  <c r="K255" i="26"/>
  <c r="AR254" i="26"/>
  <c r="AU254" i="26" s="1"/>
  <c r="AM254" i="26"/>
  <c r="Q254" i="26" s="1"/>
  <c r="AD254" i="26"/>
  <c r="N254" i="26"/>
  <c r="K254" i="26"/>
  <c r="AR253" i="26"/>
  <c r="AU253" i="26" s="1"/>
  <c r="AM253" i="26"/>
  <c r="Q253" i="26" s="1"/>
  <c r="AD253" i="26"/>
  <c r="N253" i="26"/>
  <c r="K253" i="26"/>
  <c r="AR252" i="26"/>
  <c r="AU252" i="26" s="1"/>
  <c r="AM252" i="26"/>
  <c r="Q252" i="26" s="1"/>
  <c r="AD252" i="26"/>
  <c r="N252" i="26"/>
  <c r="K252" i="26"/>
  <c r="AR251" i="26"/>
  <c r="AU251" i="26" s="1"/>
  <c r="AM251" i="26"/>
  <c r="Q251" i="26" s="1"/>
  <c r="AD251" i="26"/>
  <c r="N251" i="26"/>
  <c r="K251" i="26"/>
  <c r="AR250" i="26"/>
  <c r="AU250" i="26" s="1"/>
  <c r="AM250" i="26"/>
  <c r="Q250" i="26" s="1"/>
  <c r="AD250" i="26"/>
  <c r="N250" i="26"/>
  <c r="K250" i="26"/>
  <c r="AR249" i="26"/>
  <c r="AU249" i="26" s="1"/>
  <c r="AM249" i="26"/>
  <c r="Q249" i="26" s="1"/>
  <c r="AD249" i="26"/>
  <c r="N249" i="26"/>
  <c r="K249" i="26"/>
  <c r="AR248" i="26"/>
  <c r="AU248" i="26" s="1"/>
  <c r="AM248" i="26"/>
  <c r="Q248" i="26" s="1"/>
  <c r="AD248" i="26"/>
  <c r="N248" i="26"/>
  <c r="K248" i="26"/>
  <c r="AR247" i="26"/>
  <c r="AU247" i="26" s="1"/>
  <c r="AM247" i="26"/>
  <c r="Q247" i="26" s="1"/>
  <c r="AD247" i="26"/>
  <c r="N247" i="26"/>
  <c r="K247" i="26"/>
  <c r="AR246" i="26"/>
  <c r="AU246" i="26" s="1"/>
  <c r="AM246" i="26"/>
  <c r="Q246" i="26" s="1"/>
  <c r="AD246" i="26"/>
  <c r="N246" i="26"/>
  <c r="K246" i="26"/>
  <c r="AR245" i="26"/>
  <c r="AU245" i="26" s="1"/>
  <c r="AM245" i="26"/>
  <c r="Q245" i="26" s="1"/>
  <c r="AD245" i="26"/>
  <c r="N245" i="26"/>
  <c r="K245" i="26"/>
  <c r="AR244" i="26"/>
  <c r="AU244" i="26" s="1"/>
  <c r="AM244" i="26"/>
  <c r="Q244" i="26" s="1"/>
  <c r="AD244" i="26"/>
  <c r="N244" i="26"/>
  <c r="K244" i="26"/>
  <c r="AR243" i="26"/>
  <c r="AU243" i="26" s="1"/>
  <c r="AM243" i="26"/>
  <c r="Q243" i="26" s="1"/>
  <c r="AD243" i="26"/>
  <c r="N243" i="26"/>
  <c r="K243" i="26"/>
  <c r="AR242" i="26"/>
  <c r="AU242" i="26" s="1"/>
  <c r="AM242" i="26"/>
  <c r="Q242" i="26" s="1"/>
  <c r="AD242" i="26"/>
  <c r="N242" i="26"/>
  <c r="K242" i="26"/>
  <c r="AR241" i="26"/>
  <c r="AU241" i="26" s="1"/>
  <c r="AM241" i="26"/>
  <c r="Q241" i="26" s="1"/>
  <c r="AD241" i="26"/>
  <c r="N241" i="26"/>
  <c r="K241" i="26"/>
  <c r="AR240" i="26"/>
  <c r="AU240" i="26" s="1"/>
  <c r="AM240" i="26"/>
  <c r="Q240" i="26" s="1"/>
  <c r="AD240" i="26"/>
  <c r="N240" i="26"/>
  <c r="K240" i="26"/>
  <c r="AR239" i="26"/>
  <c r="AU239" i="26" s="1"/>
  <c r="AM239" i="26"/>
  <c r="Q239" i="26" s="1"/>
  <c r="AD239" i="26"/>
  <c r="N239" i="26"/>
  <c r="K239" i="26"/>
  <c r="AR238" i="26"/>
  <c r="AU238" i="26" s="1"/>
  <c r="AM238" i="26"/>
  <c r="Q238" i="26" s="1"/>
  <c r="AD238" i="26"/>
  <c r="N238" i="26"/>
  <c r="K238" i="26"/>
  <c r="AR237" i="26"/>
  <c r="AU237" i="26" s="1"/>
  <c r="AM237" i="26"/>
  <c r="Q237" i="26" s="1"/>
  <c r="AD237" i="26"/>
  <c r="N237" i="26"/>
  <c r="K237" i="26"/>
  <c r="AR236" i="26"/>
  <c r="AU236" i="26" s="1"/>
  <c r="AM236" i="26"/>
  <c r="Q236" i="26" s="1"/>
  <c r="AD236" i="26"/>
  <c r="N236" i="26"/>
  <c r="K236" i="26"/>
  <c r="AR235" i="26"/>
  <c r="AU235" i="26" s="1"/>
  <c r="AM235" i="26"/>
  <c r="Q235" i="26" s="1"/>
  <c r="AD235" i="26"/>
  <c r="N235" i="26"/>
  <c r="K235" i="26"/>
  <c r="AR234" i="26"/>
  <c r="AU234" i="26" s="1"/>
  <c r="AM234" i="26"/>
  <c r="Q234" i="26" s="1"/>
  <c r="AD234" i="26"/>
  <c r="N234" i="26"/>
  <c r="K234" i="26"/>
  <c r="AR233" i="26"/>
  <c r="AU233" i="26" s="1"/>
  <c r="AM233" i="26"/>
  <c r="Q233" i="26" s="1"/>
  <c r="AD233" i="26"/>
  <c r="N233" i="26"/>
  <c r="K233" i="26"/>
  <c r="AR232" i="26"/>
  <c r="AU232" i="26" s="1"/>
  <c r="AM232" i="26"/>
  <c r="Q232" i="26" s="1"/>
  <c r="AD232" i="26"/>
  <c r="N232" i="26"/>
  <c r="K232" i="26"/>
  <c r="AR231" i="26"/>
  <c r="AU231" i="26" s="1"/>
  <c r="AM231" i="26"/>
  <c r="Q231" i="26" s="1"/>
  <c r="AD231" i="26"/>
  <c r="N231" i="26"/>
  <c r="K231" i="26"/>
  <c r="AR230" i="26"/>
  <c r="AU230" i="26" s="1"/>
  <c r="AM230" i="26"/>
  <c r="Q230" i="26" s="1"/>
  <c r="AD230" i="26"/>
  <c r="N230" i="26"/>
  <c r="K230" i="26"/>
  <c r="AR229" i="26"/>
  <c r="AU229" i="26" s="1"/>
  <c r="AM229" i="26"/>
  <c r="Q229" i="26" s="1"/>
  <c r="AD229" i="26"/>
  <c r="N229" i="26"/>
  <c r="K229" i="26"/>
  <c r="AR228" i="26"/>
  <c r="AU228" i="26" s="1"/>
  <c r="AM228" i="26"/>
  <c r="Q228" i="26" s="1"/>
  <c r="AD228" i="26"/>
  <c r="N228" i="26"/>
  <c r="K228" i="26"/>
  <c r="AR227" i="26"/>
  <c r="AU227" i="26" s="1"/>
  <c r="AM227" i="26"/>
  <c r="Q227" i="26" s="1"/>
  <c r="AD227" i="26"/>
  <c r="N227" i="26"/>
  <c r="K227" i="26"/>
  <c r="AR226" i="26"/>
  <c r="AU226" i="26" s="1"/>
  <c r="AM226" i="26"/>
  <c r="Q226" i="26" s="1"/>
  <c r="AD226" i="26"/>
  <c r="N226" i="26"/>
  <c r="K226" i="26"/>
  <c r="AR225" i="26"/>
  <c r="AU225" i="26" s="1"/>
  <c r="AM225" i="26"/>
  <c r="Q225" i="26" s="1"/>
  <c r="AD225" i="26"/>
  <c r="N225" i="26"/>
  <c r="K225" i="26"/>
  <c r="AR224" i="26"/>
  <c r="AU224" i="26" s="1"/>
  <c r="AM224" i="26"/>
  <c r="AD224" i="26"/>
  <c r="Q224" i="26"/>
  <c r="P224" i="26" s="1"/>
  <c r="AS224" i="26" s="1"/>
  <c r="N224" i="26"/>
  <c r="K224" i="26"/>
  <c r="AR223" i="26"/>
  <c r="AU223" i="26" s="1"/>
  <c r="AM223" i="26"/>
  <c r="AD223" i="26"/>
  <c r="Q223" i="26"/>
  <c r="P223" i="26" s="1"/>
  <c r="AS223" i="26" s="1"/>
  <c r="N223" i="26"/>
  <c r="K223" i="26"/>
  <c r="AR222" i="26"/>
  <c r="AU222" i="26" s="1"/>
  <c r="AM222" i="26"/>
  <c r="Q222" i="26" s="1"/>
  <c r="AD222" i="26"/>
  <c r="N222" i="26"/>
  <c r="K222" i="26"/>
  <c r="AR221" i="26"/>
  <c r="AU221" i="26" s="1"/>
  <c r="AM221" i="26"/>
  <c r="Q221" i="26" s="1"/>
  <c r="AD221" i="26"/>
  <c r="N221" i="26"/>
  <c r="K221" i="26"/>
  <c r="AR220" i="26"/>
  <c r="AU220" i="26" s="1"/>
  <c r="AM220" i="26"/>
  <c r="Q220" i="26" s="1"/>
  <c r="AD220" i="26"/>
  <c r="N220" i="26"/>
  <c r="K220" i="26"/>
  <c r="AR219" i="26"/>
  <c r="AU219" i="26" s="1"/>
  <c r="AM219" i="26"/>
  <c r="Q219" i="26" s="1"/>
  <c r="AD219" i="26"/>
  <c r="N219" i="26"/>
  <c r="K219" i="26"/>
  <c r="AR218" i="26"/>
  <c r="AU218" i="26" s="1"/>
  <c r="AM218" i="26"/>
  <c r="Q218" i="26" s="1"/>
  <c r="AD218" i="26"/>
  <c r="N218" i="26"/>
  <c r="K218" i="26"/>
  <c r="AR217" i="26"/>
  <c r="AU217" i="26" s="1"/>
  <c r="AM217" i="26"/>
  <c r="Q217" i="26" s="1"/>
  <c r="AD217" i="26"/>
  <c r="N217" i="26"/>
  <c r="K217" i="26"/>
  <c r="AR216" i="26"/>
  <c r="AU216" i="26" s="1"/>
  <c r="AM216" i="26"/>
  <c r="Q216" i="26" s="1"/>
  <c r="AD216" i="26"/>
  <c r="N216" i="26"/>
  <c r="K216" i="26"/>
  <c r="AR215" i="26"/>
  <c r="AU215" i="26" s="1"/>
  <c r="AM215" i="26"/>
  <c r="Q215" i="26" s="1"/>
  <c r="AD215" i="26"/>
  <c r="N215" i="26"/>
  <c r="K215" i="26"/>
  <c r="AR214" i="26"/>
  <c r="AU214" i="26" s="1"/>
  <c r="AM214" i="26"/>
  <c r="Q214" i="26" s="1"/>
  <c r="AD214" i="26"/>
  <c r="N214" i="26"/>
  <c r="K214" i="26"/>
  <c r="AR213" i="26"/>
  <c r="AU213" i="26" s="1"/>
  <c r="AM213" i="26"/>
  <c r="Q213" i="26" s="1"/>
  <c r="AD213" i="26"/>
  <c r="N213" i="26"/>
  <c r="K213" i="26"/>
  <c r="AR212" i="26"/>
  <c r="AU212" i="26" s="1"/>
  <c r="AM212" i="26"/>
  <c r="Q212" i="26" s="1"/>
  <c r="AD212" i="26"/>
  <c r="N212" i="26"/>
  <c r="K212" i="26"/>
  <c r="AR211" i="26"/>
  <c r="AU211" i="26" s="1"/>
  <c r="AM211" i="26"/>
  <c r="Q211" i="26" s="1"/>
  <c r="AD211" i="26"/>
  <c r="N211" i="26"/>
  <c r="K211" i="26"/>
  <c r="AR210" i="26"/>
  <c r="AU210" i="26" s="1"/>
  <c r="AM210" i="26"/>
  <c r="Q210" i="26" s="1"/>
  <c r="AD210" i="26"/>
  <c r="N210" i="26"/>
  <c r="K210" i="26"/>
  <c r="AR209" i="26"/>
  <c r="AU209" i="26" s="1"/>
  <c r="AM209" i="26"/>
  <c r="Q209" i="26" s="1"/>
  <c r="AD209" i="26"/>
  <c r="N209" i="26"/>
  <c r="K209" i="26"/>
  <c r="AR208" i="26"/>
  <c r="AU208" i="26" s="1"/>
  <c r="AM208" i="26"/>
  <c r="Q208" i="26" s="1"/>
  <c r="AD208" i="26"/>
  <c r="N208" i="26"/>
  <c r="K208" i="26"/>
  <c r="AR207" i="26"/>
  <c r="AU207" i="26" s="1"/>
  <c r="AM207" i="26"/>
  <c r="Q207" i="26" s="1"/>
  <c r="AD207" i="26"/>
  <c r="N207" i="26"/>
  <c r="K207" i="26"/>
  <c r="AR206" i="26"/>
  <c r="AU206" i="26" s="1"/>
  <c r="AM206" i="26"/>
  <c r="Q206" i="26" s="1"/>
  <c r="AD206" i="26"/>
  <c r="N206" i="26"/>
  <c r="K206" i="26"/>
  <c r="AR205" i="26"/>
  <c r="AU205" i="26" s="1"/>
  <c r="AM205" i="26"/>
  <c r="Q205" i="26" s="1"/>
  <c r="AD205" i="26"/>
  <c r="N205" i="26"/>
  <c r="K205" i="26"/>
  <c r="AR204" i="26"/>
  <c r="AU204" i="26" s="1"/>
  <c r="AM204" i="26"/>
  <c r="Q204" i="26" s="1"/>
  <c r="AD204" i="26"/>
  <c r="N204" i="26"/>
  <c r="K204" i="26"/>
  <c r="AR203" i="26"/>
  <c r="AU203" i="26" s="1"/>
  <c r="AM203" i="26"/>
  <c r="Q203" i="26" s="1"/>
  <c r="AD203" i="26"/>
  <c r="N203" i="26"/>
  <c r="K203" i="26"/>
  <c r="AR202" i="26"/>
  <c r="AU202" i="26" s="1"/>
  <c r="AM202" i="26"/>
  <c r="Q202" i="26" s="1"/>
  <c r="AD202" i="26"/>
  <c r="N202" i="26"/>
  <c r="K202" i="26"/>
  <c r="AR201" i="26"/>
  <c r="AU201" i="26" s="1"/>
  <c r="AM201" i="26"/>
  <c r="Q201" i="26" s="1"/>
  <c r="AD201" i="26"/>
  <c r="N201" i="26"/>
  <c r="K201" i="26"/>
  <c r="AR200" i="26"/>
  <c r="AU200" i="26" s="1"/>
  <c r="AM200" i="26"/>
  <c r="Q200" i="26" s="1"/>
  <c r="AD200" i="26"/>
  <c r="N200" i="26"/>
  <c r="K200" i="26"/>
  <c r="AR199" i="26"/>
  <c r="AU199" i="26" s="1"/>
  <c r="AM199" i="26"/>
  <c r="Q199" i="26" s="1"/>
  <c r="AD199" i="26"/>
  <c r="N199" i="26"/>
  <c r="K199" i="26"/>
  <c r="AR198" i="26"/>
  <c r="AU198" i="26" s="1"/>
  <c r="AM198" i="26"/>
  <c r="Q198" i="26" s="1"/>
  <c r="AD198" i="26"/>
  <c r="N198" i="26"/>
  <c r="K198" i="26"/>
  <c r="AR197" i="26"/>
  <c r="AU197" i="26" s="1"/>
  <c r="AM197" i="26"/>
  <c r="Q197" i="26" s="1"/>
  <c r="AD197" i="26"/>
  <c r="N197" i="26"/>
  <c r="K197" i="26"/>
  <c r="AR196" i="26"/>
  <c r="AU196" i="26" s="1"/>
  <c r="AM196" i="26"/>
  <c r="Q196" i="26" s="1"/>
  <c r="AD196" i="26"/>
  <c r="N196" i="26"/>
  <c r="K196" i="26"/>
  <c r="AR195" i="26"/>
  <c r="AU195" i="26" s="1"/>
  <c r="AM195" i="26"/>
  <c r="Q195" i="26" s="1"/>
  <c r="AD195" i="26"/>
  <c r="N195" i="26"/>
  <c r="K195" i="26"/>
  <c r="AR194" i="26"/>
  <c r="AU194" i="26" s="1"/>
  <c r="AM194" i="26"/>
  <c r="Q194" i="26" s="1"/>
  <c r="AD194" i="26"/>
  <c r="N194" i="26"/>
  <c r="K194" i="26"/>
  <c r="AR193" i="26"/>
  <c r="AU193" i="26" s="1"/>
  <c r="AM193" i="26"/>
  <c r="Q193" i="26" s="1"/>
  <c r="AD193" i="26"/>
  <c r="N193" i="26"/>
  <c r="K193" i="26"/>
  <c r="AR192" i="26"/>
  <c r="AU192" i="26" s="1"/>
  <c r="AM192" i="26"/>
  <c r="Q192" i="26" s="1"/>
  <c r="AD192" i="26"/>
  <c r="N192" i="26"/>
  <c r="K192" i="26"/>
  <c r="AR191" i="26"/>
  <c r="AU191" i="26" s="1"/>
  <c r="AM191" i="26"/>
  <c r="Q191" i="26" s="1"/>
  <c r="AD191" i="26"/>
  <c r="N191" i="26"/>
  <c r="K191" i="26"/>
  <c r="AR190" i="26"/>
  <c r="AU190" i="26" s="1"/>
  <c r="AM190" i="26"/>
  <c r="Q190" i="26" s="1"/>
  <c r="AD190" i="26"/>
  <c r="N190" i="26"/>
  <c r="K190" i="26"/>
  <c r="AR189" i="26"/>
  <c r="AU189" i="26" s="1"/>
  <c r="AM189" i="26"/>
  <c r="Q189" i="26" s="1"/>
  <c r="AD189" i="26"/>
  <c r="N189" i="26"/>
  <c r="K189" i="26"/>
  <c r="AR188" i="26"/>
  <c r="AU188" i="26" s="1"/>
  <c r="AM188" i="26"/>
  <c r="Q188" i="26" s="1"/>
  <c r="AD188" i="26"/>
  <c r="N188" i="26"/>
  <c r="K188" i="26"/>
  <c r="AR187" i="26"/>
  <c r="AU187" i="26" s="1"/>
  <c r="AM187" i="26"/>
  <c r="Q187" i="26" s="1"/>
  <c r="AD187" i="26"/>
  <c r="N187" i="26"/>
  <c r="K187" i="26"/>
  <c r="AR186" i="26"/>
  <c r="AU186" i="26" s="1"/>
  <c r="AM186" i="26"/>
  <c r="Q186" i="26" s="1"/>
  <c r="AD186" i="26"/>
  <c r="N186" i="26"/>
  <c r="K186" i="26"/>
  <c r="AR185" i="26"/>
  <c r="AU185" i="26" s="1"/>
  <c r="AM185" i="26"/>
  <c r="Q185" i="26" s="1"/>
  <c r="AD185" i="26"/>
  <c r="N185" i="26"/>
  <c r="K185" i="26"/>
  <c r="AR184" i="26"/>
  <c r="AU184" i="26" s="1"/>
  <c r="AM184" i="26"/>
  <c r="Q184" i="26" s="1"/>
  <c r="AD184" i="26"/>
  <c r="N184" i="26"/>
  <c r="K184" i="26"/>
  <c r="AR183" i="26"/>
  <c r="AU183" i="26" s="1"/>
  <c r="AM183" i="26"/>
  <c r="Q183" i="26" s="1"/>
  <c r="AD183" i="26"/>
  <c r="N183" i="26"/>
  <c r="K183" i="26"/>
  <c r="AR182" i="26"/>
  <c r="AU182" i="26" s="1"/>
  <c r="AM182" i="26"/>
  <c r="Q182" i="26" s="1"/>
  <c r="AD182" i="26"/>
  <c r="N182" i="26"/>
  <c r="K182" i="26"/>
  <c r="AR181" i="26"/>
  <c r="AU181" i="26" s="1"/>
  <c r="AM181" i="26"/>
  <c r="Q181" i="26" s="1"/>
  <c r="AD181" i="26"/>
  <c r="N181" i="26"/>
  <c r="K181" i="26"/>
  <c r="AR180" i="26"/>
  <c r="AU180" i="26" s="1"/>
  <c r="AM180" i="26"/>
  <c r="Q180" i="26" s="1"/>
  <c r="AD180" i="26"/>
  <c r="N180" i="26"/>
  <c r="K180" i="26"/>
  <c r="AR179" i="26"/>
  <c r="AU179" i="26" s="1"/>
  <c r="AM179" i="26"/>
  <c r="Q179" i="26" s="1"/>
  <c r="AD179" i="26"/>
  <c r="N179" i="26"/>
  <c r="K179" i="26"/>
  <c r="AR178" i="26"/>
  <c r="AU178" i="26" s="1"/>
  <c r="AM178" i="26"/>
  <c r="Q178" i="26" s="1"/>
  <c r="AD178" i="26"/>
  <c r="N178" i="26"/>
  <c r="K178" i="26"/>
  <c r="AR177" i="26"/>
  <c r="AU177" i="26" s="1"/>
  <c r="AM177" i="26"/>
  <c r="Q177" i="26" s="1"/>
  <c r="AD177" i="26"/>
  <c r="N177" i="26"/>
  <c r="K177" i="26"/>
  <c r="AR176" i="26"/>
  <c r="AU176" i="26" s="1"/>
  <c r="AM176" i="26"/>
  <c r="Q176" i="26" s="1"/>
  <c r="AD176" i="26"/>
  <c r="N176" i="26"/>
  <c r="K176" i="26"/>
  <c r="AR175" i="26"/>
  <c r="AU175" i="26" s="1"/>
  <c r="AM175" i="26"/>
  <c r="Q175" i="26" s="1"/>
  <c r="AD175" i="26"/>
  <c r="N175" i="26"/>
  <c r="K175" i="26"/>
  <c r="AR174" i="26"/>
  <c r="AU174" i="26" s="1"/>
  <c r="AM174" i="26"/>
  <c r="Q174" i="26" s="1"/>
  <c r="AD174" i="26"/>
  <c r="N174" i="26"/>
  <c r="K174" i="26"/>
  <c r="AR173" i="26"/>
  <c r="AU173" i="26" s="1"/>
  <c r="AM173" i="26"/>
  <c r="Q173" i="26" s="1"/>
  <c r="AD173" i="26"/>
  <c r="N173" i="26"/>
  <c r="K173" i="26"/>
  <c r="AR172" i="26"/>
  <c r="AU172" i="26" s="1"/>
  <c r="AM172" i="26"/>
  <c r="Q172" i="26" s="1"/>
  <c r="AD172" i="26"/>
  <c r="N172" i="26"/>
  <c r="K172" i="26"/>
  <c r="AR171" i="26"/>
  <c r="AU171" i="26" s="1"/>
  <c r="AM171" i="26"/>
  <c r="AD171" i="26"/>
  <c r="Q171" i="26"/>
  <c r="N171" i="26"/>
  <c r="K171" i="26"/>
  <c r="AR170" i="26"/>
  <c r="AU170" i="26" s="1"/>
  <c r="AM170" i="26"/>
  <c r="Q170" i="26" s="1"/>
  <c r="AD170" i="26"/>
  <c r="N170" i="26"/>
  <c r="K170" i="26"/>
  <c r="AR169" i="26"/>
  <c r="AU169" i="26" s="1"/>
  <c r="AD169" i="26"/>
  <c r="Q169" i="26"/>
  <c r="N169" i="26"/>
  <c r="K169" i="26"/>
  <c r="AN169" i="26" s="1"/>
  <c r="AT169" i="26" s="1"/>
  <c r="AR168" i="26"/>
  <c r="AU168" i="26" s="1"/>
  <c r="AM168" i="26"/>
  <c r="Q168" i="26" s="1"/>
  <c r="AD168" i="26"/>
  <c r="N168" i="26"/>
  <c r="K168" i="26"/>
  <c r="AR167" i="26"/>
  <c r="AU167" i="26" s="1"/>
  <c r="AM167" i="26"/>
  <c r="Q167" i="26" s="1"/>
  <c r="AD167" i="26"/>
  <c r="N167" i="26"/>
  <c r="K167" i="26"/>
  <c r="AR166" i="26"/>
  <c r="AU166" i="26" s="1"/>
  <c r="AM166" i="26"/>
  <c r="Q166" i="26" s="1"/>
  <c r="AD166" i="26"/>
  <c r="N166" i="26"/>
  <c r="K166" i="26"/>
  <c r="AR165" i="26"/>
  <c r="AU165" i="26" s="1"/>
  <c r="AM165" i="26"/>
  <c r="Q165" i="26" s="1"/>
  <c r="AD165" i="26"/>
  <c r="N165" i="26"/>
  <c r="K165" i="26"/>
  <c r="AR164" i="26"/>
  <c r="AU164" i="26" s="1"/>
  <c r="AM164" i="26"/>
  <c r="Q164" i="26" s="1"/>
  <c r="AD164" i="26"/>
  <c r="N164" i="26"/>
  <c r="K164" i="26"/>
  <c r="AR163" i="26"/>
  <c r="AU163" i="26" s="1"/>
  <c r="AM163" i="26"/>
  <c r="Q163" i="26" s="1"/>
  <c r="AD163" i="26"/>
  <c r="N163" i="26"/>
  <c r="K163" i="26"/>
  <c r="AR162" i="26"/>
  <c r="AU162" i="26" s="1"/>
  <c r="AM162" i="26"/>
  <c r="Q162" i="26" s="1"/>
  <c r="AD162" i="26"/>
  <c r="N162" i="26"/>
  <c r="K162" i="26"/>
  <c r="AR161" i="26"/>
  <c r="AU161" i="26" s="1"/>
  <c r="AM161" i="26"/>
  <c r="Q161" i="26" s="1"/>
  <c r="AD161" i="26"/>
  <c r="N161" i="26"/>
  <c r="K161" i="26"/>
  <c r="AR160" i="26"/>
  <c r="AU160" i="26" s="1"/>
  <c r="AM160" i="26"/>
  <c r="Q160" i="26" s="1"/>
  <c r="AD160" i="26"/>
  <c r="N160" i="26"/>
  <c r="K160" i="26"/>
  <c r="AR159" i="26"/>
  <c r="AU159" i="26" s="1"/>
  <c r="AM159" i="26"/>
  <c r="Q159" i="26" s="1"/>
  <c r="AD159" i="26"/>
  <c r="N159" i="26"/>
  <c r="K159" i="26"/>
  <c r="AR158" i="26"/>
  <c r="AU158" i="26" s="1"/>
  <c r="AM158" i="26"/>
  <c r="Q158" i="26" s="1"/>
  <c r="AD158" i="26"/>
  <c r="N158" i="26"/>
  <c r="K158" i="26"/>
  <c r="AR157" i="26"/>
  <c r="AU157" i="26" s="1"/>
  <c r="AM157" i="26"/>
  <c r="Q157" i="26" s="1"/>
  <c r="AD157" i="26"/>
  <c r="N157" i="26"/>
  <c r="K157" i="26"/>
  <c r="AR156" i="26"/>
  <c r="AU156" i="26" s="1"/>
  <c r="AM156" i="26"/>
  <c r="Q156" i="26" s="1"/>
  <c r="AD156" i="26"/>
  <c r="P156" i="26" s="1"/>
  <c r="AS156" i="26" s="1"/>
  <c r="N156" i="26"/>
  <c r="K156" i="26"/>
  <c r="AR155" i="26"/>
  <c r="AU155" i="26" s="1"/>
  <c r="AM155" i="26"/>
  <c r="Q155" i="26" s="1"/>
  <c r="AD155" i="26"/>
  <c r="N155" i="26"/>
  <c r="K155" i="26"/>
  <c r="AR154" i="26"/>
  <c r="AU154" i="26" s="1"/>
  <c r="AM154" i="26"/>
  <c r="Q154" i="26" s="1"/>
  <c r="AD154" i="26"/>
  <c r="N154" i="26"/>
  <c r="K154" i="26"/>
  <c r="AR153" i="26"/>
  <c r="AU153" i="26" s="1"/>
  <c r="AM153" i="26"/>
  <c r="Q153" i="26" s="1"/>
  <c r="AD153" i="26"/>
  <c r="N153" i="26"/>
  <c r="K153" i="26"/>
  <c r="AR152" i="26"/>
  <c r="AU152" i="26" s="1"/>
  <c r="AM152" i="26"/>
  <c r="Q152" i="26" s="1"/>
  <c r="AD152" i="26"/>
  <c r="N152" i="26"/>
  <c r="K152" i="26"/>
  <c r="AR151" i="26"/>
  <c r="AU151" i="26" s="1"/>
  <c r="AM151" i="26"/>
  <c r="Q151" i="26" s="1"/>
  <c r="AD151" i="26"/>
  <c r="N151" i="26"/>
  <c r="K151" i="26"/>
  <c r="AR150" i="26"/>
  <c r="AU150" i="26" s="1"/>
  <c r="AM150" i="26"/>
  <c r="Q150" i="26" s="1"/>
  <c r="AD150" i="26"/>
  <c r="N150" i="26"/>
  <c r="K150" i="26"/>
  <c r="AR149" i="26"/>
  <c r="AU149" i="26" s="1"/>
  <c r="AM149" i="26"/>
  <c r="Q149" i="26" s="1"/>
  <c r="AD149" i="26"/>
  <c r="P149" i="26" s="1"/>
  <c r="AS149" i="26" s="1"/>
  <c r="N149" i="26"/>
  <c r="K149" i="26"/>
  <c r="AR148" i="26"/>
  <c r="AU148" i="26" s="1"/>
  <c r="AM148" i="26"/>
  <c r="Q148" i="26" s="1"/>
  <c r="AD148" i="26"/>
  <c r="N148" i="26"/>
  <c r="K148" i="26"/>
  <c r="AR147" i="26"/>
  <c r="AU147" i="26" s="1"/>
  <c r="AM147" i="26"/>
  <c r="Q147" i="26" s="1"/>
  <c r="AD147" i="26"/>
  <c r="N147" i="26"/>
  <c r="K147" i="26"/>
  <c r="AR146" i="26"/>
  <c r="AU146" i="26" s="1"/>
  <c r="AM146" i="26"/>
  <c r="Q146" i="26" s="1"/>
  <c r="AD146" i="26"/>
  <c r="N146" i="26"/>
  <c r="K146" i="26"/>
  <c r="AR145" i="26"/>
  <c r="AU145" i="26" s="1"/>
  <c r="AM145" i="26"/>
  <c r="Q145" i="26" s="1"/>
  <c r="AD145" i="26"/>
  <c r="N145" i="26"/>
  <c r="K145" i="26"/>
  <c r="AR144" i="26"/>
  <c r="AU144" i="26" s="1"/>
  <c r="AM144" i="26"/>
  <c r="Q144" i="26" s="1"/>
  <c r="AD144" i="26"/>
  <c r="P144" i="26" s="1"/>
  <c r="AS144" i="26" s="1"/>
  <c r="N144" i="26"/>
  <c r="K144" i="26"/>
  <c r="AR143" i="26"/>
  <c r="AU143" i="26" s="1"/>
  <c r="AM143" i="26"/>
  <c r="Q143" i="26" s="1"/>
  <c r="AD143" i="26"/>
  <c r="N143" i="26"/>
  <c r="K143" i="26"/>
  <c r="AR142" i="26"/>
  <c r="AU142" i="26" s="1"/>
  <c r="AM142" i="26"/>
  <c r="Q142" i="26" s="1"/>
  <c r="AD142" i="26"/>
  <c r="N142" i="26"/>
  <c r="K142" i="26"/>
  <c r="AR141" i="26"/>
  <c r="AU141" i="26" s="1"/>
  <c r="AM141" i="26"/>
  <c r="Q141" i="26" s="1"/>
  <c r="AD141" i="26"/>
  <c r="N141" i="26"/>
  <c r="K141" i="26"/>
  <c r="AR140" i="26"/>
  <c r="AU140" i="26" s="1"/>
  <c r="AM140" i="26"/>
  <c r="Q140" i="26" s="1"/>
  <c r="AD140" i="26"/>
  <c r="N140" i="26"/>
  <c r="K140" i="26"/>
  <c r="AR139" i="26"/>
  <c r="AU139" i="26" s="1"/>
  <c r="AM139" i="26"/>
  <c r="Q139" i="26" s="1"/>
  <c r="AD139" i="26"/>
  <c r="N139" i="26"/>
  <c r="K139" i="26"/>
  <c r="AR138" i="26"/>
  <c r="AU138" i="26" s="1"/>
  <c r="AM138" i="26"/>
  <c r="Q138" i="26" s="1"/>
  <c r="AD138" i="26"/>
  <c r="N138" i="26"/>
  <c r="K138" i="26"/>
  <c r="AR137" i="26"/>
  <c r="AU137" i="26" s="1"/>
  <c r="AM137" i="26"/>
  <c r="Q137" i="26" s="1"/>
  <c r="AD137" i="26"/>
  <c r="P137" i="26"/>
  <c r="AS137" i="26" s="1"/>
  <c r="N137" i="26"/>
  <c r="K137" i="26"/>
  <c r="AR136" i="26"/>
  <c r="AU136" i="26" s="1"/>
  <c r="AM136" i="26"/>
  <c r="Q136" i="26" s="1"/>
  <c r="AD136" i="26"/>
  <c r="N136" i="26"/>
  <c r="K136" i="26"/>
  <c r="AR135" i="26"/>
  <c r="AU135" i="26" s="1"/>
  <c r="AM135" i="26"/>
  <c r="Q135" i="26" s="1"/>
  <c r="AD135" i="26"/>
  <c r="N135" i="26"/>
  <c r="K135" i="26"/>
  <c r="AR134" i="26"/>
  <c r="AU134" i="26" s="1"/>
  <c r="AM134" i="26"/>
  <c r="Q134" i="26" s="1"/>
  <c r="AD134" i="26"/>
  <c r="N134" i="26"/>
  <c r="K134" i="26"/>
  <c r="AR133" i="26"/>
  <c r="AU133" i="26" s="1"/>
  <c r="AM133" i="26"/>
  <c r="Q133" i="26" s="1"/>
  <c r="AD133" i="26"/>
  <c r="N133" i="26"/>
  <c r="K133" i="26"/>
  <c r="AR132" i="26"/>
  <c r="AU132" i="26" s="1"/>
  <c r="AM132" i="26"/>
  <c r="Q132" i="26" s="1"/>
  <c r="AD132" i="26"/>
  <c r="N132" i="26"/>
  <c r="K132" i="26"/>
  <c r="AR131" i="26"/>
  <c r="AU131" i="26" s="1"/>
  <c r="AM131" i="26"/>
  <c r="Q131" i="26" s="1"/>
  <c r="AD131" i="26"/>
  <c r="N131" i="26"/>
  <c r="K131" i="26"/>
  <c r="AR130" i="26"/>
  <c r="AU130" i="26" s="1"/>
  <c r="AM130" i="26"/>
  <c r="Q130" i="26" s="1"/>
  <c r="AD130" i="26"/>
  <c r="N130" i="26"/>
  <c r="K130" i="26"/>
  <c r="AR129" i="26"/>
  <c r="AU129" i="26" s="1"/>
  <c r="AM129" i="26"/>
  <c r="Q129" i="26" s="1"/>
  <c r="AD129" i="26"/>
  <c r="N129" i="26"/>
  <c r="K129" i="26"/>
  <c r="AR128" i="26"/>
  <c r="AU128" i="26" s="1"/>
  <c r="AM128" i="26"/>
  <c r="Q128" i="26" s="1"/>
  <c r="P128" i="26" s="1"/>
  <c r="AS128" i="26" s="1"/>
  <c r="AD128" i="26"/>
  <c r="N128" i="26"/>
  <c r="K128" i="26"/>
  <c r="AR127" i="26"/>
  <c r="AU127" i="26" s="1"/>
  <c r="AM127" i="26"/>
  <c r="Q127" i="26" s="1"/>
  <c r="AD127" i="26"/>
  <c r="N127" i="26"/>
  <c r="K127" i="26"/>
  <c r="AR126" i="26"/>
  <c r="AU126" i="26" s="1"/>
  <c r="AM126" i="26"/>
  <c r="Q126" i="26" s="1"/>
  <c r="AD126" i="26"/>
  <c r="N126" i="26"/>
  <c r="K126" i="26"/>
  <c r="AR125" i="26"/>
  <c r="AU125" i="26" s="1"/>
  <c r="AM125" i="26"/>
  <c r="Q125" i="26" s="1"/>
  <c r="AD125" i="26"/>
  <c r="N125" i="26"/>
  <c r="K125" i="26"/>
  <c r="AR124" i="26"/>
  <c r="AU124" i="26" s="1"/>
  <c r="AM124" i="26"/>
  <c r="AD124" i="26"/>
  <c r="Q124" i="26"/>
  <c r="N124" i="26"/>
  <c r="K124" i="26"/>
  <c r="AR123" i="26"/>
  <c r="AU123" i="26" s="1"/>
  <c r="AM123" i="26"/>
  <c r="Q123" i="26" s="1"/>
  <c r="AD123" i="26"/>
  <c r="N123" i="26"/>
  <c r="K123" i="26"/>
  <c r="AR122" i="26"/>
  <c r="AU122" i="26" s="1"/>
  <c r="AM122" i="26"/>
  <c r="Q122" i="26" s="1"/>
  <c r="AD122" i="26"/>
  <c r="N122" i="26"/>
  <c r="K122" i="26"/>
  <c r="AR121" i="26"/>
  <c r="AU121" i="26" s="1"/>
  <c r="AM121" i="26"/>
  <c r="Q121" i="26" s="1"/>
  <c r="AD121" i="26"/>
  <c r="N121" i="26"/>
  <c r="K121" i="26"/>
  <c r="AR120" i="26"/>
  <c r="AU120" i="26" s="1"/>
  <c r="AM120" i="26"/>
  <c r="Q120" i="26" s="1"/>
  <c r="AD120" i="26"/>
  <c r="N120" i="26"/>
  <c r="K120" i="26"/>
  <c r="AR119" i="26"/>
  <c r="AU119" i="26" s="1"/>
  <c r="AM119" i="26"/>
  <c r="Q119" i="26" s="1"/>
  <c r="AD119" i="26"/>
  <c r="N119" i="26"/>
  <c r="K119" i="26"/>
  <c r="AR118" i="26"/>
  <c r="AU118" i="26" s="1"/>
  <c r="AM118" i="26"/>
  <c r="Q118" i="26" s="1"/>
  <c r="AD118" i="26"/>
  <c r="N118" i="26"/>
  <c r="K118" i="26"/>
  <c r="AR117" i="26"/>
  <c r="AU117" i="26" s="1"/>
  <c r="AM117" i="26"/>
  <c r="Q117" i="26" s="1"/>
  <c r="AD117" i="26"/>
  <c r="N117" i="26"/>
  <c r="K117" i="26"/>
  <c r="AR116" i="26"/>
  <c r="AU116" i="26" s="1"/>
  <c r="AM116" i="26"/>
  <c r="Q116" i="26" s="1"/>
  <c r="AD116" i="26"/>
  <c r="N116" i="26"/>
  <c r="K116" i="26"/>
  <c r="AR115" i="26"/>
  <c r="AU115" i="26" s="1"/>
  <c r="AM115" i="26"/>
  <c r="Q115" i="26" s="1"/>
  <c r="AD115" i="26"/>
  <c r="N115" i="26"/>
  <c r="K115" i="26"/>
  <c r="AR114" i="26"/>
  <c r="AU114" i="26" s="1"/>
  <c r="AM114" i="26"/>
  <c r="Q114" i="26" s="1"/>
  <c r="AD114" i="26"/>
  <c r="N114" i="26"/>
  <c r="K114" i="26"/>
  <c r="AR113" i="26"/>
  <c r="AU113" i="26" s="1"/>
  <c r="AM113" i="26"/>
  <c r="Q113" i="26" s="1"/>
  <c r="AD113" i="26"/>
  <c r="N113" i="26"/>
  <c r="K113" i="26"/>
  <c r="AR112" i="26"/>
  <c r="AU112" i="26" s="1"/>
  <c r="AM112" i="26"/>
  <c r="Q112" i="26" s="1"/>
  <c r="AD112" i="26"/>
  <c r="N112" i="26"/>
  <c r="K112" i="26"/>
  <c r="AR111" i="26"/>
  <c r="AU111" i="26" s="1"/>
  <c r="AM111" i="26"/>
  <c r="Q111" i="26" s="1"/>
  <c r="AD111" i="26"/>
  <c r="N111" i="26"/>
  <c r="K111" i="26"/>
  <c r="AR110" i="26"/>
  <c r="AU110" i="26" s="1"/>
  <c r="AM110" i="26"/>
  <c r="Q110" i="26" s="1"/>
  <c r="AD110" i="26"/>
  <c r="N110" i="26"/>
  <c r="K110" i="26"/>
  <c r="AR109" i="26"/>
  <c r="AU109" i="26" s="1"/>
  <c r="AM109" i="26"/>
  <c r="AD109" i="26"/>
  <c r="Q109" i="26"/>
  <c r="N109" i="26"/>
  <c r="K109" i="26"/>
  <c r="AR108" i="26"/>
  <c r="AU108" i="26" s="1"/>
  <c r="AM108" i="26"/>
  <c r="Q108" i="26" s="1"/>
  <c r="P108" i="26" s="1"/>
  <c r="AS108" i="26" s="1"/>
  <c r="AD108" i="26"/>
  <c r="N108" i="26"/>
  <c r="K108" i="26"/>
  <c r="AR107" i="26"/>
  <c r="AU107" i="26" s="1"/>
  <c r="AM107" i="26"/>
  <c r="AD107" i="26"/>
  <c r="Q107" i="26"/>
  <c r="N107" i="26"/>
  <c r="K107" i="26"/>
  <c r="AR106" i="26"/>
  <c r="AU106" i="26" s="1"/>
  <c r="AM106" i="26"/>
  <c r="Q106" i="26" s="1"/>
  <c r="AD106" i="26"/>
  <c r="N106" i="26"/>
  <c r="K106" i="26"/>
  <c r="AR105" i="26"/>
  <c r="AU105" i="26" s="1"/>
  <c r="AM105" i="26"/>
  <c r="Q105" i="26" s="1"/>
  <c r="AD105" i="26"/>
  <c r="N105" i="26"/>
  <c r="K105" i="26"/>
  <c r="AR104" i="26"/>
  <c r="AU104" i="26" s="1"/>
  <c r="AM104" i="26"/>
  <c r="Q104" i="26" s="1"/>
  <c r="AD104" i="26"/>
  <c r="N104" i="26"/>
  <c r="K104" i="26"/>
  <c r="AR103" i="26"/>
  <c r="AU103" i="26" s="1"/>
  <c r="AM103" i="26"/>
  <c r="Q103" i="26" s="1"/>
  <c r="AD103" i="26"/>
  <c r="N103" i="26"/>
  <c r="K103" i="26"/>
  <c r="AR102" i="26"/>
  <c r="AU102" i="26" s="1"/>
  <c r="AM102" i="26"/>
  <c r="Q102" i="26" s="1"/>
  <c r="AD102" i="26"/>
  <c r="P102" i="26"/>
  <c r="AS102" i="26" s="1"/>
  <c r="N102" i="26"/>
  <c r="K102" i="26"/>
  <c r="AR101" i="26"/>
  <c r="AU101" i="26" s="1"/>
  <c r="AM101" i="26"/>
  <c r="AD101" i="26"/>
  <c r="Q101" i="26"/>
  <c r="N101" i="26"/>
  <c r="K101" i="26"/>
  <c r="AR100" i="26"/>
  <c r="AU100" i="26" s="1"/>
  <c r="AM100" i="26"/>
  <c r="AD100" i="26"/>
  <c r="Q100" i="26"/>
  <c r="N100" i="26"/>
  <c r="K100" i="26"/>
  <c r="AR99" i="26"/>
  <c r="AU99" i="26" s="1"/>
  <c r="AM99" i="26"/>
  <c r="Q99" i="26" s="1"/>
  <c r="AD99" i="26"/>
  <c r="P99" i="26"/>
  <c r="AS99" i="26" s="1"/>
  <c r="N99" i="26"/>
  <c r="K99" i="26"/>
  <c r="AR98" i="26"/>
  <c r="AU98" i="26" s="1"/>
  <c r="AM98" i="26"/>
  <c r="Q98" i="26" s="1"/>
  <c r="AD98" i="26"/>
  <c r="N98" i="26"/>
  <c r="K98" i="26"/>
  <c r="AR97" i="26"/>
  <c r="AU97" i="26" s="1"/>
  <c r="AM97" i="26"/>
  <c r="AD97" i="26"/>
  <c r="Q97" i="26"/>
  <c r="N97" i="26"/>
  <c r="K97" i="26"/>
  <c r="AR96" i="26"/>
  <c r="AU96" i="26" s="1"/>
  <c r="AM96" i="26"/>
  <c r="Q96" i="26" s="1"/>
  <c r="AD96" i="26"/>
  <c r="N96" i="26"/>
  <c r="K96" i="26"/>
  <c r="AR95" i="26"/>
  <c r="AU95" i="26" s="1"/>
  <c r="AM95" i="26"/>
  <c r="Q95" i="26" s="1"/>
  <c r="P95" i="26" s="1"/>
  <c r="AS95" i="26" s="1"/>
  <c r="AD95" i="26"/>
  <c r="N95" i="26"/>
  <c r="K95" i="26"/>
  <c r="AR94" i="26"/>
  <c r="AU94" i="26" s="1"/>
  <c r="AM94" i="26"/>
  <c r="Q94" i="26" s="1"/>
  <c r="AD94" i="26"/>
  <c r="N94" i="26"/>
  <c r="K94" i="26"/>
  <c r="AR93" i="26"/>
  <c r="AU93" i="26" s="1"/>
  <c r="AM93" i="26"/>
  <c r="Q93" i="26" s="1"/>
  <c r="P93" i="26" s="1"/>
  <c r="AS93" i="26" s="1"/>
  <c r="AD93" i="26"/>
  <c r="N93" i="26"/>
  <c r="K93" i="26"/>
  <c r="AR92" i="26"/>
  <c r="AU92" i="26" s="1"/>
  <c r="AM92" i="26"/>
  <c r="Q92" i="26" s="1"/>
  <c r="AD92" i="26"/>
  <c r="N92" i="26"/>
  <c r="K92" i="26"/>
  <c r="AR91" i="26"/>
  <c r="AU91" i="26" s="1"/>
  <c r="AM91" i="26"/>
  <c r="Q91" i="26" s="1"/>
  <c r="AD91" i="26"/>
  <c r="N91" i="26"/>
  <c r="K91" i="26"/>
  <c r="AR90" i="26"/>
  <c r="AU90" i="26" s="1"/>
  <c r="AM90" i="26"/>
  <c r="Q90" i="26" s="1"/>
  <c r="AD90" i="26"/>
  <c r="N90" i="26"/>
  <c r="K90" i="26"/>
  <c r="AR89" i="26"/>
  <c r="AU89" i="26" s="1"/>
  <c r="AM89" i="26"/>
  <c r="Q89" i="26" s="1"/>
  <c r="AD89" i="26"/>
  <c r="N89" i="26"/>
  <c r="K89" i="26"/>
  <c r="AR88" i="26"/>
  <c r="AU88" i="26" s="1"/>
  <c r="AM88" i="26"/>
  <c r="Q88" i="26" s="1"/>
  <c r="AD88" i="26"/>
  <c r="N88" i="26"/>
  <c r="K88" i="26"/>
  <c r="AR87" i="26"/>
  <c r="AU87" i="26" s="1"/>
  <c r="AM87" i="26"/>
  <c r="Q87" i="26" s="1"/>
  <c r="AD87" i="26"/>
  <c r="N87" i="26"/>
  <c r="K87" i="26"/>
  <c r="AR86" i="26"/>
  <c r="AU86" i="26" s="1"/>
  <c r="AM86" i="26"/>
  <c r="Q86" i="26" s="1"/>
  <c r="AD86" i="26"/>
  <c r="N86" i="26"/>
  <c r="K86" i="26"/>
  <c r="AR85" i="26"/>
  <c r="AU85" i="26" s="1"/>
  <c r="AM85" i="26"/>
  <c r="Q85" i="26" s="1"/>
  <c r="AD85" i="26"/>
  <c r="N85" i="26"/>
  <c r="K85" i="26"/>
  <c r="AR84" i="26"/>
  <c r="AU84" i="26" s="1"/>
  <c r="AM84" i="26"/>
  <c r="Q84" i="26" s="1"/>
  <c r="AD84" i="26"/>
  <c r="N84" i="26"/>
  <c r="K84" i="26"/>
  <c r="AR83" i="26"/>
  <c r="AU83" i="26" s="1"/>
  <c r="AM83" i="26"/>
  <c r="Q83" i="26" s="1"/>
  <c r="AD83" i="26"/>
  <c r="N83" i="26"/>
  <c r="K83" i="26"/>
  <c r="AR82" i="26"/>
  <c r="AU82" i="26" s="1"/>
  <c r="AM82" i="26"/>
  <c r="Q82" i="26" s="1"/>
  <c r="AD82" i="26"/>
  <c r="N82" i="26"/>
  <c r="K82" i="26"/>
  <c r="AR81" i="26"/>
  <c r="AU81" i="26" s="1"/>
  <c r="AM81" i="26"/>
  <c r="Q81" i="26" s="1"/>
  <c r="AD81" i="26"/>
  <c r="N81" i="26"/>
  <c r="K81" i="26"/>
  <c r="AR80" i="26"/>
  <c r="AU80" i="26" s="1"/>
  <c r="AM80" i="26"/>
  <c r="Q80" i="26" s="1"/>
  <c r="AD80" i="26"/>
  <c r="N80" i="26"/>
  <c r="K80" i="26"/>
  <c r="AR79" i="26"/>
  <c r="AU79" i="26" s="1"/>
  <c r="AM79" i="26"/>
  <c r="Q79" i="26" s="1"/>
  <c r="AD79" i="26"/>
  <c r="N79" i="26"/>
  <c r="K79" i="26"/>
  <c r="AR78" i="26"/>
  <c r="AU78" i="26" s="1"/>
  <c r="AM78" i="26"/>
  <c r="Q78" i="26" s="1"/>
  <c r="AD78" i="26"/>
  <c r="N78" i="26"/>
  <c r="K78" i="26"/>
  <c r="AR77" i="26"/>
  <c r="AU77" i="26" s="1"/>
  <c r="AM77" i="26"/>
  <c r="Q77" i="26" s="1"/>
  <c r="AD77" i="26"/>
  <c r="N77" i="26"/>
  <c r="K77" i="26"/>
  <c r="AR76" i="26"/>
  <c r="AU76" i="26" s="1"/>
  <c r="AM76" i="26"/>
  <c r="Q76" i="26" s="1"/>
  <c r="AD76" i="26"/>
  <c r="N76" i="26"/>
  <c r="K76" i="26"/>
  <c r="AR75" i="26"/>
  <c r="AU75" i="26" s="1"/>
  <c r="AM75" i="26"/>
  <c r="Q75" i="26" s="1"/>
  <c r="AD75" i="26"/>
  <c r="N75" i="26"/>
  <c r="K75" i="26"/>
  <c r="AR74" i="26"/>
  <c r="AU74" i="26" s="1"/>
  <c r="AM74" i="26"/>
  <c r="Q74" i="26" s="1"/>
  <c r="AD74" i="26"/>
  <c r="N74" i="26"/>
  <c r="K74" i="26"/>
  <c r="AR73" i="26"/>
  <c r="AU73" i="26" s="1"/>
  <c r="AM73" i="26"/>
  <c r="Q73" i="26" s="1"/>
  <c r="AD73" i="26"/>
  <c r="N73" i="26"/>
  <c r="K73" i="26"/>
  <c r="AR72" i="26"/>
  <c r="AU72" i="26" s="1"/>
  <c r="AM72" i="26"/>
  <c r="Q72" i="26" s="1"/>
  <c r="AD72" i="26"/>
  <c r="N72" i="26"/>
  <c r="K72" i="26"/>
  <c r="AR71" i="26"/>
  <c r="AU71" i="26" s="1"/>
  <c r="AM71" i="26"/>
  <c r="Q71" i="26" s="1"/>
  <c r="AD71" i="26"/>
  <c r="N71" i="26"/>
  <c r="K71" i="26"/>
  <c r="AR70" i="26"/>
  <c r="AU70" i="26" s="1"/>
  <c r="AM70" i="26"/>
  <c r="Q70" i="26" s="1"/>
  <c r="AD70" i="26"/>
  <c r="N70" i="26"/>
  <c r="K70" i="26"/>
  <c r="AR69" i="26"/>
  <c r="AU69" i="26" s="1"/>
  <c r="AM69" i="26"/>
  <c r="Q69" i="26" s="1"/>
  <c r="AD69" i="26"/>
  <c r="N69" i="26"/>
  <c r="K69" i="26"/>
  <c r="AR68" i="26"/>
  <c r="AU68" i="26" s="1"/>
  <c r="AM68" i="26"/>
  <c r="Q68" i="26" s="1"/>
  <c r="AD68" i="26"/>
  <c r="N68" i="26"/>
  <c r="K68" i="26"/>
  <c r="AR67" i="26"/>
  <c r="AU67" i="26" s="1"/>
  <c r="AM67" i="26"/>
  <c r="Q67" i="26" s="1"/>
  <c r="AD67" i="26"/>
  <c r="N67" i="26"/>
  <c r="K67" i="26"/>
  <c r="AR66" i="26"/>
  <c r="AU66" i="26" s="1"/>
  <c r="AM66" i="26"/>
  <c r="AD66" i="26"/>
  <c r="Q66" i="26"/>
  <c r="N66" i="26"/>
  <c r="K66" i="26"/>
  <c r="AR65" i="26"/>
  <c r="AU65" i="26" s="1"/>
  <c r="AM65" i="26"/>
  <c r="Q65" i="26" s="1"/>
  <c r="AD65" i="26"/>
  <c r="N65" i="26"/>
  <c r="K65" i="26"/>
  <c r="AR64" i="26"/>
  <c r="AU64" i="26" s="1"/>
  <c r="AM64" i="26"/>
  <c r="AD64" i="26"/>
  <c r="Q64" i="26"/>
  <c r="P64" i="26" s="1"/>
  <c r="AS64" i="26" s="1"/>
  <c r="N64" i="26"/>
  <c r="K64" i="26"/>
  <c r="AR63" i="26"/>
  <c r="AU63" i="26" s="1"/>
  <c r="AM63" i="26"/>
  <c r="Q63" i="26" s="1"/>
  <c r="P63" i="26" s="1"/>
  <c r="AS63" i="26" s="1"/>
  <c r="AD63" i="26"/>
  <c r="N63" i="26"/>
  <c r="K63" i="26"/>
  <c r="AR62" i="26"/>
  <c r="AU62" i="26" s="1"/>
  <c r="AM62" i="26"/>
  <c r="Q62" i="26" s="1"/>
  <c r="AD62" i="26"/>
  <c r="N62" i="26"/>
  <c r="K62" i="26"/>
  <c r="AR61" i="26"/>
  <c r="AU61" i="26" s="1"/>
  <c r="AM61" i="26"/>
  <c r="Q61" i="26" s="1"/>
  <c r="AD61" i="26"/>
  <c r="N61" i="26"/>
  <c r="K61" i="26"/>
  <c r="AR60" i="26"/>
  <c r="AU60" i="26" s="1"/>
  <c r="AM60" i="26"/>
  <c r="Q60" i="26" s="1"/>
  <c r="AD60" i="26"/>
  <c r="N60" i="26"/>
  <c r="K60" i="26"/>
  <c r="AR59" i="26"/>
  <c r="AU59" i="26" s="1"/>
  <c r="AM59" i="26"/>
  <c r="Q59" i="26" s="1"/>
  <c r="AD59" i="26"/>
  <c r="N59" i="26"/>
  <c r="K59" i="26"/>
  <c r="AR58" i="26"/>
  <c r="AU58" i="26" s="1"/>
  <c r="AM58" i="26"/>
  <c r="Q58" i="26" s="1"/>
  <c r="AD58" i="26"/>
  <c r="N58" i="26"/>
  <c r="K58" i="26"/>
  <c r="AR57" i="26"/>
  <c r="AU57" i="26" s="1"/>
  <c r="AM57" i="26"/>
  <c r="Q57" i="26" s="1"/>
  <c r="AD57" i="26"/>
  <c r="N57" i="26"/>
  <c r="K57" i="26"/>
  <c r="AR56" i="26"/>
  <c r="AU56" i="26" s="1"/>
  <c r="AM56" i="26"/>
  <c r="Q56" i="26" s="1"/>
  <c r="AD56" i="26"/>
  <c r="N56" i="26"/>
  <c r="K56" i="26"/>
  <c r="AR55" i="26"/>
  <c r="AU55" i="26" s="1"/>
  <c r="AM55" i="26"/>
  <c r="Q55" i="26" s="1"/>
  <c r="AD55" i="26"/>
  <c r="N55" i="26"/>
  <c r="K55" i="26"/>
  <c r="AR54" i="26"/>
  <c r="AU54" i="26" s="1"/>
  <c r="AM54" i="26"/>
  <c r="Q54" i="26" s="1"/>
  <c r="AD54" i="26"/>
  <c r="N54" i="26"/>
  <c r="K54" i="26"/>
  <c r="AR53" i="26"/>
  <c r="AU53" i="26" s="1"/>
  <c r="AM53" i="26"/>
  <c r="Q53" i="26" s="1"/>
  <c r="AD53" i="26"/>
  <c r="N53" i="26"/>
  <c r="K53" i="26"/>
  <c r="AR52" i="26"/>
  <c r="AU52" i="26" s="1"/>
  <c r="AM52" i="26"/>
  <c r="Q52" i="26" s="1"/>
  <c r="AD52" i="26"/>
  <c r="N52" i="26"/>
  <c r="K52" i="26"/>
  <c r="AR51" i="26"/>
  <c r="AU51" i="26" s="1"/>
  <c r="AM51" i="26"/>
  <c r="Q51" i="26" s="1"/>
  <c r="AD51" i="26"/>
  <c r="N51" i="26"/>
  <c r="K51" i="26"/>
  <c r="AR50" i="26"/>
  <c r="AU50" i="26" s="1"/>
  <c r="AM50" i="26"/>
  <c r="Q50" i="26" s="1"/>
  <c r="AD50" i="26"/>
  <c r="N50" i="26"/>
  <c r="K50" i="26"/>
  <c r="AR49" i="26"/>
  <c r="AU49" i="26" s="1"/>
  <c r="AM49" i="26"/>
  <c r="Q49" i="26" s="1"/>
  <c r="AD49" i="26"/>
  <c r="N49" i="26"/>
  <c r="K49" i="26"/>
  <c r="AR48" i="26"/>
  <c r="AU48" i="26" s="1"/>
  <c r="AM48" i="26"/>
  <c r="Q48" i="26" s="1"/>
  <c r="AD48" i="26"/>
  <c r="N48" i="26"/>
  <c r="K48" i="26"/>
  <c r="AR47" i="26"/>
  <c r="AU47" i="26" s="1"/>
  <c r="AM47" i="26"/>
  <c r="AD47" i="26"/>
  <c r="Q47" i="26"/>
  <c r="N47" i="26"/>
  <c r="K47" i="26"/>
  <c r="AR46" i="26"/>
  <c r="AU46" i="26" s="1"/>
  <c r="AM46" i="26"/>
  <c r="Q46" i="26" s="1"/>
  <c r="AD46" i="26"/>
  <c r="N46" i="26"/>
  <c r="K46" i="26"/>
  <c r="AR45" i="26"/>
  <c r="AU45" i="26" s="1"/>
  <c r="AM45" i="26"/>
  <c r="Q45" i="26" s="1"/>
  <c r="AD45" i="26"/>
  <c r="N45" i="26"/>
  <c r="K45" i="26"/>
  <c r="AR44" i="26"/>
  <c r="AU44" i="26" s="1"/>
  <c r="AM44" i="26"/>
  <c r="Q44" i="26" s="1"/>
  <c r="AD44" i="26"/>
  <c r="N44" i="26"/>
  <c r="K44" i="26"/>
  <c r="AR43" i="26"/>
  <c r="AU43" i="26" s="1"/>
  <c r="AM43" i="26"/>
  <c r="Q43" i="26" s="1"/>
  <c r="AD43" i="26"/>
  <c r="N43" i="26"/>
  <c r="K43" i="26"/>
  <c r="AR42" i="26"/>
  <c r="AU42" i="26" s="1"/>
  <c r="AM42" i="26"/>
  <c r="Q42" i="26" s="1"/>
  <c r="AD42" i="26"/>
  <c r="N42" i="26"/>
  <c r="K42" i="26"/>
  <c r="AR41" i="26"/>
  <c r="AU41" i="26" s="1"/>
  <c r="AM41" i="26"/>
  <c r="Q41" i="26" s="1"/>
  <c r="AD41" i="26"/>
  <c r="N41" i="26"/>
  <c r="K41" i="26"/>
  <c r="AR40" i="26"/>
  <c r="AU40" i="26" s="1"/>
  <c r="AM40" i="26"/>
  <c r="Q40" i="26" s="1"/>
  <c r="AD40" i="26"/>
  <c r="N40" i="26"/>
  <c r="K40" i="26"/>
  <c r="AR39" i="26"/>
  <c r="AU39" i="26" s="1"/>
  <c r="AM39" i="26"/>
  <c r="Q39" i="26" s="1"/>
  <c r="AD39" i="26"/>
  <c r="N39" i="26"/>
  <c r="K39" i="26"/>
  <c r="AR38" i="26"/>
  <c r="AU38" i="26" s="1"/>
  <c r="AM38" i="26"/>
  <c r="Q38" i="26" s="1"/>
  <c r="AD38" i="26"/>
  <c r="N38" i="26"/>
  <c r="K38" i="26"/>
  <c r="AR37" i="26"/>
  <c r="AU37" i="26" s="1"/>
  <c r="AM37" i="26"/>
  <c r="Q37" i="26" s="1"/>
  <c r="AD37" i="26"/>
  <c r="N37" i="26"/>
  <c r="K37" i="26"/>
  <c r="AR36" i="26"/>
  <c r="AU36" i="26" s="1"/>
  <c r="AM36" i="26"/>
  <c r="Q36" i="26" s="1"/>
  <c r="AD36" i="26"/>
  <c r="N36" i="26"/>
  <c r="K36" i="26"/>
  <c r="AR35" i="26"/>
  <c r="AU35" i="26" s="1"/>
  <c r="AM35" i="26"/>
  <c r="Q35" i="26" s="1"/>
  <c r="AD35" i="26"/>
  <c r="N35" i="26"/>
  <c r="K35" i="26"/>
  <c r="AR34" i="26"/>
  <c r="AU34" i="26" s="1"/>
  <c r="AM34" i="26"/>
  <c r="Q34" i="26" s="1"/>
  <c r="AD34" i="26"/>
  <c r="N34" i="26"/>
  <c r="K34" i="26"/>
  <c r="AO33" i="26"/>
  <c r="AM33" i="26"/>
  <c r="Q33" i="26" s="1"/>
  <c r="AD33" i="26"/>
  <c r="N33" i="26"/>
  <c r="K33" i="26"/>
  <c r="AO32" i="26"/>
  <c r="AM32" i="26"/>
  <c r="Q32" i="26" s="1"/>
  <c r="AD32" i="26"/>
  <c r="N32" i="26"/>
  <c r="K32" i="26"/>
  <c r="AO31" i="26"/>
  <c r="AR31" i="26" s="1"/>
  <c r="AU31" i="26" s="1"/>
  <c r="AM31" i="26"/>
  <c r="Q31" i="26" s="1"/>
  <c r="AD31" i="26"/>
  <c r="N31" i="26"/>
  <c r="K31" i="26"/>
  <c r="AO30" i="26"/>
  <c r="AR30" i="26" s="1"/>
  <c r="AU30" i="26" s="1"/>
  <c r="AM30" i="26"/>
  <c r="Q30" i="26" s="1"/>
  <c r="AD30" i="26"/>
  <c r="N30" i="26"/>
  <c r="K30" i="26"/>
  <c r="AR29" i="26"/>
  <c r="AU29" i="26" s="1"/>
  <c r="AM29" i="26"/>
  <c r="Q29" i="26" s="1"/>
  <c r="AD29" i="26"/>
  <c r="N29" i="26"/>
  <c r="K29" i="26"/>
  <c r="AR28" i="26"/>
  <c r="AU28" i="26" s="1"/>
  <c r="AM28" i="26"/>
  <c r="Q28" i="26" s="1"/>
  <c r="AD28" i="26"/>
  <c r="N28" i="26"/>
  <c r="K28" i="26"/>
  <c r="AR27" i="26"/>
  <c r="AU27" i="26" s="1"/>
  <c r="AM27" i="26"/>
  <c r="Q27" i="26" s="1"/>
  <c r="AD27" i="26"/>
  <c r="N27" i="26"/>
  <c r="K27" i="26"/>
  <c r="AR26" i="26"/>
  <c r="AU26" i="26" s="1"/>
  <c r="AM26" i="26"/>
  <c r="Q26" i="26" s="1"/>
  <c r="AD26" i="26"/>
  <c r="N26" i="26"/>
  <c r="K26" i="26"/>
  <c r="AR25" i="26"/>
  <c r="AU25" i="26" s="1"/>
  <c r="AM25" i="26"/>
  <c r="Q25" i="26" s="1"/>
  <c r="AD25" i="26"/>
  <c r="N25" i="26"/>
  <c r="K25" i="26"/>
  <c r="AR24" i="26"/>
  <c r="AU24" i="26" s="1"/>
  <c r="AM24" i="26"/>
  <c r="Q24" i="26" s="1"/>
  <c r="AD24" i="26"/>
  <c r="N24" i="26"/>
  <c r="K24" i="26"/>
  <c r="AR23" i="26"/>
  <c r="AU23" i="26" s="1"/>
  <c r="AM23" i="26"/>
  <c r="Q23" i="26" s="1"/>
  <c r="AD23" i="26"/>
  <c r="N23" i="26"/>
  <c r="K23" i="26"/>
  <c r="AR22" i="26"/>
  <c r="AU22" i="26" s="1"/>
  <c r="AM22" i="26"/>
  <c r="Q22" i="26" s="1"/>
  <c r="AD22" i="26"/>
  <c r="N22" i="26"/>
  <c r="K22" i="26"/>
  <c r="AR21" i="26"/>
  <c r="AU21" i="26" s="1"/>
  <c r="AM21" i="26"/>
  <c r="Q21" i="26" s="1"/>
  <c r="AD21" i="26"/>
  <c r="N21" i="26"/>
  <c r="K21" i="26"/>
  <c r="AR20" i="26"/>
  <c r="AU20" i="26" s="1"/>
  <c r="AM20" i="26"/>
  <c r="Q20" i="26" s="1"/>
  <c r="P20" i="26" s="1"/>
  <c r="AS20" i="26" s="1"/>
  <c r="AD20" i="26"/>
  <c r="N20" i="26"/>
  <c r="K20" i="26"/>
  <c r="AR19" i="26"/>
  <c r="AU19" i="26" s="1"/>
  <c r="AM19" i="26"/>
  <c r="Q19" i="26" s="1"/>
  <c r="AD19" i="26"/>
  <c r="N19" i="26"/>
  <c r="K19" i="26"/>
  <c r="AR18" i="26"/>
  <c r="AU18" i="26" s="1"/>
  <c r="AM18" i="26"/>
  <c r="Q18" i="26" s="1"/>
  <c r="P18" i="26" s="1"/>
  <c r="AS18" i="26" s="1"/>
  <c r="AD18" i="26"/>
  <c r="N18" i="26"/>
  <c r="K18" i="26"/>
  <c r="AR17" i="26"/>
  <c r="AU17" i="26" s="1"/>
  <c r="AM17" i="26"/>
  <c r="Q17" i="26" s="1"/>
  <c r="AD17" i="26"/>
  <c r="N17" i="26"/>
  <c r="K17" i="26"/>
  <c r="AR16" i="26"/>
  <c r="AU16" i="26" s="1"/>
  <c r="AM16" i="26"/>
  <c r="Q16" i="26" s="1"/>
  <c r="AD16" i="26"/>
  <c r="N16" i="26"/>
  <c r="K16" i="26"/>
  <c r="AR15" i="26"/>
  <c r="AU15" i="26" s="1"/>
  <c r="AM15" i="26"/>
  <c r="Q15" i="26" s="1"/>
  <c r="AD15" i="26"/>
  <c r="N15" i="26"/>
  <c r="K15" i="26"/>
  <c r="AR14" i="26"/>
  <c r="AU14" i="26" s="1"/>
  <c r="AM14" i="26"/>
  <c r="Q14" i="26" s="1"/>
  <c r="AD14" i="26"/>
  <c r="N14" i="26"/>
  <c r="K14" i="26"/>
  <c r="AR13" i="26"/>
  <c r="AU13" i="26" s="1"/>
  <c r="AM13" i="26"/>
  <c r="Q13" i="26" s="1"/>
  <c r="AD13" i="26"/>
  <c r="N13" i="26"/>
  <c r="K13" i="26"/>
  <c r="AR12" i="26"/>
  <c r="AM12" i="26"/>
  <c r="AD12" i="26"/>
  <c r="N12" i="26"/>
  <c r="K12" i="26"/>
  <c r="AQ11" i="26"/>
  <c r="AP11" i="26"/>
  <c r="AL11" i="26"/>
  <c r="AK11" i="26"/>
  <c r="AJ11" i="26"/>
  <c r="AI11" i="26"/>
  <c r="AH11" i="26"/>
  <c r="AG11" i="26"/>
  <c r="AF11" i="26"/>
  <c r="AE11" i="26"/>
  <c r="AC11" i="26"/>
  <c r="AB11" i="26"/>
  <c r="AA11" i="26"/>
  <c r="Z11" i="26"/>
  <c r="Y11" i="26"/>
  <c r="X11" i="26"/>
  <c r="W11" i="26"/>
  <c r="V11" i="26"/>
  <c r="U11" i="26"/>
  <c r="T11" i="26"/>
  <c r="S11" i="26"/>
  <c r="R11" i="26"/>
  <c r="AA11" i="16"/>
  <c r="Z11" i="16"/>
  <c r="X11" i="16"/>
  <c r="W11" i="16"/>
  <c r="V11" i="16"/>
  <c r="AC13" i="16"/>
  <c r="AD11" i="16"/>
  <c r="AQ436" i="16"/>
  <c r="AT436" i="16" s="1"/>
  <c r="J436" i="16"/>
  <c r="AQ435" i="16"/>
  <c r="AC435" i="16"/>
  <c r="AC436" i="16"/>
  <c r="J435" i="16"/>
  <c r="AT435" i="16"/>
  <c r="AQ434" i="16"/>
  <c r="AT434" i="16" s="1"/>
  <c r="AC434" i="16"/>
  <c r="J434" i="16"/>
  <c r="AQ433" i="16"/>
  <c r="AT433" i="16" s="1"/>
  <c r="AC433" i="16"/>
  <c r="J433" i="16"/>
  <c r="AQ432" i="16"/>
  <c r="AT432" i="16" s="1"/>
  <c r="AC432" i="16"/>
  <c r="J432" i="16"/>
  <c r="AQ431" i="16"/>
  <c r="AT431" i="16" s="1"/>
  <c r="J431" i="16"/>
  <c r="AQ430" i="16"/>
  <c r="AT430" i="16" s="1"/>
  <c r="J430" i="16"/>
  <c r="AQ429" i="16"/>
  <c r="AT429" i="16" s="1"/>
  <c r="J429" i="16"/>
  <c r="AQ428" i="16"/>
  <c r="AT428" i="16" s="1"/>
  <c r="J428" i="16"/>
  <c r="AQ427" i="16"/>
  <c r="AT427" i="16" s="1"/>
  <c r="J427" i="16"/>
  <c r="AQ426" i="16"/>
  <c r="AT426" i="16" s="1"/>
  <c r="AC425" i="16"/>
  <c r="AC426" i="16"/>
  <c r="AC427" i="16"/>
  <c r="AC428" i="16"/>
  <c r="AC429" i="16"/>
  <c r="AC430" i="16"/>
  <c r="AC431" i="16"/>
  <c r="J426" i="16"/>
  <c r="AQ425" i="16"/>
  <c r="AT425" i="16" s="1"/>
  <c r="AL425" i="16"/>
  <c r="P425" i="16" s="1"/>
  <c r="AL426" i="16"/>
  <c r="P426" i="16" s="1"/>
  <c r="AL427" i="16"/>
  <c r="P427" i="16" s="1"/>
  <c r="AM427" i="16" s="1"/>
  <c r="AS427" i="16" s="1"/>
  <c r="AL428" i="16"/>
  <c r="P428" i="16" s="1"/>
  <c r="AL429" i="16"/>
  <c r="P429" i="16" s="1"/>
  <c r="AL430" i="16"/>
  <c r="P430" i="16" s="1"/>
  <c r="AL431" i="16"/>
  <c r="P431" i="16" s="1"/>
  <c r="AM431" i="16" s="1"/>
  <c r="AS431" i="16" s="1"/>
  <c r="AL432" i="16"/>
  <c r="P432" i="16" s="1"/>
  <c r="AL433" i="16"/>
  <c r="P433" i="16" s="1"/>
  <c r="AL434" i="16"/>
  <c r="P434" i="16" s="1"/>
  <c r="AL435" i="16"/>
  <c r="P435" i="16" s="1"/>
  <c r="AL436" i="16"/>
  <c r="P436" i="16" s="1"/>
  <c r="P437" i="16"/>
  <c r="O437" i="16" s="1"/>
  <c r="M425" i="16"/>
  <c r="M426" i="16"/>
  <c r="M427" i="16"/>
  <c r="M428" i="16"/>
  <c r="M429" i="16"/>
  <c r="M430" i="16"/>
  <c r="M431" i="16"/>
  <c r="M432" i="16"/>
  <c r="M433" i="16"/>
  <c r="M434" i="16"/>
  <c r="M435" i="16"/>
  <c r="M436" i="16"/>
  <c r="M437" i="16"/>
  <c r="J425" i="16"/>
  <c r="Q24" i="27" l="1"/>
  <c r="Q23" i="27" s="1"/>
  <c r="J13" i="27"/>
  <c r="J7" i="27" s="1"/>
  <c r="Q13" i="27"/>
  <c r="Q7" i="27" s="1"/>
  <c r="P13" i="27"/>
  <c r="P7" i="27" s="1"/>
  <c r="I7" i="27"/>
  <c r="N19" i="27"/>
  <c r="P52" i="26"/>
  <c r="AS52" i="26" s="1"/>
  <c r="P171" i="26"/>
  <c r="AS171" i="26" s="1"/>
  <c r="P271" i="26"/>
  <c r="AS271" i="26" s="1"/>
  <c r="P285" i="26"/>
  <c r="AS285" i="26" s="1"/>
  <c r="P301" i="26"/>
  <c r="AS301" i="26" s="1"/>
  <c r="P360" i="26"/>
  <c r="AS360" i="26" s="1"/>
  <c r="P395" i="26"/>
  <c r="AS395" i="26" s="1"/>
  <c r="AN129" i="26"/>
  <c r="AT129" i="26" s="1"/>
  <c r="P382" i="26"/>
  <c r="AS382" i="26" s="1"/>
  <c r="P427" i="26"/>
  <c r="AS427" i="26" s="1"/>
  <c r="P412" i="26"/>
  <c r="AS412" i="26" s="1"/>
  <c r="AV412" i="26" s="1"/>
  <c r="P413" i="26"/>
  <c r="AS413" i="26" s="1"/>
  <c r="P328" i="26"/>
  <c r="AS328" i="26" s="1"/>
  <c r="P347" i="26"/>
  <c r="AS347" i="26" s="1"/>
  <c r="P160" i="26"/>
  <c r="AS160" i="26" s="1"/>
  <c r="P375" i="26"/>
  <c r="AS375" i="26" s="1"/>
  <c r="P266" i="26"/>
  <c r="AS266" i="26" s="1"/>
  <c r="P388" i="26"/>
  <c r="AS388" i="26" s="1"/>
  <c r="AN395" i="26"/>
  <c r="AT395" i="26" s="1"/>
  <c r="P397" i="26"/>
  <c r="AS397" i="26" s="1"/>
  <c r="P313" i="26"/>
  <c r="AS313" i="26" s="1"/>
  <c r="P327" i="26"/>
  <c r="AS327" i="26" s="1"/>
  <c r="P35" i="26"/>
  <c r="AS35" i="26" s="1"/>
  <c r="P127" i="26"/>
  <c r="AS127" i="26" s="1"/>
  <c r="AV127" i="26" s="1"/>
  <c r="AN160" i="26"/>
  <c r="AT160" i="26" s="1"/>
  <c r="P82" i="26"/>
  <c r="AS82" i="26" s="1"/>
  <c r="P118" i="26"/>
  <c r="AS118" i="26" s="1"/>
  <c r="P134" i="26"/>
  <c r="AS134" i="26" s="1"/>
  <c r="AN297" i="26"/>
  <c r="P325" i="26"/>
  <c r="AS325" i="26" s="1"/>
  <c r="AN389" i="26"/>
  <c r="AT389" i="26" s="1"/>
  <c r="AN362" i="26"/>
  <c r="AT362" i="26" s="1"/>
  <c r="P315" i="26"/>
  <c r="AS315" i="26" s="1"/>
  <c r="P174" i="26"/>
  <c r="AS174" i="26" s="1"/>
  <c r="P210" i="26"/>
  <c r="AS210" i="26" s="1"/>
  <c r="P391" i="26"/>
  <c r="AS391" i="26" s="1"/>
  <c r="AN132" i="26"/>
  <c r="AT132" i="26" s="1"/>
  <c r="P206" i="26"/>
  <c r="AS206" i="26" s="1"/>
  <c r="P218" i="26"/>
  <c r="AS218" i="26" s="1"/>
  <c r="AN368" i="26"/>
  <c r="AT368" i="26" s="1"/>
  <c r="P380" i="26"/>
  <c r="AS380" i="26" s="1"/>
  <c r="P387" i="26"/>
  <c r="AS387" i="26" s="1"/>
  <c r="P88" i="26"/>
  <c r="AS88" i="26" s="1"/>
  <c r="P133" i="26"/>
  <c r="AS133" i="26" s="1"/>
  <c r="P262" i="26"/>
  <c r="AS262" i="26" s="1"/>
  <c r="P143" i="26"/>
  <c r="AS143" i="26" s="1"/>
  <c r="P186" i="26"/>
  <c r="AS186" i="26" s="1"/>
  <c r="P199" i="26"/>
  <c r="AS199" i="26" s="1"/>
  <c r="P44" i="26"/>
  <c r="AS44" i="26" s="1"/>
  <c r="AN74" i="26"/>
  <c r="AT74" i="26" s="1"/>
  <c r="P157" i="26"/>
  <c r="AS157" i="26" s="1"/>
  <c r="P169" i="26"/>
  <c r="AS169" i="26" s="1"/>
  <c r="P115" i="26"/>
  <c r="AS115" i="26" s="1"/>
  <c r="P155" i="26"/>
  <c r="AS155" i="26" s="1"/>
  <c r="P90" i="26"/>
  <c r="AS90" i="26" s="1"/>
  <c r="AN105" i="26"/>
  <c r="AT105" i="26" s="1"/>
  <c r="P135" i="26"/>
  <c r="AS135" i="26" s="1"/>
  <c r="P192" i="26"/>
  <c r="AS192" i="26" s="1"/>
  <c r="P230" i="26"/>
  <c r="AS230" i="26" s="1"/>
  <c r="AN412" i="26"/>
  <c r="AT412" i="26" s="1"/>
  <c r="P259" i="26"/>
  <c r="AS259" i="26" s="1"/>
  <c r="P345" i="26"/>
  <c r="AS345" i="26" s="1"/>
  <c r="AN329" i="26"/>
  <c r="AT329" i="26" s="1"/>
  <c r="P329" i="26"/>
  <c r="AS329" i="26" s="1"/>
  <c r="AN137" i="26"/>
  <c r="AT137" i="26" s="1"/>
  <c r="AN149" i="26"/>
  <c r="AT149" i="26" s="1"/>
  <c r="AV149" i="26" s="1"/>
  <c r="AN156" i="26"/>
  <c r="AT156" i="26" s="1"/>
  <c r="AV156" i="26" s="1"/>
  <c r="P182" i="26"/>
  <c r="AS182" i="26" s="1"/>
  <c r="P198" i="26"/>
  <c r="AS198" i="26" s="1"/>
  <c r="AN254" i="26"/>
  <c r="AT254" i="26" s="1"/>
  <c r="P306" i="26"/>
  <c r="AS306" i="26" s="1"/>
  <c r="AN404" i="26"/>
  <c r="AT404" i="26" s="1"/>
  <c r="P29" i="26"/>
  <c r="AS29" i="26" s="1"/>
  <c r="P45" i="26"/>
  <c r="AS45" i="26" s="1"/>
  <c r="P161" i="26"/>
  <c r="AS161" i="26" s="1"/>
  <c r="P175" i="26"/>
  <c r="AS175" i="26" s="1"/>
  <c r="P212" i="26"/>
  <c r="AS212" i="26" s="1"/>
  <c r="P272" i="26"/>
  <c r="AS272" i="26" s="1"/>
  <c r="AN337" i="26"/>
  <c r="AT337" i="26" s="1"/>
  <c r="P248" i="26"/>
  <c r="AS248" i="26" s="1"/>
  <c r="P367" i="26"/>
  <c r="AS367" i="26" s="1"/>
  <c r="P165" i="26"/>
  <c r="AS165" i="26" s="1"/>
  <c r="P348" i="26"/>
  <c r="AS348" i="26" s="1"/>
  <c r="AV348" i="26" s="1"/>
  <c r="AN128" i="26"/>
  <c r="AT128" i="26" s="1"/>
  <c r="AV128" i="26" s="1"/>
  <c r="P170" i="26"/>
  <c r="AS170" i="26" s="1"/>
  <c r="P339" i="26"/>
  <c r="AS339" i="26" s="1"/>
  <c r="P379" i="26"/>
  <c r="AS379" i="26" s="1"/>
  <c r="P43" i="26"/>
  <c r="AS43" i="26" s="1"/>
  <c r="AN335" i="26"/>
  <c r="AT335" i="26" s="1"/>
  <c r="AN134" i="26"/>
  <c r="AT134" i="26" s="1"/>
  <c r="P194" i="26"/>
  <c r="AS194" i="26" s="1"/>
  <c r="P247" i="26"/>
  <c r="AS247" i="26" s="1"/>
  <c r="AN387" i="26"/>
  <c r="AT387" i="26" s="1"/>
  <c r="P341" i="26"/>
  <c r="AS341" i="26" s="1"/>
  <c r="P281" i="26"/>
  <c r="AS281" i="26" s="1"/>
  <c r="P372" i="26"/>
  <c r="AS372" i="26" s="1"/>
  <c r="AN435" i="26"/>
  <c r="AT435" i="26" s="1"/>
  <c r="P55" i="26"/>
  <c r="AS55" i="26" s="1"/>
  <c r="AN107" i="26"/>
  <c r="AT107" i="26" s="1"/>
  <c r="AN109" i="26"/>
  <c r="AT109" i="26" s="1"/>
  <c r="P136" i="26"/>
  <c r="AS136" i="26" s="1"/>
  <c r="AN224" i="26"/>
  <c r="AT224" i="26" s="1"/>
  <c r="AV224" i="26" s="1"/>
  <c r="AN333" i="26"/>
  <c r="AT333" i="26" s="1"/>
  <c r="AN356" i="26"/>
  <c r="AT356" i="26" s="1"/>
  <c r="AN398" i="26"/>
  <c r="AT398" i="26" s="1"/>
  <c r="AN417" i="26"/>
  <c r="AT417" i="26" s="1"/>
  <c r="P146" i="26"/>
  <c r="AS146" i="26" s="1"/>
  <c r="AV146" i="26" s="1"/>
  <c r="P79" i="26"/>
  <c r="AS79" i="26" s="1"/>
  <c r="P290" i="26"/>
  <c r="AS290" i="26" s="1"/>
  <c r="P40" i="26"/>
  <c r="AS40" i="26" s="1"/>
  <c r="P381" i="26"/>
  <c r="AS381" i="26" s="1"/>
  <c r="AN392" i="26"/>
  <c r="AT392" i="26" s="1"/>
  <c r="AV392" i="26" s="1"/>
  <c r="P277" i="26"/>
  <c r="AS277" i="26" s="1"/>
  <c r="P284" i="26"/>
  <c r="AS284" i="26" s="1"/>
  <c r="P76" i="26"/>
  <c r="AS76" i="26" s="1"/>
  <c r="P83" i="26"/>
  <c r="AS83" i="26" s="1"/>
  <c r="P148" i="26"/>
  <c r="AS148" i="26" s="1"/>
  <c r="P153" i="26"/>
  <c r="AS153" i="26" s="1"/>
  <c r="AN155" i="26"/>
  <c r="AT155" i="26" s="1"/>
  <c r="P250" i="26"/>
  <c r="AS250" i="26" s="1"/>
  <c r="P369" i="26"/>
  <c r="AS369" i="26" s="1"/>
  <c r="P389" i="26"/>
  <c r="AS389" i="26" s="1"/>
  <c r="AN236" i="26"/>
  <c r="AT236" i="26" s="1"/>
  <c r="P236" i="26"/>
  <c r="AS236" i="26" s="1"/>
  <c r="AN113" i="26"/>
  <c r="AT113" i="26" s="1"/>
  <c r="P113" i="26"/>
  <c r="AS113" i="26" s="1"/>
  <c r="P77" i="26"/>
  <c r="AS77" i="26" s="1"/>
  <c r="AN91" i="26"/>
  <c r="AT91" i="26" s="1"/>
  <c r="AN127" i="26"/>
  <c r="AT127" i="26" s="1"/>
  <c r="AN291" i="26"/>
  <c r="AT291" i="26" s="1"/>
  <c r="AV291" i="26" s="1"/>
  <c r="AN67" i="26"/>
  <c r="AT67" i="26" s="1"/>
  <c r="P120" i="26"/>
  <c r="AS120" i="26" s="1"/>
  <c r="P276" i="26"/>
  <c r="AS276" i="26" s="1"/>
  <c r="P308" i="26"/>
  <c r="AS308" i="26" s="1"/>
  <c r="AN399" i="26"/>
  <c r="AT399" i="26" s="1"/>
  <c r="AN432" i="26"/>
  <c r="AT432" i="26" s="1"/>
  <c r="P47" i="26"/>
  <c r="AS47" i="26" s="1"/>
  <c r="AV47" i="26" s="1"/>
  <c r="AN153" i="26"/>
  <c r="AT153" i="26" s="1"/>
  <c r="P237" i="26"/>
  <c r="AS237" i="26" s="1"/>
  <c r="P263" i="26"/>
  <c r="AS263" i="26" s="1"/>
  <c r="P278" i="26"/>
  <c r="AS278" i="26" s="1"/>
  <c r="AN293" i="26"/>
  <c r="AT293" i="26" s="1"/>
  <c r="AV293" i="26" s="1"/>
  <c r="P342" i="26"/>
  <c r="AS342" i="26" s="1"/>
  <c r="P394" i="26"/>
  <c r="AS394" i="26" s="1"/>
  <c r="AS14" i="26"/>
  <c r="AV14" i="26" s="1"/>
  <c r="AN151" i="26"/>
  <c r="AT151" i="26" s="1"/>
  <c r="P356" i="26"/>
  <c r="AS356" i="26" s="1"/>
  <c r="P378" i="26"/>
  <c r="AS378" i="26" s="1"/>
  <c r="AN380" i="26"/>
  <c r="AT380" i="26" s="1"/>
  <c r="AV380" i="26" s="1"/>
  <c r="AN384" i="26"/>
  <c r="AT384" i="26" s="1"/>
  <c r="AV384" i="26" s="1"/>
  <c r="P355" i="26"/>
  <c r="AS355" i="26" s="1"/>
  <c r="AN182" i="26"/>
  <c r="AT182" i="26" s="1"/>
  <c r="AN50" i="26"/>
  <c r="AT50" i="26" s="1"/>
  <c r="P65" i="26"/>
  <c r="AS65" i="26" s="1"/>
  <c r="AN98" i="26"/>
  <c r="AT98" i="26" s="1"/>
  <c r="AN154" i="26"/>
  <c r="AT154" i="26" s="1"/>
  <c r="P158" i="26"/>
  <c r="AS158" i="26" s="1"/>
  <c r="P296" i="26"/>
  <c r="AS296" i="26" s="1"/>
  <c r="P324" i="26"/>
  <c r="AS324" i="26" s="1"/>
  <c r="AN330" i="26"/>
  <c r="AT330" i="26" s="1"/>
  <c r="P410" i="26"/>
  <c r="AS410" i="26" s="1"/>
  <c r="P416" i="26"/>
  <c r="AS416" i="26" s="1"/>
  <c r="P68" i="26"/>
  <c r="AS68" i="26" s="1"/>
  <c r="P167" i="26"/>
  <c r="AS167" i="26" s="1"/>
  <c r="P240" i="26"/>
  <c r="AS240" i="26" s="1"/>
  <c r="P399" i="26"/>
  <c r="AS399" i="26" s="1"/>
  <c r="AV399" i="26" s="1"/>
  <c r="P59" i="26"/>
  <c r="AS59" i="26" s="1"/>
  <c r="AN72" i="26"/>
  <c r="AT72" i="26" s="1"/>
  <c r="AN75" i="26"/>
  <c r="AT75" i="26" s="1"/>
  <c r="AN115" i="26"/>
  <c r="AT115" i="26" s="1"/>
  <c r="AN136" i="26"/>
  <c r="AT136" i="26" s="1"/>
  <c r="AV136" i="26" s="1"/>
  <c r="AN146" i="26"/>
  <c r="AT146" i="26" s="1"/>
  <c r="AN148" i="26"/>
  <c r="AT148" i="26" s="1"/>
  <c r="AN168" i="26"/>
  <c r="AT168" i="26" s="1"/>
  <c r="AN255" i="26"/>
  <c r="AT255" i="26" s="1"/>
  <c r="AN364" i="26"/>
  <c r="AT364" i="26" s="1"/>
  <c r="AN377" i="26"/>
  <c r="AT377" i="26" s="1"/>
  <c r="AV377" i="26" s="1"/>
  <c r="P383" i="26"/>
  <c r="AS383" i="26" s="1"/>
  <c r="P385" i="26"/>
  <c r="AS385" i="26" s="1"/>
  <c r="AN414" i="26"/>
  <c r="AT414" i="26" s="1"/>
  <c r="AN416" i="26"/>
  <c r="AT416" i="26" s="1"/>
  <c r="AN237" i="26"/>
  <c r="AT237" i="26" s="1"/>
  <c r="P267" i="26"/>
  <c r="AS267" i="26" s="1"/>
  <c r="P396" i="26"/>
  <c r="AS396" i="26" s="1"/>
  <c r="P326" i="26"/>
  <c r="AS326" i="26" s="1"/>
  <c r="AN99" i="26"/>
  <c r="AT99" i="26" s="1"/>
  <c r="AV99" i="26" s="1"/>
  <c r="AN124" i="26"/>
  <c r="AT124" i="26" s="1"/>
  <c r="P187" i="26"/>
  <c r="AS187" i="26" s="1"/>
  <c r="AN277" i="26"/>
  <c r="AT277" i="26" s="1"/>
  <c r="AN325" i="26"/>
  <c r="AT325" i="26" s="1"/>
  <c r="AV325" i="26" s="1"/>
  <c r="P335" i="26"/>
  <c r="AS335" i="26" s="1"/>
  <c r="AN355" i="26"/>
  <c r="AT355" i="26" s="1"/>
  <c r="AN372" i="26"/>
  <c r="AT372" i="26" s="1"/>
  <c r="AN391" i="26"/>
  <c r="AT391" i="26" s="1"/>
  <c r="P404" i="26"/>
  <c r="AS404" i="26" s="1"/>
  <c r="P408" i="26"/>
  <c r="AS408" i="26" s="1"/>
  <c r="P258" i="26"/>
  <c r="AS258" i="26" s="1"/>
  <c r="P131" i="26"/>
  <c r="AS131" i="26" s="1"/>
  <c r="P145" i="26"/>
  <c r="AS145" i="26" s="1"/>
  <c r="P354" i="26"/>
  <c r="AS354" i="26" s="1"/>
  <c r="P75" i="26"/>
  <c r="AS75" i="26" s="1"/>
  <c r="P105" i="26"/>
  <c r="AS105" i="26" s="1"/>
  <c r="P107" i="26"/>
  <c r="AS107" i="26" s="1"/>
  <c r="AV107" i="26" s="1"/>
  <c r="P132" i="26"/>
  <c r="AS132" i="26" s="1"/>
  <c r="AV132" i="26" s="1"/>
  <c r="AN144" i="26"/>
  <c r="AT144" i="26" s="1"/>
  <c r="AV144" i="26" s="1"/>
  <c r="P168" i="26"/>
  <c r="AS168" i="26" s="1"/>
  <c r="P260" i="26"/>
  <c r="AS260" i="26" s="1"/>
  <c r="P286" i="26"/>
  <c r="AS286" i="26" s="1"/>
  <c r="P357" i="26"/>
  <c r="AS357" i="26" s="1"/>
  <c r="AN381" i="26"/>
  <c r="AT381" i="26" s="1"/>
  <c r="AR410" i="26"/>
  <c r="AU410" i="26" s="1"/>
  <c r="AN431" i="26"/>
  <c r="AT431" i="26" s="1"/>
  <c r="AN279" i="26"/>
  <c r="AT279" i="26" s="1"/>
  <c r="P279" i="26"/>
  <c r="AS279" i="26" s="1"/>
  <c r="P253" i="26"/>
  <c r="AS253" i="26" s="1"/>
  <c r="AN253" i="26"/>
  <c r="AT253" i="26" s="1"/>
  <c r="AN116" i="26"/>
  <c r="AT116" i="26" s="1"/>
  <c r="P116" i="26"/>
  <c r="AS116" i="26" s="1"/>
  <c r="AN249" i="26"/>
  <c r="AT249" i="26" s="1"/>
  <c r="P249" i="26"/>
  <c r="AS249" i="26" s="1"/>
  <c r="AN57" i="26"/>
  <c r="AT57" i="26" s="1"/>
  <c r="P57" i="26"/>
  <c r="AS57" i="26" s="1"/>
  <c r="AN79" i="26"/>
  <c r="AT79" i="26" s="1"/>
  <c r="P23" i="26"/>
  <c r="AS23" i="26" s="1"/>
  <c r="AN378" i="26"/>
  <c r="AT378" i="26" s="1"/>
  <c r="AN103" i="26"/>
  <c r="AT103" i="26" s="1"/>
  <c r="P103" i="26"/>
  <c r="AS103" i="26" s="1"/>
  <c r="AV103" i="26" s="1"/>
  <c r="P289" i="26"/>
  <c r="AS289" i="26" s="1"/>
  <c r="AN302" i="26"/>
  <c r="AT302" i="26" s="1"/>
  <c r="P302" i="26"/>
  <c r="AS302" i="26" s="1"/>
  <c r="AN275" i="26"/>
  <c r="AT275" i="26" s="1"/>
  <c r="P275" i="26"/>
  <c r="AS275" i="26" s="1"/>
  <c r="P17" i="26"/>
  <c r="AS17" i="26" s="1"/>
  <c r="P374" i="26"/>
  <c r="AS374" i="26" s="1"/>
  <c r="AD11" i="26"/>
  <c r="AN219" i="26"/>
  <c r="AT219" i="26" s="1"/>
  <c r="P219" i="26"/>
  <c r="AS219" i="26" s="1"/>
  <c r="AN348" i="26"/>
  <c r="AT348" i="26" s="1"/>
  <c r="P370" i="26"/>
  <c r="AS370" i="26" s="1"/>
  <c r="AN370" i="26"/>
  <c r="AT370" i="26" s="1"/>
  <c r="P420" i="26"/>
  <c r="AS420" i="26" s="1"/>
  <c r="AN420" i="26"/>
  <c r="AT420" i="26" s="1"/>
  <c r="P318" i="26"/>
  <c r="AS318" i="26" s="1"/>
  <c r="AN87" i="26"/>
  <c r="AT87" i="26" s="1"/>
  <c r="P87" i="26"/>
  <c r="AS87" i="26" s="1"/>
  <c r="P151" i="26"/>
  <c r="AS151" i="26" s="1"/>
  <c r="AN195" i="26"/>
  <c r="AT195" i="26" s="1"/>
  <c r="P195" i="26"/>
  <c r="AS195" i="26" s="1"/>
  <c r="P204" i="26"/>
  <c r="AS204" i="26" s="1"/>
  <c r="P73" i="26"/>
  <c r="AS73" i="26" s="1"/>
  <c r="P162" i="26"/>
  <c r="AS162" i="26" s="1"/>
  <c r="AN162" i="26"/>
  <c r="AT162" i="26" s="1"/>
  <c r="AN269" i="26"/>
  <c r="AT269" i="26" s="1"/>
  <c r="P269" i="26"/>
  <c r="AS269" i="26" s="1"/>
  <c r="AN320" i="26"/>
  <c r="AT320" i="26" s="1"/>
  <c r="P320" i="26"/>
  <c r="AS320" i="26" s="1"/>
  <c r="AN189" i="26"/>
  <c r="AT189" i="26" s="1"/>
  <c r="P189" i="26"/>
  <c r="AS189" i="26" s="1"/>
  <c r="P147" i="26"/>
  <c r="AS147" i="26" s="1"/>
  <c r="AN342" i="26"/>
  <c r="AT342" i="26" s="1"/>
  <c r="P415" i="26"/>
  <c r="AS415" i="26" s="1"/>
  <c r="AN415" i="26"/>
  <c r="AT415" i="26" s="1"/>
  <c r="AN48" i="26"/>
  <c r="AT48" i="26" s="1"/>
  <c r="P48" i="26"/>
  <c r="AS48" i="26" s="1"/>
  <c r="AN125" i="26"/>
  <c r="AT125" i="26" s="1"/>
  <c r="P125" i="26"/>
  <c r="AS125" i="26" s="1"/>
  <c r="AN287" i="26"/>
  <c r="AT287" i="26" s="1"/>
  <c r="P287" i="26"/>
  <c r="AS287" i="26" s="1"/>
  <c r="AN60" i="26"/>
  <c r="AT60" i="26" s="1"/>
  <c r="P60" i="26"/>
  <c r="AS60" i="26" s="1"/>
  <c r="AV60" i="26" s="1"/>
  <c r="P117" i="26"/>
  <c r="AS117" i="26" s="1"/>
  <c r="AN117" i="26"/>
  <c r="AT117" i="26" s="1"/>
  <c r="AN143" i="26"/>
  <c r="AT143" i="26" s="1"/>
  <c r="AV143" i="26" s="1"/>
  <c r="P222" i="26"/>
  <c r="AS222" i="26" s="1"/>
  <c r="AN405" i="26"/>
  <c r="AT405" i="26" s="1"/>
  <c r="P405" i="26"/>
  <c r="AS405" i="26" s="1"/>
  <c r="P409" i="26"/>
  <c r="AS409" i="26" s="1"/>
  <c r="AN119" i="26"/>
  <c r="AT119" i="26" s="1"/>
  <c r="P119" i="26"/>
  <c r="AS119" i="26" s="1"/>
  <c r="P141" i="26"/>
  <c r="AS141" i="26" s="1"/>
  <c r="P180" i="26"/>
  <c r="AS180" i="26" s="1"/>
  <c r="AN248" i="26"/>
  <c r="AT248" i="26" s="1"/>
  <c r="AN341" i="26"/>
  <c r="AT341" i="26" s="1"/>
  <c r="AN349" i="26"/>
  <c r="AT349" i="26" s="1"/>
  <c r="AN35" i="26"/>
  <c r="AT35" i="26" s="1"/>
  <c r="AV35" i="26" s="1"/>
  <c r="P337" i="26"/>
  <c r="AS337" i="26" s="1"/>
  <c r="AN18" i="26"/>
  <c r="AT18" i="26" s="1"/>
  <c r="AV18" i="26" s="1"/>
  <c r="AN268" i="26"/>
  <c r="AT268" i="26" s="1"/>
  <c r="AV268" i="26" s="1"/>
  <c r="AN345" i="26"/>
  <c r="AT345" i="26" s="1"/>
  <c r="AN64" i="26"/>
  <c r="AT64" i="26" s="1"/>
  <c r="AV64" i="26" s="1"/>
  <c r="AN66" i="26"/>
  <c r="AT66" i="26" s="1"/>
  <c r="AV137" i="26"/>
  <c r="AN300" i="26"/>
  <c r="AT300" i="26" s="1"/>
  <c r="AN318" i="26"/>
  <c r="AT318" i="26" s="1"/>
  <c r="AN327" i="26"/>
  <c r="AT327" i="26" s="1"/>
  <c r="P362" i="26"/>
  <c r="AS362" i="26" s="1"/>
  <c r="AV362" i="26" s="1"/>
  <c r="AN388" i="26"/>
  <c r="AT388" i="26" s="1"/>
  <c r="AV388" i="26" s="1"/>
  <c r="AN390" i="26"/>
  <c r="AT390" i="26" s="1"/>
  <c r="P398" i="26"/>
  <c r="AS398" i="26" s="1"/>
  <c r="P67" i="26"/>
  <c r="AS67" i="26" s="1"/>
  <c r="P69" i="26"/>
  <c r="AS69" i="26" s="1"/>
  <c r="AN242" i="26"/>
  <c r="AT242" i="26" s="1"/>
  <c r="P242" i="26"/>
  <c r="AS242" i="26" s="1"/>
  <c r="AN301" i="26"/>
  <c r="AT301" i="26" s="1"/>
  <c r="AV301" i="26" s="1"/>
  <c r="AN315" i="26"/>
  <c r="AT315" i="26" s="1"/>
  <c r="P411" i="26"/>
  <c r="AS411" i="26" s="1"/>
  <c r="AN30" i="26"/>
  <c r="AT30" i="26" s="1"/>
  <c r="AN69" i="26"/>
  <c r="AT69" i="26" s="1"/>
  <c r="AN363" i="26"/>
  <c r="AT363" i="26" s="1"/>
  <c r="P363" i="26"/>
  <c r="AS363" i="26" s="1"/>
  <c r="AV363" i="26" s="1"/>
  <c r="AN413" i="26"/>
  <c r="AT413" i="26" s="1"/>
  <c r="P264" i="26"/>
  <c r="AS264" i="26" s="1"/>
  <c r="AN56" i="26"/>
  <c r="AT56" i="26" s="1"/>
  <c r="P56" i="26"/>
  <c r="AS56" i="26" s="1"/>
  <c r="AV56" i="26" s="1"/>
  <c r="AN78" i="26"/>
  <c r="AT78" i="26" s="1"/>
  <c r="AN250" i="26"/>
  <c r="AT250" i="26" s="1"/>
  <c r="AN331" i="26"/>
  <c r="AT331" i="26" s="1"/>
  <c r="P333" i="26"/>
  <c r="AS333" i="26" s="1"/>
  <c r="AN367" i="26"/>
  <c r="AT367" i="26" s="1"/>
  <c r="AV367" i="26" s="1"/>
  <c r="AN24" i="26"/>
  <c r="AT24" i="26" s="1"/>
  <c r="P24" i="26"/>
  <c r="AS24" i="26" s="1"/>
  <c r="AN43" i="26"/>
  <c r="AT43" i="26" s="1"/>
  <c r="AN47" i="26"/>
  <c r="AT47" i="26" s="1"/>
  <c r="AN70" i="26"/>
  <c r="AT70" i="26" s="1"/>
  <c r="P70" i="26"/>
  <c r="AS70" i="26" s="1"/>
  <c r="AV70" i="26" s="1"/>
  <c r="P124" i="26"/>
  <c r="AS124" i="26" s="1"/>
  <c r="AN186" i="26"/>
  <c r="AT186" i="26" s="1"/>
  <c r="AN223" i="26"/>
  <c r="AT223" i="26" s="1"/>
  <c r="AV223" i="26" s="1"/>
  <c r="AN308" i="26"/>
  <c r="AT308" i="26" s="1"/>
  <c r="P316" i="26"/>
  <c r="AS316" i="26" s="1"/>
  <c r="AN394" i="26"/>
  <c r="AT394" i="26" s="1"/>
  <c r="AV394" i="26" s="1"/>
  <c r="P429" i="26"/>
  <c r="AS429" i="26" s="1"/>
  <c r="AN429" i="26"/>
  <c r="AT429" i="26" s="1"/>
  <c r="AN230" i="26"/>
  <c r="AT230" i="26" s="1"/>
  <c r="P280" i="26"/>
  <c r="AS280" i="26" s="1"/>
  <c r="AN14" i="26"/>
  <c r="AT14" i="26" s="1"/>
  <c r="AN207" i="26"/>
  <c r="AT207" i="26" s="1"/>
  <c r="AN314" i="26"/>
  <c r="AT314" i="26" s="1"/>
  <c r="P314" i="26"/>
  <c r="AS314" i="26" s="1"/>
  <c r="AN425" i="26"/>
  <c r="AT425" i="26" s="1"/>
  <c r="AV425" i="26" s="1"/>
  <c r="AN171" i="26"/>
  <c r="AT171" i="26" s="1"/>
  <c r="AV171" i="26" s="1"/>
  <c r="AN212" i="26"/>
  <c r="AT212" i="26" s="1"/>
  <c r="AN37" i="26"/>
  <c r="AT37" i="26" s="1"/>
  <c r="AN343" i="26"/>
  <c r="AT343" i="26" s="1"/>
  <c r="P386" i="26"/>
  <c r="AS386" i="26" s="1"/>
  <c r="AN41" i="26"/>
  <c r="AT41" i="26" s="1"/>
  <c r="P41" i="26"/>
  <c r="AS41" i="26" s="1"/>
  <c r="AV41" i="26" s="1"/>
  <c r="AN58" i="26"/>
  <c r="AT58" i="26" s="1"/>
  <c r="P58" i="26"/>
  <c r="AS58" i="26" s="1"/>
  <c r="AV58" i="26" s="1"/>
  <c r="P94" i="26"/>
  <c r="AS94" i="26" s="1"/>
  <c r="AN139" i="26"/>
  <c r="AT139" i="26" s="1"/>
  <c r="P139" i="26"/>
  <c r="AS139" i="26" s="1"/>
  <c r="AN26" i="26"/>
  <c r="AT26" i="26" s="1"/>
  <c r="P26" i="26"/>
  <c r="AS26" i="26" s="1"/>
  <c r="AV26" i="26" s="1"/>
  <c r="AN49" i="26"/>
  <c r="AT49" i="26" s="1"/>
  <c r="AN286" i="26"/>
  <c r="AT286" i="26" s="1"/>
  <c r="AN53" i="26"/>
  <c r="AT53" i="26" s="1"/>
  <c r="P53" i="26"/>
  <c r="AS53" i="26" s="1"/>
  <c r="P89" i="26"/>
  <c r="AS89" i="26" s="1"/>
  <c r="AN93" i="26"/>
  <c r="AT93" i="26" s="1"/>
  <c r="AV93" i="26" s="1"/>
  <c r="AN95" i="26"/>
  <c r="AT95" i="26" s="1"/>
  <c r="AV95" i="26" s="1"/>
  <c r="AN120" i="26"/>
  <c r="AT120" i="26" s="1"/>
  <c r="AV120" i="26" s="1"/>
  <c r="AN231" i="26"/>
  <c r="AT231" i="26" s="1"/>
  <c r="P231" i="26"/>
  <c r="AS231" i="26" s="1"/>
  <c r="AN324" i="26"/>
  <c r="AT324" i="26" s="1"/>
  <c r="AN326" i="26"/>
  <c r="AT326" i="26" s="1"/>
  <c r="AN352" i="26"/>
  <c r="AT352" i="26" s="1"/>
  <c r="AN360" i="26"/>
  <c r="AT360" i="26" s="1"/>
  <c r="AV360" i="26" s="1"/>
  <c r="AN383" i="26"/>
  <c r="AT383" i="26" s="1"/>
  <c r="AN408" i="26"/>
  <c r="AT408" i="26" s="1"/>
  <c r="AN427" i="26"/>
  <c r="AT427" i="26" s="1"/>
  <c r="P12" i="26"/>
  <c r="P30" i="26"/>
  <c r="AS30" i="26" s="1"/>
  <c r="AN63" i="26"/>
  <c r="AT63" i="26" s="1"/>
  <c r="AV63" i="26" s="1"/>
  <c r="P86" i="26"/>
  <c r="AS86" i="26" s="1"/>
  <c r="P101" i="26"/>
  <c r="AS101" i="26" s="1"/>
  <c r="P129" i="26"/>
  <c r="AS129" i="26" s="1"/>
  <c r="AV129" i="26" s="1"/>
  <c r="P150" i="26"/>
  <c r="AS150" i="26" s="1"/>
  <c r="P159" i="26"/>
  <c r="AS159" i="26" s="1"/>
  <c r="AN165" i="26"/>
  <c r="AT165" i="26" s="1"/>
  <c r="AN170" i="26"/>
  <c r="AT170" i="26" s="1"/>
  <c r="AN347" i="26"/>
  <c r="AT347" i="26" s="1"/>
  <c r="AV347" i="26" s="1"/>
  <c r="P349" i="26"/>
  <c r="AS349" i="26" s="1"/>
  <c r="P353" i="26"/>
  <c r="AS353" i="26" s="1"/>
  <c r="P364" i="26"/>
  <c r="AS364" i="26" s="1"/>
  <c r="P377" i="26"/>
  <c r="AS377" i="26" s="1"/>
  <c r="AN44" i="26"/>
  <c r="AT44" i="26" s="1"/>
  <c r="AN101" i="26"/>
  <c r="AT101" i="26" s="1"/>
  <c r="AN194" i="26"/>
  <c r="AT194" i="26" s="1"/>
  <c r="AN247" i="26"/>
  <c r="AT247" i="26" s="1"/>
  <c r="AV328" i="26"/>
  <c r="P343" i="26"/>
  <c r="AS343" i="26" s="1"/>
  <c r="AN20" i="26"/>
  <c r="AT20" i="26" s="1"/>
  <c r="AV20" i="26" s="1"/>
  <c r="AN141" i="26"/>
  <c r="AT141" i="26" s="1"/>
  <c r="AN150" i="26"/>
  <c r="AT150" i="26" s="1"/>
  <c r="AN183" i="26"/>
  <c r="AT183" i="26" s="1"/>
  <c r="P211" i="26"/>
  <c r="AS211" i="26" s="1"/>
  <c r="P254" i="26"/>
  <c r="AS254" i="26" s="1"/>
  <c r="AN317" i="26"/>
  <c r="AT317" i="26" s="1"/>
  <c r="AN321" i="26"/>
  <c r="AT321" i="26" s="1"/>
  <c r="AN328" i="26"/>
  <c r="AT328" i="26" s="1"/>
  <c r="P330" i="26"/>
  <c r="AS330" i="26" s="1"/>
  <c r="AV330" i="26" s="1"/>
  <c r="AN375" i="26"/>
  <c r="AT375" i="26" s="1"/>
  <c r="AV375" i="26" s="1"/>
  <c r="AN385" i="26"/>
  <c r="AT385" i="26" s="1"/>
  <c r="AV385" i="26" s="1"/>
  <c r="AN397" i="26"/>
  <c r="AT397" i="26" s="1"/>
  <c r="P49" i="26"/>
  <c r="AS49" i="26" s="1"/>
  <c r="P84" i="26"/>
  <c r="AS84" i="26" s="1"/>
  <c r="AN55" i="26"/>
  <c r="AT55" i="26" s="1"/>
  <c r="AN131" i="26"/>
  <c r="AT131" i="26" s="1"/>
  <c r="AN158" i="26"/>
  <c r="AT158" i="26" s="1"/>
  <c r="AN240" i="26"/>
  <c r="AT240" i="26" s="1"/>
  <c r="AN258" i="26"/>
  <c r="AT258" i="26" s="1"/>
  <c r="P39" i="26"/>
  <c r="AS39" i="26" s="1"/>
  <c r="AN369" i="26"/>
  <c r="AT369" i="26" s="1"/>
  <c r="AV369" i="26" s="1"/>
  <c r="AN45" i="26"/>
  <c r="AT45" i="26" s="1"/>
  <c r="AV45" i="26" s="1"/>
  <c r="AN76" i="26"/>
  <c r="AT76" i="26" s="1"/>
  <c r="P123" i="26"/>
  <c r="AS123" i="26" s="1"/>
  <c r="AN161" i="26"/>
  <c r="AT161" i="26" s="1"/>
  <c r="AV161" i="26" s="1"/>
  <c r="AN167" i="26"/>
  <c r="AT167" i="26" s="1"/>
  <c r="P368" i="26"/>
  <c r="AS368" i="26" s="1"/>
  <c r="AV368" i="26" s="1"/>
  <c r="AN379" i="26"/>
  <c r="AT379" i="26" s="1"/>
  <c r="AN382" i="26"/>
  <c r="AT382" i="26" s="1"/>
  <c r="AN15" i="26"/>
  <c r="AT15" i="26" s="1"/>
  <c r="P15" i="26"/>
  <c r="AS15" i="26" s="1"/>
  <c r="AN21" i="26"/>
  <c r="AT21" i="26" s="1"/>
  <c r="P21" i="26"/>
  <c r="AS21" i="26" s="1"/>
  <c r="AN27" i="26"/>
  <c r="AT27" i="26" s="1"/>
  <c r="P27" i="26"/>
  <c r="AS27" i="26" s="1"/>
  <c r="AV27" i="26" s="1"/>
  <c r="AN33" i="26"/>
  <c r="AT33" i="26" s="1"/>
  <c r="P33" i="26"/>
  <c r="AS33" i="26" s="1"/>
  <c r="P32" i="26"/>
  <c r="AS32" i="26" s="1"/>
  <c r="AN32" i="26"/>
  <c r="AT32" i="26" s="1"/>
  <c r="P16" i="26"/>
  <c r="AS16" i="26" s="1"/>
  <c r="AN16" i="26"/>
  <c r="AT16" i="26" s="1"/>
  <c r="P22" i="26"/>
  <c r="AS22" i="26" s="1"/>
  <c r="AN22" i="26"/>
  <c r="AT22" i="26" s="1"/>
  <c r="AN225" i="26"/>
  <c r="AT225" i="26" s="1"/>
  <c r="P225" i="26"/>
  <c r="AS225" i="26" s="1"/>
  <c r="P28" i="26"/>
  <c r="AS28" i="26" s="1"/>
  <c r="AN28" i="26"/>
  <c r="AT28" i="26" s="1"/>
  <c r="AN203" i="26"/>
  <c r="AT203" i="26" s="1"/>
  <c r="P203" i="26"/>
  <c r="AS203" i="26" s="1"/>
  <c r="AN274" i="26"/>
  <c r="AT274" i="26" s="1"/>
  <c r="P274" i="26"/>
  <c r="AS274" i="26" s="1"/>
  <c r="AN307" i="26"/>
  <c r="AT307" i="26" s="1"/>
  <c r="P307" i="26"/>
  <c r="AS307" i="26" s="1"/>
  <c r="AN373" i="26"/>
  <c r="AT373" i="26" s="1"/>
  <c r="P373" i="26"/>
  <c r="AS373" i="26" s="1"/>
  <c r="AN106" i="26"/>
  <c r="AT106" i="26" s="1"/>
  <c r="P106" i="26"/>
  <c r="AS106" i="26" s="1"/>
  <c r="AN111" i="26"/>
  <c r="AT111" i="26" s="1"/>
  <c r="P111" i="26"/>
  <c r="AS111" i="26" s="1"/>
  <c r="P142" i="26"/>
  <c r="AS142" i="26" s="1"/>
  <c r="AV169" i="26"/>
  <c r="AN213" i="26"/>
  <c r="AT213" i="26" s="1"/>
  <c r="P213" i="26"/>
  <c r="AS213" i="26" s="1"/>
  <c r="AN217" i="26"/>
  <c r="AT217" i="26" s="1"/>
  <c r="P217" i="26"/>
  <c r="AS217" i="26" s="1"/>
  <c r="AV217" i="26" s="1"/>
  <c r="AN238" i="26"/>
  <c r="AT238" i="26" s="1"/>
  <c r="P238" i="26"/>
  <c r="AS238" i="26" s="1"/>
  <c r="AN323" i="26"/>
  <c r="AT323" i="26" s="1"/>
  <c r="P323" i="26"/>
  <c r="AS323" i="26" s="1"/>
  <c r="AN73" i="26"/>
  <c r="AT73" i="26" s="1"/>
  <c r="P100" i="26"/>
  <c r="AS100" i="26" s="1"/>
  <c r="AN100" i="26"/>
  <c r="AT100" i="26" s="1"/>
  <c r="AN142" i="26"/>
  <c r="AT142" i="26" s="1"/>
  <c r="AN200" i="26"/>
  <c r="AT200" i="26" s="1"/>
  <c r="P200" i="26"/>
  <c r="AS200" i="26" s="1"/>
  <c r="P255" i="26"/>
  <c r="AS255" i="26" s="1"/>
  <c r="AN311" i="26"/>
  <c r="AT311" i="26" s="1"/>
  <c r="P311" i="26"/>
  <c r="AS311" i="26" s="1"/>
  <c r="P352" i="26"/>
  <c r="AS352" i="26" s="1"/>
  <c r="P436" i="26"/>
  <c r="AS436" i="26" s="1"/>
  <c r="AN436" i="26"/>
  <c r="AT436" i="26" s="1"/>
  <c r="P122" i="26"/>
  <c r="AS122" i="26" s="1"/>
  <c r="AN122" i="26"/>
  <c r="AT122" i="26" s="1"/>
  <c r="AN228" i="26"/>
  <c r="AT228" i="26" s="1"/>
  <c r="P228" i="26"/>
  <c r="AS228" i="26" s="1"/>
  <c r="AN309" i="26"/>
  <c r="AT309" i="26" s="1"/>
  <c r="P309" i="26"/>
  <c r="AS309" i="26" s="1"/>
  <c r="AN68" i="26"/>
  <c r="AT68" i="26" s="1"/>
  <c r="AN82" i="26"/>
  <c r="AT82" i="26" s="1"/>
  <c r="AV82" i="26" s="1"/>
  <c r="P138" i="26"/>
  <c r="AS138" i="26" s="1"/>
  <c r="AN138" i="26"/>
  <c r="AT138" i="26" s="1"/>
  <c r="AN176" i="26"/>
  <c r="AT176" i="26" s="1"/>
  <c r="P176" i="26"/>
  <c r="AS176" i="26" s="1"/>
  <c r="AN235" i="26"/>
  <c r="AT235" i="26" s="1"/>
  <c r="P235" i="26"/>
  <c r="AS235" i="26" s="1"/>
  <c r="AN305" i="26"/>
  <c r="AT305" i="26" s="1"/>
  <c r="P305" i="26"/>
  <c r="AS305" i="26" s="1"/>
  <c r="AN36" i="26"/>
  <c r="AT36" i="26" s="1"/>
  <c r="P36" i="26"/>
  <c r="AS36" i="26" s="1"/>
  <c r="AV36" i="26" s="1"/>
  <c r="AN39" i="26"/>
  <c r="AT39" i="26" s="1"/>
  <c r="AN42" i="26"/>
  <c r="AT42" i="26" s="1"/>
  <c r="P42" i="26"/>
  <c r="AS42" i="26" s="1"/>
  <c r="AN59" i="26"/>
  <c r="AT59" i="26" s="1"/>
  <c r="P72" i="26"/>
  <c r="AS72" i="26" s="1"/>
  <c r="P78" i="26"/>
  <c r="AS78" i="26" s="1"/>
  <c r="AN81" i="26"/>
  <c r="AT81" i="26" s="1"/>
  <c r="P81" i="26"/>
  <c r="AS81" i="26" s="1"/>
  <c r="AN84" i="26"/>
  <c r="AT84" i="26" s="1"/>
  <c r="P97" i="26"/>
  <c r="AS97" i="26" s="1"/>
  <c r="AN97" i="26"/>
  <c r="AT97" i="26" s="1"/>
  <c r="AN108" i="26"/>
  <c r="AT108" i="26" s="1"/>
  <c r="AV108" i="26" s="1"/>
  <c r="P130" i="26"/>
  <c r="AS130" i="26" s="1"/>
  <c r="AN130" i="26"/>
  <c r="AT130" i="26" s="1"/>
  <c r="AN178" i="26"/>
  <c r="AT178" i="26" s="1"/>
  <c r="P178" i="26"/>
  <c r="AS178" i="26" s="1"/>
  <c r="P183" i="26"/>
  <c r="AS183" i="26" s="1"/>
  <c r="AN188" i="26"/>
  <c r="AT188" i="26" s="1"/>
  <c r="P188" i="26"/>
  <c r="AS188" i="26" s="1"/>
  <c r="P207" i="26"/>
  <c r="AS207" i="26" s="1"/>
  <c r="AN243" i="26"/>
  <c r="AT243" i="26" s="1"/>
  <c r="P243" i="26"/>
  <c r="AS243" i="26" s="1"/>
  <c r="AN13" i="26"/>
  <c r="AT13" i="26" s="1"/>
  <c r="AN19" i="26"/>
  <c r="AT19" i="26" s="1"/>
  <c r="P19" i="26"/>
  <c r="AS19" i="26" s="1"/>
  <c r="AN25" i="26"/>
  <c r="AT25" i="26" s="1"/>
  <c r="P25" i="26"/>
  <c r="AS25" i="26" s="1"/>
  <c r="AN104" i="26"/>
  <c r="AT104" i="26" s="1"/>
  <c r="P104" i="26"/>
  <c r="AS104" i="26" s="1"/>
  <c r="AV104" i="26" s="1"/>
  <c r="P34" i="26"/>
  <c r="AS34" i="26" s="1"/>
  <c r="AN179" i="26"/>
  <c r="AT179" i="26" s="1"/>
  <c r="P179" i="26"/>
  <c r="AS179" i="26" s="1"/>
  <c r="AN34" i="26"/>
  <c r="AT34" i="26" s="1"/>
  <c r="AN51" i="26"/>
  <c r="AT51" i="26" s="1"/>
  <c r="P51" i="26"/>
  <c r="AS51" i="26" s="1"/>
  <c r="AN221" i="26"/>
  <c r="AT221" i="26" s="1"/>
  <c r="P221" i="26"/>
  <c r="AS221" i="26" s="1"/>
  <c r="P112" i="26"/>
  <c r="AS112" i="26" s="1"/>
  <c r="AN112" i="26"/>
  <c r="AT112" i="26" s="1"/>
  <c r="AN294" i="26"/>
  <c r="AT294" i="26" s="1"/>
  <c r="P294" i="26"/>
  <c r="AS294" i="26" s="1"/>
  <c r="P61" i="26"/>
  <c r="AS61" i="26" s="1"/>
  <c r="AN61" i="26"/>
  <c r="AT61" i="26" s="1"/>
  <c r="AN92" i="26"/>
  <c r="AT92" i="26" s="1"/>
  <c r="P92" i="26"/>
  <c r="AS92" i="26" s="1"/>
  <c r="AN214" i="26"/>
  <c r="AT214" i="26" s="1"/>
  <c r="P214" i="26"/>
  <c r="AS214" i="26" s="1"/>
  <c r="AU12" i="26"/>
  <c r="AN17" i="26"/>
  <c r="AT17" i="26" s="1"/>
  <c r="AN23" i="26"/>
  <c r="AT23" i="26" s="1"/>
  <c r="AN29" i="26"/>
  <c r="AT29" i="26" s="1"/>
  <c r="AN86" i="26"/>
  <c r="AT86" i="26" s="1"/>
  <c r="AV86" i="26" s="1"/>
  <c r="AN118" i="26"/>
  <c r="AT118" i="26" s="1"/>
  <c r="AV118" i="26" s="1"/>
  <c r="P121" i="26"/>
  <c r="AS121" i="26" s="1"/>
  <c r="AN121" i="26"/>
  <c r="AT121" i="26" s="1"/>
  <c r="AN173" i="26"/>
  <c r="AT173" i="26" s="1"/>
  <c r="P173" i="26"/>
  <c r="AS173" i="26" s="1"/>
  <c r="AN175" i="26"/>
  <c r="AT175" i="26" s="1"/>
  <c r="AV175" i="26" s="1"/>
  <c r="P336" i="26"/>
  <c r="AS336" i="26" s="1"/>
  <c r="AN336" i="26"/>
  <c r="AT336" i="26" s="1"/>
  <c r="AN80" i="26"/>
  <c r="AT80" i="26" s="1"/>
  <c r="P80" i="26"/>
  <c r="AS80" i="26" s="1"/>
  <c r="AN71" i="26"/>
  <c r="AT71" i="26" s="1"/>
  <c r="P71" i="26"/>
  <c r="AS71" i="26" s="1"/>
  <c r="AV71" i="26" s="1"/>
  <c r="AN96" i="26"/>
  <c r="AT96" i="26" s="1"/>
  <c r="P96" i="26"/>
  <c r="AS96" i="26" s="1"/>
  <c r="AN246" i="26"/>
  <c r="AT246" i="26" s="1"/>
  <c r="P246" i="26"/>
  <c r="AS246" i="26" s="1"/>
  <c r="P31" i="26"/>
  <c r="AS31" i="26" s="1"/>
  <c r="AN31" i="26"/>
  <c r="AT31" i="26" s="1"/>
  <c r="AM11" i="26"/>
  <c r="AN202" i="26"/>
  <c r="AT202" i="26" s="1"/>
  <c r="P202" i="26"/>
  <c r="AS202" i="26" s="1"/>
  <c r="AN220" i="26"/>
  <c r="AT220" i="26" s="1"/>
  <c r="P220" i="26"/>
  <c r="AS220" i="26" s="1"/>
  <c r="AN273" i="26"/>
  <c r="AT273" i="26" s="1"/>
  <c r="P273" i="26"/>
  <c r="AS273" i="26" s="1"/>
  <c r="AV273" i="26" s="1"/>
  <c r="AN292" i="26"/>
  <c r="AT292" i="26" s="1"/>
  <c r="P292" i="26"/>
  <c r="AS292" i="26" s="1"/>
  <c r="P38" i="26"/>
  <c r="AS38" i="26" s="1"/>
  <c r="AN190" i="26"/>
  <c r="AT190" i="26" s="1"/>
  <c r="P190" i="26"/>
  <c r="AS190" i="26" s="1"/>
  <c r="AN261" i="26"/>
  <c r="AT261" i="26" s="1"/>
  <c r="P261" i="26"/>
  <c r="AS261" i="26" s="1"/>
  <c r="AR33" i="26"/>
  <c r="AU33" i="26" s="1"/>
  <c r="AN38" i="26"/>
  <c r="AT38" i="26" s="1"/>
  <c r="AN232" i="26"/>
  <c r="AT232" i="26" s="1"/>
  <c r="P232" i="26"/>
  <c r="AS232" i="26" s="1"/>
  <c r="AN46" i="26"/>
  <c r="AT46" i="26" s="1"/>
  <c r="P46" i="26"/>
  <c r="AS46" i="26" s="1"/>
  <c r="AV46" i="26" s="1"/>
  <c r="AN52" i="26"/>
  <c r="AT52" i="26" s="1"/>
  <c r="AV52" i="26" s="1"/>
  <c r="P66" i="26"/>
  <c r="AS66" i="26" s="1"/>
  <c r="AN83" i="26"/>
  <c r="AT83" i="26" s="1"/>
  <c r="P85" i="26"/>
  <c r="AS85" i="26" s="1"/>
  <c r="AN85" i="26"/>
  <c r="AT85" i="26" s="1"/>
  <c r="P91" i="26"/>
  <c r="AS91" i="26" s="1"/>
  <c r="AN94" i="26"/>
  <c r="AT94" i="26" s="1"/>
  <c r="AN102" i="26"/>
  <c r="AT102" i="26" s="1"/>
  <c r="AV102" i="26" s="1"/>
  <c r="AN123" i="26"/>
  <c r="AT123" i="26" s="1"/>
  <c r="AN126" i="26"/>
  <c r="AT126" i="26" s="1"/>
  <c r="P126" i="26"/>
  <c r="AS126" i="26" s="1"/>
  <c r="AV160" i="26"/>
  <c r="AN163" i="26"/>
  <c r="AT163" i="26" s="1"/>
  <c r="P163" i="26"/>
  <c r="AS163" i="26" s="1"/>
  <c r="AN197" i="26"/>
  <c r="AT197" i="26" s="1"/>
  <c r="P197" i="26"/>
  <c r="AS197" i="26" s="1"/>
  <c r="AN199" i="26"/>
  <c r="AT199" i="26" s="1"/>
  <c r="AN239" i="26"/>
  <c r="AT239" i="26" s="1"/>
  <c r="P239" i="26"/>
  <c r="AS239" i="26" s="1"/>
  <c r="AN241" i="26"/>
  <c r="AT241" i="26" s="1"/>
  <c r="P241" i="26"/>
  <c r="AS241" i="26" s="1"/>
  <c r="AN312" i="26"/>
  <c r="AT312" i="26" s="1"/>
  <c r="P312" i="26"/>
  <c r="AS312" i="26" s="1"/>
  <c r="P322" i="26"/>
  <c r="AS322" i="26" s="1"/>
  <c r="AN322" i="26"/>
  <c r="AT322" i="26" s="1"/>
  <c r="AN338" i="26"/>
  <c r="AT338" i="26" s="1"/>
  <c r="P338" i="26"/>
  <c r="AS338" i="26" s="1"/>
  <c r="AN396" i="26"/>
  <c r="AT396" i="26" s="1"/>
  <c r="AN54" i="26"/>
  <c r="AT54" i="26" s="1"/>
  <c r="P54" i="26"/>
  <c r="AS54" i="26" s="1"/>
  <c r="AN201" i="26"/>
  <c r="AT201" i="26" s="1"/>
  <c r="P201" i="26"/>
  <c r="AS201" i="26" s="1"/>
  <c r="AN256" i="26"/>
  <c r="AT256" i="26" s="1"/>
  <c r="P256" i="26"/>
  <c r="AS256" i="26" s="1"/>
  <c r="AN295" i="26"/>
  <c r="AT295" i="26" s="1"/>
  <c r="P295" i="26"/>
  <c r="AS295" i="26" s="1"/>
  <c r="P98" i="26"/>
  <c r="AS98" i="26" s="1"/>
  <c r="AN304" i="26"/>
  <c r="AT304" i="26" s="1"/>
  <c r="P304" i="26"/>
  <c r="AS304" i="26" s="1"/>
  <c r="AN406" i="26"/>
  <c r="AT406" i="26" s="1"/>
  <c r="P406" i="26"/>
  <c r="AS406" i="26" s="1"/>
  <c r="P37" i="26"/>
  <c r="AS37" i="26" s="1"/>
  <c r="AN88" i="26"/>
  <c r="AT88" i="26" s="1"/>
  <c r="AV88" i="26" s="1"/>
  <c r="AN114" i="26"/>
  <c r="AT114" i="26" s="1"/>
  <c r="P114" i="26"/>
  <c r="AS114" i="26" s="1"/>
  <c r="AN177" i="26"/>
  <c r="AT177" i="26" s="1"/>
  <c r="P177" i="26"/>
  <c r="AS177" i="26" s="1"/>
  <c r="AN216" i="26"/>
  <c r="AT216" i="26" s="1"/>
  <c r="P216" i="26"/>
  <c r="AS216" i="26" s="1"/>
  <c r="AN234" i="26"/>
  <c r="AT234" i="26" s="1"/>
  <c r="P234" i="26"/>
  <c r="AS234" i="26" s="1"/>
  <c r="P297" i="26"/>
  <c r="AS297" i="26" s="1"/>
  <c r="AN303" i="26"/>
  <c r="AT303" i="26" s="1"/>
  <c r="P303" i="26"/>
  <c r="AS303" i="26" s="1"/>
  <c r="P62" i="26"/>
  <c r="AS62" i="26" s="1"/>
  <c r="AN196" i="26"/>
  <c r="AT196" i="26" s="1"/>
  <c r="P196" i="26"/>
  <c r="AS196" i="26" s="1"/>
  <c r="AN210" i="26"/>
  <c r="AT210" i="26" s="1"/>
  <c r="AV210" i="26" s="1"/>
  <c r="AN340" i="26"/>
  <c r="AT340" i="26" s="1"/>
  <c r="P340" i="26"/>
  <c r="AS340" i="26" s="1"/>
  <c r="AN77" i="26"/>
  <c r="AT77" i="26" s="1"/>
  <c r="AN172" i="26"/>
  <c r="AT172" i="26" s="1"/>
  <c r="P172" i="26"/>
  <c r="AS172" i="26" s="1"/>
  <c r="AN62" i="26"/>
  <c r="AT62" i="26" s="1"/>
  <c r="AN152" i="26"/>
  <c r="AT152" i="26" s="1"/>
  <c r="P152" i="26"/>
  <c r="AS152" i="26" s="1"/>
  <c r="AN181" i="26"/>
  <c r="AT181" i="26" s="1"/>
  <c r="P181" i="26"/>
  <c r="AS181" i="26" s="1"/>
  <c r="AN192" i="26"/>
  <c r="AT192" i="26" s="1"/>
  <c r="AV192" i="26" s="1"/>
  <c r="AN205" i="26"/>
  <c r="AT205" i="26" s="1"/>
  <c r="P205" i="26"/>
  <c r="AS205" i="26" s="1"/>
  <c r="AN227" i="26"/>
  <c r="AT227" i="26" s="1"/>
  <c r="P227" i="26"/>
  <c r="AS227" i="26" s="1"/>
  <c r="AN245" i="26"/>
  <c r="AT245" i="26" s="1"/>
  <c r="P245" i="26"/>
  <c r="AS245" i="26" s="1"/>
  <c r="AN252" i="26"/>
  <c r="AT252" i="26" s="1"/>
  <c r="P252" i="26"/>
  <c r="AS252" i="26" s="1"/>
  <c r="AN276" i="26"/>
  <c r="AT276" i="26" s="1"/>
  <c r="AV276" i="26" s="1"/>
  <c r="P317" i="26"/>
  <c r="AS317" i="26" s="1"/>
  <c r="AN393" i="26"/>
  <c r="AT393" i="26" s="1"/>
  <c r="P393" i="26"/>
  <c r="AS393" i="26" s="1"/>
  <c r="P110" i="26"/>
  <c r="AS110" i="26" s="1"/>
  <c r="AV115" i="26"/>
  <c r="AN209" i="26"/>
  <c r="AT209" i="26" s="1"/>
  <c r="P209" i="26"/>
  <c r="AS209" i="26" s="1"/>
  <c r="AN226" i="26"/>
  <c r="AT226" i="26" s="1"/>
  <c r="P226" i="26"/>
  <c r="AS226" i="26" s="1"/>
  <c r="AN244" i="26"/>
  <c r="AT244" i="26" s="1"/>
  <c r="P244" i="26"/>
  <c r="AS244" i="26" s="1"/>
  <c r="AN251" i="26"/>
  <c r="AT251" i="26" s="1"/>
  <c r="P251" i="26"/>
  <c r="AS251" i="26" s="1"/>
  <c r="P257" i="26"/>
  <c r="AS257" i="26" s="1"/>
  <c r="AN257" i="26"/>
  <c r="AT257" i="26" s="1"/>
  <c r="AN265" i="26"/>
  <c r="AT265" i="26" s="1"/>
  <c r="P265" i="26"/>
  <c r="AS265" i="26" s="1"/>
  <c r="AN270" i="26"/>
  <c r="AT270" i="26" s="1"/>
  <c r="P270" i="26"/>
  <c r="AS270" i="26" s="1"/>
  <c r="AR299" i="26"/>
  <c r="AU299" i="26" s="1"/>
  <c r="AR32" i="26"/>
  <c r="AU32" i="26" s="1"/>
  <c r="P50" i="26"/>
  <c r="AS50" i="26" s="1"/>
  <c r="AN65" i="26"/>
  <c r="AT65" i="26" s="1"/>
  <c r="AN90" i="26"/>
  <c r="AT90" i="26" s="1"/>
  <c r="AV90" i="26" s="1"/>
  <c r="P109" i="26"/>
  <c r="AS109" i="26" s="1"/>
  <c r="AV109" i="26" s="1"/>
  <c r="AN110" i="26"/>
  <c r="AT110" i="26" s="1"/>
  <c r="AN164" i="26"/>
  <c r="AT164" i="26" s="1"/>
  <c r="P164" i="26"/>
  <c r="AS164" i="26" s="1"/>
  <c r="AN174" i="26"/>
  <c r="AT174" i="26" s="1"/>
  <c r="AN187" i="26"/>
  <c r="AT187" i="26" s="1"/>
  <c r="AN191" i="26"/>
  <c r="AT191" i="26" s="1"/>
  <c r="P191" i="26"/>
  <c r="AS191" i="26" s="1"/>
  <c r="AN198" i="26"/>
  <c r="AT198" i="26" s="1"/>
  <c r="AN259" i="26"/>
  <c r="AT259" i="26" s="1"/>
  <c r="AV259" i="26" s="1"/>
  <c r="AN288" i="26"/>
  <c r="AT288" i="26" s="1"/>
  <c r="P288" i="26"/>
  <c r="AS288" i="26" s="1"/>
  <c r="AN316" i="26"/>
  <c r="AT316" i="26" s="1"/>
  <c r="AN319" i="26"/>
  <c r="AT319" i="26" s="1"/>
  <c r="P319" i="26"/>
  <c r="AS319" i="26" s="1"/>
  <c r="P346" i="26"/>
  <c r="AS346" i="26" s="1"/>
  <c r="AN346" i="26"/>
  <c r="AT346" i="26" s="1"/>
  <c r="AN365" i="26"/>
  <c r="AT365" i="26" s="1"/>
  <c r="P365" i="26"/>
  <c r="AS365" i="26" s="1"/>
  <c r="AN374" i="26"/>
  <c r="AT374" i="26" s="1"/>
  <c r="AN184" i="26"/>
  <c r="AT184" i="26" s="1"/>
  <c r="P184" i="26"/>
  <c r="AS184" i="26" s="1"/>
  <c r="AN211" i="26"/>
  <c r="AT211" i="26" s="1"/>
  <c r="AN215" i="26"/>
  <c r="AT215" i="26" s="1"/>
  <c r="P215" i="26"/>
  <c r="AS215" i="26" s="1"/>
  <c r="AN233" i="26"/>
  <c r="AT233" i="26" s="1"/>
  <c r="P233" i="26"/>
  <c r="AS233" i="26" s="1"/>
  <c r="AN283" i="26"/>
  <c r="AT283" i="26" s="1"/>
  <c r="P283" i="26"/>
  <c r="AS283" i="26" s="1"/>
  <c r="P334" i="26"/>
  <c r="AS334" i="26" s="1"/>
  <c r="AN334" i="26"/>
  <c r="AT334" i="26" s="1"/>
  <c r="P430" i="26"/>
  <c r="AS430" i="26" s="1"/>
  <c r="AN430" i="26"/>
  <c r="AT430" i="26" s="1"/>
  <c r="P154" i="26"/>
  <c r="AS154" i="26" s="1"/>
  <c r="AV154" i="26" s="1"/>
  <c r="AN185" i="26"/>
  <c r="AT185" i="26" s="1"/>
  <c r="P185" i="26"/>
  <c r="AS185" i="26" s="1"/>
  <c r="AN229" i="26"/>
  <c r="AT229" i="26" s="1"/>
  <c r="P229" i="26"/>
  <c r="AS229" i="26" s="1"/>
  <c r="AV229" i="26" s="1"/>
  <c r="AR314" i="26"/>
  <c r="AU314" i="26" s="1"/>
  <c r="AV329" i="26"/>
  <c r="AN332" i="26"/>
  <c r="AT332" i="26" s="1"/>
  <c r="P332" i="26"/>
  <c r="AS332" i="26" s="1"/>
  <c r="AO11" i="26"/>
  <c r="AN40" i="26"/>
  <c r="AT40" i="26" s="1"/>
  <c r="AV40" i="26" s="1"/>
  <c r="P74" i="26"/>
  <c r="AS74" i="26" s="1"/>
  <c r="AV74" i="26" s="1"/>
  <c r="AN89" i="26"/>
  <c r="AT89" i="26" s="1"/>
  <c r="AN140" i="26"/>
  <c r="AT140" i="26" s="1"/>
  <c r="P140" i="26"/>
  <c r="AS140" i="26" s="1"/>
  <c r="P166" i="26"/>
  <c r="AS166" i="26" s="1"/>
  <c r="AN166" i="26"/>
  <c r="AT166" i="26" s="1"/>
  <c r="AN180" i="26"/>
  <c r="AT180" i="26" s="1"/>
  <c r="AN193" i="26"/>
  <c r="AT193" i="26" s="1"/>
  <c r="P193" i="26"/>
  <c r="AS193" i="26" s="1"/>
  <c r="AN204" i="26"/>
  <c r="AT204" i="26" s="1"/>
  <c r="AN208" i="26"/>
  <c r="AT208" i="26" s="1"/>
  <c r="P208" i="26"/>
  <c r="AS208" i="26" s="1"/>
  <c r="AV208" i="26" s="1"/>
  <c r="AN222" i="26"/>
  <c r="AT222" i="26" s="1"/>
  <c r="AN339" i="26"/>
  <c r="AT339" i="26" s="1"/>
  <c r="AV339" i="26" s="1"/>
  <c r="P366" i="26"/>
  <c r="AS366" i="26" s="1"/>
  <c r="AN366" i="26"/>
  <c r="AT366" i="26" s="1"/>
  <c r="P402" i="26"/>
  <c r="AS402" i="26" s="1"/>
  <c r="AN402" i="26"/>
  <c r="AT402" i="26" s="1"/>
  <c r="P433" i="26"/>
  <c r="AS433" i="26" s="1"/>
  <c r="AN433" i="26"/>
  <c r="AT433" i="26" s="1"/>
  <c r="P351" i="26"/>
  <c r="AS351" i="26" s="1"/>
  <c r="AN351" i="26"/>
  <c r="AT351" i="26" s="1"/>
  <c r="AN400" i="26"/>
  <c r="AT400" i="26" s="1"/>
  <c r="P400" i="26"/>
  <c r="AS400" i="26" s="1"/>
  <c r="P423" i="26"/>
  <c r="AS423" i="26" s="1"/>
  <c r="AN423" i="26"/>
  <c r="AT423" i="26" s="1"/>
  <c r="AN262" i="26"/>
  <c r="AT262" i="26" s="1"/>
  <c r="AV262" i="26" s="1"/>
  <c r="AN280" i="26"/>
  <c r="AT280" i="26" s="1"/>
  <c r="AN298" i="26"/>
  <c r="AT298" i="26" s="1"/>
  <c r="P298" i="26"/>
  <c r="AS298" i="26" s="1"/>
  <c r="AN354" i="26"/>
  <c r="AT354" i="26" s="1"/>
  <c r="AN376" i="26"/>
  <c r="AT376" i="26" s="1"/>
  <c r="P376" i="26"/>
  <c r="AS376" i="26" s="1"/>
  <c r="AN135" i="26"/>
  <c r="AT135" i="26" s="1"/>
  <c r="AN147" i="26"/>
  <c r="AT147" i="26" s="1"/>
  <c r="AN159" i="26"/>
  <c r="AT159" i="26" s="1"/>
  <c r="AN206" i="26"/>
  <c r="AT206" i="26" s="1"/>
  <c r="AV206" i="26" s="1"/>
  <c r="AN218" i="26"/>
  <c r="AT218" i="26" s="1"/>
  <c r="AV218" i="26" s="1"/>
  <c r="AN264" i="26"/>
  <c r="AT264" i="26" s="1"/>
  <c r="AV264" i="26" s="1"/>
  <c r="AN282" i="26"/>
  <c r="AT282" i="26" s="1"/>
  <c r="AV282" i="26" s="1"/>
  <c r="P300" i="26"/>
  <c r="AS300" i="26" s="1"/>
  <c r="AV300" i="26" s="1"/>
  <c r="AN310" i="26"/>
  <c r="AT310" i="26" s="1"/>
  <c r="P310" i="26"/>
  <c r="AS310" i="26" s="1"/>
  <c r="P321" i="26"/>
  <c r="AS321" i="26" s="1"/>
  <c r="P331" i="26"/>
  <c r="AS331" i="26" s="1"/>
  <c r="AN344" i="26"/>
  <c r="AT344" i="26" s="1"/>
  <c r="P344" i="26"/>
  <c r="AS344" i="26" s="1"/>
  <c r="P407" i="26"/>
  <c r="AS407" i="26" s="1"/>
  <c r="AN407" i="26"/>
  <c r="AT407" i="26" s="1"/>
  <c r="AN306" i="26"/>
  <c r="AT306" i="26" s="1"/>
  <c r="AN271" i="26"/>
  <c r="AT271" i="26" s="1"/>
  <c r="AV271" i="26" s="1"/>
  <c r="AN289" i="26"/>
  <c r="AT289" i="26" s="1"/>
  <c r="P401" i="26"/>
  <c r="AS401" i="26" s="1"/>
  <c r="AN401" i="26"/>
  <c r="AT401" i="26" s="1"/>
  <c r="AT409" i="26"/>
  <c r="AR409" i="26"/>
  <c r="AU409" i="26" s="1"/>
  <c r="P419" i="26"/>
  <c r="AS419" i="26" s="1"/>
  <c r="AN419" i="26"/>
  <c r="AT419" i="26" s="1"/>
  <c r="AN133" i="26"/>
  <c r="AT133" i="26" s="1"/>
  <c r="AN145" i="26"/>
  <c r="AT145" i="26" s="1"/>
  <c r="AN157" i="26"/>
  <c r="AT157" i="26" s="1"/>
  <c r="AV157" i="26" s="1"/>
  <c r="AN263" i="26"/>
  <c r="AT263" i="26" s="1"/>
  <c r="AV263" i="26" s="1"/>
  <c r="AN267" i="26"/>
  <c r="AT267" i="26" s="1"/>
  <c r="AN281" i="26"/>
  <c r="AT281" i="26" s="1"/>
  <c r="AN285" i="26"/>
  <c r="AT285" i="26" s="1"/>
  <c r="AV285" i="26" s="1"/>
  <c r="AT297" i="26"/>
  <c r="P299" i="26"/>
  <c r="AS299" i="26" s="1"/>
  <c r="AN299" i="26"/>
  <c r="AT299" i="26" s="1"/>
  <c r="AN350" i="26"/>
  <c r="AT350" i="26" s="1"/>
  <c r="P350" i="26"/>
  <c r="AS350" i="26" s="1"/>
  <c r="P403" i="26"/>
  <c r="AS403" i="26" s="1"/>
  <c r="AN403" i="26"/>
  <c r="AT403" i="26" s="1"/>
  <c r="AN359" i="26"/>
  <c r="AT359" i="26" s="1"/>
  <c r="P359" i="26"/>
  <c r="AS359" i="26" s="1"/>
  <c r="P361" i="26"/>
  <c r="AS361" i="26" s="1"/>
  <c r="P428" i="26"/>
  <c r="AS428" i="26" s="1"/>
  <c r="AN428" i="26"/>
  <c r="AT428" i="26" s="1"/>
  <c r="AN361" i="26"/>
  <c r="AT361" i="26" s="1"/>
  <c r="AN386" i="26"/>
  <c r="AT386" i="26" s="1"/>
  <c r="AR411" i="26"/>
  <c r="AU411" i="26" s="1"/>
  <c r="AN260" i="26"/>
  <c r="AT260" i="26" s="1"/>
  <c r="AN266" i="26"/>
  <c r="AT266" i="26" s="1"/>
  <c r="AV266" i="26" s="1"/>
  <c r="AN272" i="26"/>
  <c r="AT272" i="26" s="1"/>
  <c r="AV272" i="26" s="1"/>
  <c r="AN278" i="26"/>
  <c r="AT278" i="26" s="1"/>
  <c r="AN284" i="26"/>
  <c r="AT284" i="26" s="1"/>
  <c r="AN290" i="26"/>
  <c r="AT290" i="26" s="1"/>
  <c r="AN296" i="26"/>
  <c r="AT296" i="26" s="1"/>
  <c r="AV296" i="26" s="1"/>
  <c r="AN371" i="26"/>
  <c r="AT371" i="26" s="1"/>
  <c r="P371" i="26"/>
  <c r="AS371" i="26" s="1"/>
  <c r="AV395" i="26"/>
  <c r="P421" i="26"/>
  <c r="AS421" i="26" s="1"/>
  <c r="AN421" i="26"/>
  <c r="AT421" i="26" s="1"/>
  <c r="AN353" i="26"/>
  <c r="AT353" i="26" s="1"/>
  <c r="P390" i="26"/>
  <c r="AS390" i="26" s="1"/>
  <c r="P418" i="26"/>
  <c r="AS418" i="26" s="1"/>
  <c r="AN418" i="26"/>
  <c r="AT418" i="26" s="1"/>
  <c r="P432" i="26"/>
  <c r="AS432" i="26" s="1"/>
  <c r="AV432" i="26" s="1"/>
  <c r="AN313" i="26"/>
  <c r="AT313" i="26" s="1"/>
  <c r="AV313" i="26" s="1"/>
  <c r="P414" i="26"/>
  <c r="AS414" i="26" s="1"/>
  <c r="P424" i="26"/>
  <c r="AS424" i="26" s="1"/>
  <c r="P431" i="26"/>
  <c r="AS431" i="26" s="1"/>
  <c r="AN424" i="26"/>
  <c r="AT424" i="26" s="1"/>
  <c r="P435" i="26"/>
  <c r="AS435" i="26" s="1"/>
  <c r="P426" i="26"/>
  <c r="AS426" i="26" s="1"/>
  <c r="AN357" i="26"/>
  <c r="AT357" i="26" s="1"/>
  <c r="P417" i="26"/>
  <c r="AS417" i="26" s="1"/>
  <c r="P422" i="26"/>
  <c r="AS422" i="26" s="1"/>
  <c r="AN422" i="26"/>
  <c r="AT422" i="26" s="1"/>
  <c r="AN426" i="26"/>
  <c r="AT426" i="26" s="1"/>
  <c r="P434" i="26"/>
  <c r="AS434" i="26" s="1"/>
  <c r="AN434" i="26"/>
  <c r="AT434" i="26" s="1"/>
  <c r="AM433" i="16"/>
  <c r="AS433" i="16" s="1"/>
  <c r="O426" i="16"/>
  <c r="AR426" i="16" s="1"/>
  <c r="O435" i="16"/>
  <c r="AR435" i="16" s="1"/>
  <c r="AM436" i="16"/>
  <c r="AS436" i="16" s="1"/>
  <c r="O432" i="16"/>
  <c r="AR432" i="16" s="1"/>
  <c r="O436" i="16"/>
  <c r="AR436" i="16" s="1"/>
  <c r="AM435" i="16"/>
  <c r="AS435" i="16" s="1"/>
  <c r="AM434" i="16"/>
  <c r="AS434" i="16" s="1"/>
  <c r="O434" i="16"/>
  <c r="AR434" i="16" s="1"/>
  <c r="O433" i="16"/>
  <c r="AR433" i="16" s="1"/>
  <c r="AM432" i="16"/>
  <c r="AS432" i="16" s="1"/>
  <c r="O431" i="16"/>
  <c r="AR431" i="16" s="1"/>
  <c r="AU431" i="16" s="1"/>
  <c r="AM430" i="16"/>
  <c r="AS430" i="16" s="1"/>
  <c r="O430" i="16"/>
  <c r="AR430" i="16" s="1"/>
  <c r="O429" i="16"/>
  <c r="AR429" i="16" s="1"/>
  <c r="AM429" i="16"/>
  <c r="AS429" i="16" s="1"/>
  <c r="AM428" i="16"/>
  <c r="AS428" i="16" s="1"/>
  <c r="O428" i="16"/>
  <c r="AR428" i="16" s="1"/>
  <c r="O427" i="16"/>
  <c r="AR427" i="16" s="1"/>
  <c r="AU427" i="16" s="1"/>
  <c r="AM426" i="16"/>
  <c r="AS426" i="16" s="1"/>
  <c r="AU426" i="16" s="1"/>
  <c r="AM425" i="16"/>
  <c r="AS425" i="16" s="1"/>
  <c r="O425" i="16"/>
  <c r="AR425" i="16" s="1"/>
  <c r="AN413" i="16"/>
  <c r="AQ413" i="16" s="1"/>
  <c r="AT413" i="16" s="1"/>
  <c r="AQ415" i="16"/>
  <c r="AT415" i="16" s="1"/>
  <c r="AQ417" i="16"/>
  <c r="AT417" i="16" s="1"/>
  <c r="AQ424" i="16"/>
  <c r="AT424" i="16" s="1"/>
  <c r="AL424" i="16"/>
  <c r="P424" i="16" s="1"/>
  <c r="AC424" i="16"/>
  <c r="M424" i="16"/>
  <c r="J424" i="16"/>
  <c r="AQ423" i="16"/>
  <c r="AT423" i="16" s="1"/>
  <c r="AL423" i="16"/>
  <c r="P423" i="16" s="1"/>
  <c r="AC423" i="16"/>
  <c r="M423" i="16"/>
  <c r="J423" i="16"/>
  <c r="AQ422" i="16"/>
  <c r="AT422" i="16" s="1"/>
  <c r="AL422" i="16"/>
  <c r="P422" i="16" s="1"/>
  <c r="AC422" i="16"/>
  <c r="M422" i="16"/>
  <c r="J422" i="16"/>
  <c r="AL421" i="16"/>
  <c r="P421" i="16" s="1"/>
  <c r="AC421" i="16"/>
  <c r="M421" i="16"/>
  <c r="J421" i="16"/>
  <c r="AQ420" i="16"/>
  <c r="AT420" i="16" s="1"/>
  <c r="AL420" i="16"/>
  <c r="P420" i="16" s="1"/>
  <c r="AC420" i="16"/>
  <c r="M420" i="16"/>
  <c r="J420" i="16"/>
  <c r="AQ419" i="16"/>
  <c r="AT419" i="16" s="1"/>
  <c r="AL419" i="16"/>
  <c r="P419" i="16" s="1"/>
  <c r="AC419" i="16"/>
  <c r="M419" i="16"/>
  <c r="J419" i="16"/>
  <c r="AQ418" i="16"/>
  <c r="AT418" i="16" s="1"/>
  <c r="AL418" i="16"/>
  <c r="P418" i="16" s="1"/>
  <c r="AC418" i="16"/>
  <c r="M418" i="16"/>
  <c r="J418" i="16"/>
  <c r="AL417" i="16"/>
  <c r="P417" i="16" s="1"/>
  <c r="AC417" i="16"/>
  <c r="M417" i="16"/>
  <c r="J417" i="16"/>
  <c r="AQ416" i="16"/>
  <c r="AT416" i="16" s="1"/>
  <c r="AL416" i="16"/>
  <c r="P416" i="16" s="1"/>
  <c r="AC416" i="16"/>
  <c r="M416" i="16"/>
  <c r="J416" i="16"/>
  <c r="AL415" i="16"/>
  <c r="P415" i="16" s="1"/>
  <c r="AC415" i="16"/>
  <c r="M415" i="16"/>
  <c r="J415" i="16"/>
  <c r="AQ414" i="16"/>
  <c r="AT414" i="16" s="1"/>
  <c r="AL414" i="16"/>
  <c r="P414" i="16" s="1"/>
  <c r="AC414" i="16"/>
  <c r="M414" i="16"/>
  <c r="J414" i="16"/>
  <c r="AL413" i="16"/>
  <c r="P413" i="16" s="1"/>
  <c r="AC413" i="16"/>
  <c r="M413" i="16"/>
  <c r="J413" i="16"/>
  <c r="AQ412" i="16"/>
  <c r="AT412" i="16" s="1"/>
  <c r="AL412" i="16"/>
  <c r="P412" i="16" s="1"/>
  <c r="AC412" i="16"/>
  <c r="M412" i="16"/>
  <c r="J412" i="16"/>
  <c r="AN411" i="16"/>
  <c r="AN410" i="16"/>
  <c r="AN409" i="16"/>
  <c r="AQ406" i="16"/>
  <c r="AT406" i="16" s="1"/>
  <c r="AL406" i="16"/>
  <c r="P406" i="16" s="1"/>
  <c r="AC406" i="16"/>
  <c r="M406" i="16"/>
  <c r="J406" i="16"/>
  <c r="AQ411" i="16"/>
  <c r="AT411" i="16" s="1"/>
  <c r="AL411" i="16"/>
  <c r="P411" i="16" s="1"/>
  <c r="AC411" i="16"/>
  <c r="M411" i="16"/>
  <c r="J411" i="16"/>
  <c r="AQ410" i="16"/>
  <c r="AT410" i="16" s="1"/>
  <c r="AL410" i="16"/>
  <c r="P410" i="16" s="1"/>
  <c r="AC410" i="16"/>
  <c r="M410" i="16"/>
  <c r="J410" i="16"/>
  <c r="AQ409" i="16"/>
  <c r="AT409" i="16" s="1"/>
  <c r="AL409" i="16"/>
  <c r="P409" i="16" s="1"/>
  <c r="AC409" i="16"/>
  <c r="M409" i="16"/>
  <c r="J409" i="16"/>
  <c r="AQ408" i="16"/>
  <c r="AT408" i="16" s="1"/>
  <c r="AL408" i="16"/>
  <c r="P408" i="16" s="1"/>
  <c r="AC408" i="16"/>
  <c r="M408" i="16"/>
  <c r="J408" i="16"/>
  <c r="AQ407" i="16"/>
  <c r="AT407" i="16" s="1"/>
  <c r="AL407" i="16"/>
  <c r="P407" i="16" s="1"/>
  <c r="AC407" i="16"/>
  <c r="M407" i="16"/>
  <c r="J407" i="16"/>
  <c r="N7" i="27" l="1"/>
  <c r="O13" i="27"/>
  <c r="O7" i="27" s="1"/>
  <c r="AU433" i="16"/>
  <c r="O416" i="16"/>
  <c r="AR416" i="16" s="1"/>
  <c r="AV76" i="26"/>
  <c r="AV222" i="26"/>
  <c r="AV199" i="26"/>
  <c r="AV221" i="26"/>
  <c r="AV311" i="26"/>
  <c r="AV231" i="26"/>
  <c r="AV315" i="26"/>
  <c r="AV186" i="26"/>
  <c r="AV387" i="26"/>
  <c r="AV198" i="26"/>
  <c r="AV83" i="26"/>
  <c r="AV242" i="26"/>
  <c r="AV119" i="26"/>
  <c r="AV287" i="26"/>
  <c r="AV320" i="26"/>
  <c r="AV249" i="26"/>
  <c r="AV236" i="26"/>
  <c r="AV59" i="26"/>
  <c r="AV382" i="26"/>
  <c r="AV353" i="26"/>
  <c r="AV134" i="26"/>
  <c r="AV91" i="26"/>
  <c r="AV417" i="26"/>
  <c r="AV135" i="26"/>
  <c r="AV204" i="26"/>
  <c r="AV331" i="26"/>
  <c r="AV216" i="26"/>
  <c r="AV246" i="26"/>
  <c r="AV349" i="26"/>
  <c r="AV116" i="26"/>
  <c r="AV391" i="26"/>
  <c r="AV389" i="26"/>
  <c r="AV55" i="26"/>
  <c r="AV383" i="26"/>
  <c r="AV327" i="26"/>
  <c r="AV254" i="26"/>
  <c r="AV277" i="26"/>
  <c r="AV49" i="26"/>
  <c r="AV427" i="26"/>
  <c r="AV180" i="26"/>
  <c r="AV174" i="26"/>
  <c r="AV177" i="26"/>
  <c r="AV84" i="26"/>
  <c r="AV397" i="26"/>
  <c r="AV230" i="26"/>
  <c r="AV43" i="26"/>
  <c r="AV413" i="26"/>
  <c r="AV398" i="26"/>
  <c r="AV133" i="26"/>
  <c r="AV260" i="26"/>
  <c r="AV159" i="26"/>
  <c r="AV345" i="26"/>
  <c r="AV378" i="26"/>
  <c r="AV335" i="26"/>
  <c r="AV406" i="26"/>
  <c r="AV54" i="26"/>
  <c r="AV261" i="26"/>
  <c r="AV408" i="26"/>
  <c r="AV53" i="26"/>
  <c r="AV125" i="26"/>
  <c r="AV237" i="26"/>
  <c r="AV324" i="26"/>
  <c r="AV356" i="26"/>
  <c r="AV365" i="26"/>
  <c r="AV234" i="26"/>
  <c r="AV25" i="26"/>
  <c r="AV178" i="26"/>
  <c r="AV72" i="26"/>
  <c r="AV323" i="26"/>
  <c r="AV21" i="26"/>
  <c r="AV343" i="26"/>
  <c r="AV253" i="26"/>
  <c r="AV416" i="26"/>
  <c r="AV238" i="26"/>
  <c r="AV247" i="26"/>
  <c r="AV150" i="26"/>
  <c r="AV279" i="26"/>
  <c r="AV105" i="26"/>
  <c r="AV113" i="26"/>
  <c r="AV396" i="26"/>
  <c r="AV342" i="26"/>
  <c r="AV155" i="26"/>
  <c r="AV354" i="26"/>
  <c r="AV240" i="26"/>
  <c r="AV153" i="26"/>
  <c r="AV194" i="26"/>
  <c r="AV414" i="26"/>
  <c r="AV290" i="26"/>
  <c r="AV68" i="26"/>
  <c r="AV158" i="26"/>
  <c r="AV44" i="26"/>
  <c r="AV248" i="26"/>
  <c r="AV167" i="26"/>
  <c r="AV286" i="26"/>
  <c r="AV326" i="26"/>
  <c r="AV284" i="26"/>
  <c r="AV280" i="26"/>
  <c r="AV181" i="26"/>
  <c r="AV196" i="26"/>
  <c r="AV114" i="26"/>
  <c r="AV256" i="26"/>
  <c r="AV312" i="26"/>
  <c r="AV126" i="26"/>
  <c r="AV379" i="26"/>
  <c r="AV151" i="26"/>
  <c r="AV57" i="26"/>
  <c r="AV381" i="26"/>
  <c r="AV182" i="26"/>
  <c r="AV306" i="26"/>
  <c r="AV170" i="26"/>
  <c r="AV168" i="26"/>
  <c r="AV215" i="26"/>
  <c r="AV207" i="26"/>
  <c r="AV165" i="26"/>
  <c r="AV77" i="26"/>
  <c r="AV187" i="26"/>
  <c r="AV185" i="26"/>
  <c r="AV164" i="26"/>
  <c r="AV29" i="26"/>
  <c r="AV228" i="26"/>
  <c r="AV15" i="26"/>
  <c r="AV67" i="26"/>
  <c r="AV404" i="26"/>
  <c r="AV148" i="26"/>
  <c r="AV147" i="26"/>
  <c r="AV431" i="26"/>
  <c r="AV317" i="26"/>
  <c r="AV212" i="26"/>
  <c r="AV73" i="26"/>
  <c r="AV79" i="26"/>
  <c r="AV403" i="26"/>
  <c r="AV435" i="26"/>
  <c r="AV78" i="26"/>
  <c r="AV101" i="26"/>
  <c r="AV370" i="26"/>
  <c r="AV281" i="26"/>
  <c r="AV333" i="26"/>
  <c r="AV341" i="26"/>
  <c r="AV250" i="26"/>
  <c r="AV337" i="26"/>
  <c r="AV162" i="26"/>
  <c r="AV372" i="26"/>
  <c r="AV424" i="26"/>
  <c r="AV267" i="26"/>
  <c r="AV244" i="26"/>
  <c r="AV241" i="26"/>
  <c r="AV173" i="26"/>
  <c r="AV352" i="26"/>
  <c r="AV111" i="26"/>
  <c r="AV30" i="26"/>
  <c r="AV308" i="26"/>
  <c r="AV359" i="26"/>
  <c r="AV265" i="26"/>
  <c r="AV304" i="26"/>
  <c r="AV239" i="26"/>
  <c r="AV232" i="26"/>
  <c r="AV305" i="26"/>
  <c r="AV255" i="26"/>
  <c r="AV106" i="26"/>
  <c r="AV364" i="26"/>
  <c r="AV405" i="26"/>
  <c r="AV318" i="26"/>
  <c r="AV275" i="26"/>
  <c r="AV17" i="26"/>
  <c r="AV278" i="26"/>
  <c r="AV145" i="26"/>
  <c r="AV193" i="26"/>
  <c r="AV332" i="26"/>
  <c r="AV292" i="26"/>
  <c r="AV34" i="26"/>
  <c r="AV188" i="26"/>
  <c r="AV81" i="26"/>
  <c r="AV200" i="26"/>
  <c r="AV373" i="26"/>
  <c r="AV225" i="26"/>
  <c r="AV123" i="26"/>
  <c r="AV94" i="26"/>
  <c r="AV48" i="26"/>
  <c r="AV420" i="26"/>
  <c r="AV410" i="26"/>
  <c r="AV131" i="26"/>
  <c r="AV374" i="26"/>
  <c r="AV124" i="26"/>
  <c r="AV289" i="26"/>
  <c r="AV415" i="26"/>
  <c r="AV355" i="26"/>
  <c r="AV411" i="26"/>
  <c r="AV39" i="26"/>
  <c r="AV429" i="26"/>
  <c r="AV357" i="26"/>
  <c r="AV314" i="26"/>
  <c r="AV50" i="26"/>
  <c r="AV344" i="26"/>
  <c r="AV233" i="26"/>
  <c r="AV191" i="26"/>
  <c r="AV152" i="26"/>
  <c r="AV163" i="26"/>
  <c r="AV190" i="26"/>
  <c r="AV92" i="26"/>
  <c r="AV42" i="26"/>
  <c r="AV258" i="26"/>
  <c r="AV386" i="26"/>
  <c r="AV195" i="26"/>
  <c r="AV75" i="26"/>
  <c r="AV211" i="26"/>
  <c r="AV390" i="26"/>
  <c r="AV98" i="26"/>
  <c r="AV65" i="26"/>
  <c r="AV183" i="26"/>
  <c r="AV371" i="26"/>
  <c r="AV226" i="26"/>
  <c r="AV252" i="26"/>
  <c r="AV37" i="26"/>
  <c r="AV201" i="26"/>
  <c r="AV80" i="26"/>
  <c r="AV51" i="26"/>
  <c r="AV203" i="26"/>
  <c r="AV69" i="26"/>
  <c r="AV141" i="26"/>
  <c r="AV189" i="26"/>
  <c r="AV409" i="26"/>
  <c r="AV117" i="26"/>
  <c r="AV321" i="26"/>
  <c r="AV366" i="26"/>
  <c r="AV166" i="26"/>
  <c r="AV334" i="26"/>
  <c r="AV316" i="26"/>
  <c r="AV270" i="26"/>
  <c r="AV209" i="26"/>
  <c r="AV303" i="26"/>
  <c r="AV23" i="26"/>
  <c r="AV130" i="26"/>
  <c r="AV176" i="26"/>
  <c r="AV213" i="26"/>
  <c r="AV219" i="26"/>
  <c r="AV66" i="26"/>
  <c r="AV302" i="26"/>
  <c r="AV430" i="26"/>
  <c r="AV376" i="26"/>
  <c r="AV140" i="26"/>
  <c r="AV283" i="26"/>
  <c r="AV288" i="26"/>
  <c r="AV245" i="26"/>
  <c r="AV172" i="26"/>
  <c r="AV38" i="26"/>
  <c r="AV294" i="26"/>
  <c r="AV257" i="26"/>
  <c r="AV24" i="26"/>
  <c r="AV421" i="26"/>
  <c r="AV350" i="26"/>
  <c r="AV89" i="26"/>
  <c r="AV322" i="26"/>
  <c r="AV214" i="26"/>
  <c r="AV243" i="26"/>
  <c r="AV139" i="26"/>
  <c r="AV269" i="26"/>
  <c r="AV87" i="26"/>
  <c r="AV299" i="26"/>
  <c r="AR11" i="26"/>
  <c r="AV422" i="26"/>
  <c r="AU11" i="26"/>
  <c r="AV361" i="26"/>
  <c r="AV310" i="26"/>
  <c r="AV423" i="26"/>
  <c r="AV184" i="26"/>
  <c r="AV346" i="26"/>
  <c r="AV110" i="26"/>
  <c r="AV227" i="26"/>
  <c r="AV338" i="26"/>
  <c r="AV220" i="26"/>
  <c r="AV121" i="26"/>
  <c r="AV19" i="26"/>
  <c r="AV309" i="26"/>
  <c r="AV307" i="26"/>
  <c r="AV33" i="26"/>
  <c r="AV85" i="26"/>
  <c r="AV112" i="26"/>
  <c r="AV428" i="26"/>
  <c r="AV298" i="26"/>
  <c r="AV122" i="26"/>
  <c r="AV401" i="26"/>
  <c r="AV418" i="26"/>
  <c r="AV433" i="26"/>
  <c r="AV100" i="26"/>
  <c r="AV336" i="26"/>
  <c r="AV400" i="26"/>
  <c r="AV319" i="26"/>
  <c r="AV393" i="26"/>
  <c r="AV340" i="26"/>
  <c r="AV297" i="26"/>
  <c r="AV235" i="26"/>
  <c r="AV142" i="26"/>
  <c r="AV32" i="26"/>
  <c r="AV419" i="26"/>
  <c r="AV434" i="26"/>
  <c r="AV22" i="26"/>
  <c r="AV407" i="26"/>
  <c r="AV351" i="26"/>
  <c r="AV138" i="26"/>
  <c r="AV31" i="26"/>
  <c r="AV61" i="26"/>
  <c r="AV97" i="26"/>
  <c r="AV62" i="26"/>
  <c r="AV436" i="26"/>
  <c r="AV16" i="26"/>
  <c r="AV426" i="26"/>
  <c r="AV402" i="26"/>
  <c r="AV28" i="26"/>
  <c r="AV251" i="26"/>
  <c r="AV205" i="26"/>
  <c r="AV295" i="26"/>
  <c r="AV197" i="26"/>
  <c r="AV202" i="26"/>
  <c r="AV96" i="26"/>
  <c r="AV179" i="26"/>
  <c r="AV274" i="26"/>
  <c r="AM423" i="16"/>
  <c r="AS423" i="16" s="1"/>
  <c r="AM418" i="16"/>
  <c r="AS418" i="16" s="1"/>
  <c r="O415" i="16"/>
  <c r="AR415" i="16" s="1"/>
  <c r="AM420" i="16"/>
  <c r="AS420" i="16" s="1"/>
  <c r="AU435" i="16"/>
  <c r="AU430" i="16"/>
  <c r="AU434" i="16"/>
  <c r="AU432" i="16"/>
  <c r="AU429" i="16"/>
  <c r="O421" i="16"/>
  <c r="AR421" i="16" s="1"/>
  <c r="O422" i="16"/>
  <c r="AR422" i="16" s="1"/>
  <c r="AU425" i="16"/>
  <c r="AU428" i="16"/>
  <c r="AU436" i="16"/>
  <c r="O417" i="16"/>
  <c r="AR417" i="16" s="1"/>
  <c r="AM419" i="16"/>
  <c r="AS419" i="16" s="1"/>
  <c r="O423" i="16"/>
  <c r="AR423" i="16" s="1"/>
  <c r="AU423" i="16" s="1"/>
  <c r="AM422" i="16"/>
  <c r="AS422" i="16" s="1"/>
  <c r="AM415" i="16"/>
  <c r="AS415" i="16" s="1"/>
  <c r="AM424" i="16"/>
  <c r="AS424" i="16" s="1"/>
  <c r="AM421" i="16"/>
  <c r="AS421" i="16" s="1"/>
  <c r="AQ421" i="16"/>
  <c r="AT421" i="16" s="1"/>
  <c r="AM416" i="16"/>
  <c r="AS416" i="16" s="1"/>
  <c r="AU416" i="16" s="1"/>
  <c r="AM417" i="16"/>
  <c r="AS417" i="16" s="1"/>
  <c r="O424" i="16"/>
  <c r="AR424" i="16" s="1"/>
  <c r="O420" i="16"/>
  <c r="AR420" i="16" s="1"/>
  <c r="O419" i="16"/>
  <c r="AR419" i="16" s="1"/>
  <c r="O418" i="16"/>
  <c r="AR418" i="16" s="1"/>
  <c r="AM414" i="16"/>
  <c r="AS414" i="16" s="1"/>
  <c r="O414" i="16"/>
  <c r="AR414" i="16" s="1"/>
  <c r="AM413" i="16"/>
  <c r="AS413" i="16" s="1"/>
  <c r="O413" i="16"/>
  <c r="AR413" i="16" s="1"/>
  <c r="AM412" i="16"/>
  <c r="AS412" i="16" s="1"/>
  <c r="O412" i="16"/>
  <c r="AR412" i="16" s="1"/>
  <c r="AM406" i="16"/>
  <c r="AS406" i="16" s="1"/>
  <c r="O406" i="16"/>
  <c r="AR406" i="16" s="1"/>
  <c r="AS411" i="16"/>
  <c r="O411" i="16"/>
  <c r="AR411" i="16" s="1"/>
  <c r="AM408" i="16"/>
  <c r="AS408" i="16" s="1"/>
  <c r="O408" i="16"/>
  <c r="AR408" i="16" s="1"/>
  <c r="AS409" i="16"/>
  <c r="O409" i="16"/>
  <c r="AR409" i="16" s="1"/>
  <c r="AS410" i="16"/>
  <c r="O410" i="16"/>
  <c r="AR410" i="16" s="1"/>
  <c r="AM407" i="16"/>
  <c r="AS407" i="16" s="1"/>
  <c r="O407" i="16"/>
  <c r="AR407" i="16" s="1"/>
  <c r="AQ405" i="16"/>
  <c r="AT405" i="16" s="1"/>
  <c r="AL405" i="16"/>
  <c r="P405" i="16" s="1"/>
  <c r="AC405" i="16"/>
  <c r="M405" i="16"/>
  <c r="J405" i="16"/>
  <c r="AQ404" i="16"/>
  <c r="AT404" i="16" s="1"/>
  <c r="AL404" i="16"/>
  <c r="P404" i="16" s="1"/>
  <c r="AC404" i="16"/>
  <c r="M404" i="16"/>
  <c r="J404" i="16"/>
  <c r="AQ403" i="16"/>
  <c r="AT403" i="16" s="1"/>
  <c r="AL403" i="16"/>
  <c r="P403" i="16" s="1"/>
  <c r="AC403" i="16"/>
  <c r="M403" i="16"/>
  <c r="J403" i="16"/>
  <c r="AQ402" i="16"/>
  <c r="AT402" i="16" s="1"/>
  <c r="AL402" i="16"/>
  <c r="P402" i="16" s="1"/>
  <c r="AC402" i="16"/>
  <c r="M402" i="16"/>
  <c r="J402" i="16"/>
  <c r="AQ401" i="16"/>
  <c r="AT401" i="16" s="1"/>
  <c r="AL401" i="16"/>
  <c r="P401" i="16" s="1"/>
  <c r="AC401" i="16"/>
  <c r="M401" i="16"/>
  <c r="J401" i="16"/>
  <c r="AQ400" i="16"/>
  <c r="AT400" i="16" s="1"/>
  <c r="AL400" i="16"/>
  <c r="P400" i="16" s="1"/>
  <c r="AC400" i="16"/>
  <c r="M400" i="16"/>
  <c r="J400" i="16"/>
  <c r="AQ399" i="16"/>
  <c r="AT399" i="16" s="1"/>
  <c r="AL399" i="16"/>
  <c r="P399" i="16" s="1"/>
  <c r="AC399" i="16"/>
  <c r="M399" i="16"/>
  <c r="J399" i="16"/>
  <c r="AQ398" i="16"/>
  <c r="AT398" i="16" s="1"/>
  <c r="AL398" i="16"/>
  <c r="P398" i="16" s="1"/>
  <c r="AC398" i="16"/>
  <c r="M398" i="16"/>
  <c r="J398" i="16"/>
  <c r="AQ397" i="16"/>
  <c r="AT397" i="16" s="1"/>
  <c r="AL397" i="16"/>
  <c r="P397" i="16" s="1"/>
  <c r="AC397" i="16"/>
  <c r="M397" i="16"/>
  <c r="J397" i="16"/>
  <c r="AQ396" i="16"/>
  <c r="AT396" i="16" s="1"/>
  <c r="AL396" i="16"/>
  <c r="P396" i="16" s="1"/>
  <c r="AC396" i="16"/>
  <c r="M396" i="16"/>
  <c r="J396" i="16"/>
  <c r="AQ395" i="16"/>
  <c r="AT395" i="16" s="1"/>
  <c r="AL395" i="16"/>
  <c r="P395" i="16" s="1"/>
  <c r="AC395" i="16"/>
  <c r="M395" i="16"/>
  <c r="J395" i="16"/>
  <c r="AQ394" i="16"/>
  <c r="AT394" i="16" s="1"/>
  <c r="AL394" i="16"/>
  <c r="P394" i="16" s="1"/>
  <c r="AC394" i="16"/>
  <c r="M394" i="16"/>
  <c r="J394" i="16"/>
  <c r="AQ393" i="16"/>
  <c r="AT393" i="16" s="1"/>
  <c r="AL393" i="16"/>
  <c r="P393" i="16" s="1"/>
  <c r="AC393" i="16"/>
  <c r="M393" i="16"/>
  <c r="J393" i="16"/>
  <c r="AQ392" i="16"/>
  <c r="AT392" i="16" s="1"/>
  <c r="AL392" i="16"/>
  <c r="P392" i="16" s="1"/>
  <c r="AC392" i="16"/>
  <c r="M392" i="16"/>
  <c r="J392" i="16"/>
  <c r="AQ391" i="16"/>
  <c r="AT391" i="16" s="1"/>
  <c r="AL391" i="16"/>
  <c r="P391" i="16" s="1"/>
  <c r="AC391" i="16"/>
  <c r="M391" i="16"/>
  <c r="J391" i="16"/>
  <c r="AQ390" i="16"/>
  <c r="AT390" i="16" s="1"/>
  <c r="AL390" i="16"/>
  <c r="P390" i="16" s="1"/>
  <c r="AC390" i="16"/>
  <c r="M390" i="16"/>
  <c r="J390" i="16"/>
  <c r="AQ389" i="16"/>
  <c r="AT389" i="16" s="1"/>
  <c r="AL389" i="16"/>
  <c r="P389" i="16" s="1"/>
  <c r="AC389" i="16"/>
  <c r="M389" i="16"/>
  <c r="J389" i="16"/>
  <c r="AQ388" i="16"/>
  <c r="AT388" i="16" s="1"/>
  <c r="AL388" i="16"/>
  <c r="P388" i="16" s="1"/>
  <c r="AC388" i="16"/>
  <c r="M388" i="16"/>
  <c r="J388" i="16"/>
  <c r="AQ387" i="16"/>
  <c r="AT387" i="16" s="1"/>
  <c r="AL387" i="16"/>
  <c r="P387" i="16" s="1"/>
  <c r="AC387" i="16"/>
  <c r="M387" i="16"/>
  <c r="J387" i="16"/>
  <c r="AQ386" i="16"/>
  <c r="AT386" i="16" s="1"/>
  <c r="AL386" i="16"/>
  <c r="P386" i="16" s="1"/>
  <c r="AC386" i="16"/>
  <c r="M386" i="16"/>
  <c r="J386" i="16"/>
  <c r="AQ385" i="16"/>
  <c r="AT385" i="16" s="1"/>
  <c r="AL385" i="16"/>
  <c r="P385" i="16" s="1"/>
  <c r="AC385" i="16"/>
  <c r="M385" i="16"/>
  <c r="J385" i="16"/>
  <c r="AQ384" i="16"/>
  <c r="AT384" i="16" s="1"/>
  <c r="AL384" i="16"/>
  <c r="P384" i="16" s="1"/>
  <c r="AC384" i="16"/>
  <c r="M384" i="16"/>
  <c r="J384" i="16"/>
  <c r="AQ383" i="16"/>
  <c r="AT383" i="16" s="1"/>
  <c r="AL383" i="16"/>
  <c r="P383" i="16" s="1"/>
  <c r="AC383" i="16"/>
  <c r="M383" i="16"/>
  <c r="J383" i="16"/>
  <c r="AQ382" i="16"/>
  <c r="AT382" i="16" s="1"/>
  <c r="AL382" i="16"/>
  <c r="P382" i="16" s="1"/>
  <c r="AC382" i="16"/>
  <c r="M382" i="16"/>
  <c r="J382" i="16"/>
  <c r="AQ381" i="16"/>
  <c r="AT381" i="16" s="1"/>
  <c r="AL381" i="16"/>
  <c r="P381" i="16" s="1"/>
  <c r="AC381" i="16"/>
  <c r="M381" i="16"/>
  <c r="J381" i="16"/>
  <c r="AQ380" i="16"/>
  <c r="AT380" i="16" s="1"/>
  <c r="AL380" i="16"/>
  <c r="P380" i="16" s="1"/>
  <c r="AC380" i="16"/>
  <c r="M380" i="16"/>
  <c r="J380" i="16"/>
  <c r="AQ379" i="16"/>
  <c r="AT379" i="16" s="1"/>
  <c r="AL379" i="16"/>
  <c r="P379" i="16" s="1"/>
  <c r="AC379" i="16"/>
  <c r="M379" i="16"/>
  <c r="J379" i="16"/>
  <c r="AQ378" i="16"/>
  <c r="AT378" i="16" s="1"/>
  <c r="AL378" i="16"/>
  <c r="P378" i="16" s="1"/>
  <c r="AC378" i="16"/>
  <c r="M378" i="16"/>
  <c r="J378" i="16"/>
  <c r="AQ377" i="16"/>
  <c r="AT377" i="16" s="1"/>
  <c r="AL377" i="16"/>
  <c r="P377" i="16" s="1"/>
  <c r="AC377" i="16"/>
  <c r="M377" i="16"/>
  <c r="J377" i="16"/>
  <c r="AQ376" i="16"/>
  <c r="AT376" i="16" s="1"/>
  <c r="AL376" i="16"/>
  <c r="P376" i="16" s="1"/>
  <c r="AC376" i="16"/>
  <c r="M376" i="16"/>
  <c r="J376" i="16"/>
  <c r="AQ375" i="16"/>
  <c r="AT375" i="16" s="1"/>
  <c r="AL375" i="16"/>
  <c r="P375" i="16" s="1"/>
  <c r="AC375" i="16"/>
  <c r="M375" i="16"/>
  <c r="J375" i="16"/>
  <c r="AQ374" i="16"/>
  <c r="AT374" i="16" s="1"/>
  <c r="AL374" i="16"/>
  <c r="P374" i="16" s="1"/>
  <c r="AC374" i="16"/>
  <c r="M374" i="16"/>
  <c r="J374" i="16"/>
  <c r="AQ373" i="16"/>
  <c r="AT373" i="16" s="1"/>
  <c r="AL373" i="16"/>
  <c r="P373" i="16" s="1"/>
  <c r="AC373" i="16"/>
  <c r="M373" i="16"/>
  <c r="J373" i="16"/>
  <c r="AQ372" i="16"/>
  <c r="AT372" i="16" s="1"/>
  <c r="AL372" i="16"/>
  <c r="P372" i="16" s="1"/>
  <c r="AC372" i="16"/>
  <c r="M372" i="16"/>
  <c r="J372" i="16"/>
  <c r="AQ371" i="16"/>
  <c r="AT371" i="16" s="1"/>
  <c r="AL371" i="16"/>
  <c r="P371" i="16" s="1"/>
  <c r="AC371" i="16"/>
  <c r="M371" i="16"/>
  <c r="J371" i="16"/>
  <c r="AQ370" i="16"/>
  <c r="AT370" i="16" s="1"/>
  <c r="AL370" i="16"/>
  <c r="P370" i="16" s="1"/>
  <c r="AC370" i="16"/>
  <c r="M370" i="16"/>
  <c r="J370" i="16"/>
  <c r="AQ369" i="16"/>
  <c r="AT369" i="16" s="1"/>
  <c r="AL369" i="16"/>
  <c r="P369" i="16" s="1"/>
  <c r="AC369" i="16"/>
  <c r="M369" i="16"/>
  <c r="J369" i="16"/>
  <c r="AQ368" i="16"/>
  <c r="AT368" i="16" s="1"/>
  <c r="AL368" i="16"/>
  <c r="P368" i="16" s="1"/>
  <c r="AC368" i="16"/>
  <c r="M368" i="16"/>
  <c r="J368" i="16"/>
  <c r="AQ367" i="16"/>
  <c r="AT367" i="16" s="1"/>
  <c r="AL367" i="16"/>
  <c r="P367" i="16" s="1"/>
  <c r="AC367" i="16"/>
  <c r="M367" i="16"/>
  <c r="J367" i="16"/>
  <c r="AQ366" i="16"/>
  <c r="AT366" i="16" s="1"/>
  <c r="AL366" i="16"/>
  <c r="P366" i="16" s="1"/>
  <c r="AC366" i="16"/>
  <c r="M366" i="16"/>
  <c r="J366" i="16"/>
  <c r="AQ365" i="16"/>
  <c r="AT365" i="16" s="1"/>
  <c r="AL365" i="16"/>
  <c r="P365" i="16" s="1"/>
  <c r="AC365" i="16"/>
  <c r="M365" i="16"/>
  <c r="J365" i="16"/>
  <c r="AQ364" i="16"/>
  <c r="AT364" i="16" s="1"/>
  <c r="AL364" i="16"/>
  <c r="P364" i="16" s="1"/>
  <c r="AC364" i="16"/>
  <c r="M364" i="16"/>
  <c r="J364" i="16"/>
  <c r="AQ363" i="16"/>
  <c r="AT363" i="16" s="1"/>
  <c r="AL363" i="16"/>
  <c r="P363" i="16" s="1"/>
  <c r="AC363" i="16"/>
  <c r="M363" i="16"/>
  <c r="J363" i="16"/>
  <c r="M361" i="16"/>
  <c r="AQ362" i="16"/>
  <c r="AQ361" i="16"/>
  <c r="J362" i="16"/>
  <c r="J347" i="16"/>
  <c r="J361" i="16"/>
  <c r="J360" i="16"/>
  <c r="J359" i="16"/>
  <c r="J358" i="16"/>
  <c r="J357" i="16"/>
  <c r="J356" i="16"/>
  <c r="J355" i="16"/>
  <c r="J354" i="16"/>
  <c r="J353" i="16"/>
  <c r="AU415" i="16" l="1"/>
  <c r="AU417" i="16"/>
  <c r="AU407" i="16"/>
  <c r="AU411" i="16"/>
  <c r="AU412" i="16"/>
  <c r="AM376" i="16"/>
  <c r="AS376" i="16" s="1"/>
  <c r="AU422" i="16"/>
  <c r="AM375" i="16"/>
  <c r="AS375" i="16" s="1"/>
  <c r="AU421" i="16"/>
  <c r="AM374" i="16"/>
  <c r="AS374" i="16" s="1"/>
  <c r="AM377" i="16"/>
  <c r="AS377" i="16" s="1"/>
  <c r="AU408" i="16"/>
  <c r="AU406" i="16"/>
  <c r="AM373" i="16"/>
  <c r="AS373" i="16" s="1"/>
  <c r="AU424" i="16"/>
  <c r="AU414" i="16"/>
  <c r="AU420" i="16"/>
  <c r="AU413" i="16"/>
  <c r="AU419" i="16"/>
  <c r="AU418" i="16"/>
  <c r="AU409" i="16"/>
  <c r="AU410" i="16"/>
  <c r="AM404" i="16"/>
  <c r="AS404" i="16" s="1"/>
  <c r="O404" i="16"/>
  <c r="AR404" i="16" s="1"/>
  <c r="AU404" i="16" s="1"/>
  <c r="AM403" i="16"/>
  <c r="AS403" i="16" s="1"/>
  <c r="O403" i="16"/>
  <c r="AR403" i="16" s="1"/>
  <c r="AM401" i="16"/>
  <c r="AS401" i="16" s="1"/>
  <c r="O401" i="16"/>
  <c r="AR401" i="16" s="1"/>
  <c r="AU401" i="16" s="1"/>
  <c r="AM405" i="16"/>
  <c r="AS405" i="16" s="1"/>
  <c r="O405" i="16"/>
  <c r="AR405" i="16" s="1"/>
  <c r="AM402" i="16"/>
  <c r="AS402" i="16" s="1"/>
  <c r="O402" i="16"/>
  <c r="AR402" i="16" s="1"/>
  <c r="AU402" i="16" s="1"/>
  <c r="AM400" i="16"/>
  <c r="AS400" i="16" s="1"/>
  <c r="O400" i="16"/>
  <c r="AR400" i="16" s="1"/>
  <c r="AM399" i="16"/>
  <c r="AS399" i="16" s="1"/>
  <c r="O399" i="16"/>
  <c r="AR399" i="16" s="1"/>
  <c r="AM397" i="16"/>
  <c r="AS397" i="16" s="1"/>
  <c r="O397" i="16"/>
  <c r="AR397" i="16" s="1"/>
  <c r="AM398" i="16"/>
  <c r="AS398" i="16" s="1"/>
  <c r="O398" i="16"/>
  <c r="AR398" i="16" s="1"/>
  <c r="AU398" i="16" s="1"/>
  <c r="AM396" i="16"/>
  <c r="AS396" i="16" s="1"/>
  <c r="O396" i="16"/>
  <c r="AR396" i="16" s="1"/>
  <c r="AM395" i="16"/>
  <c r="AS395" i="16" s="1"/>
  <c r="O395" i="16"/>
  <c r="AR395" i="16" s="1"/>
  <c r="AU395" i="16" s="1"/>
  <c r="AM394" i="16"/>
  <c r="AS394" i="16" s="1"/>
  <c r="O394" i="16"/>
  <c r="AR394" i="16" s="1"/>
  <c r="AM393" i="16"/>
  <c r="AS393" i="16" s="1"/>
  <c r="O393" i="16"/>
  <c r="AR393" i="16" s="1"/>
  <c r="AM391" i="16"/>
  <c r="AS391" i="16" s="1"/>
  <c r="O391" i="16"/>
  <c r="AR391" i="16" s="1"/>
  <c r="AM392" i="16"/>
  <c r="AS392" i="16" s="1"/>
  <c r="O392" i="16"/>
  <c r="AR392" i="16" s="1"/>
  <c r="AM389" i="16"/>
  <c r="AS389" i="16" s="1"/>
  <c r="O389" i="16"/>
  <c r="AR389" i="16" s="1"/>
  <c r="AM390" i="16"/>
  <c r="AS390" i="16" s="1"/>
  <c r="O390" i="16"/>
  <c r="AR390" i="16" s="1"/>
  <c r="AM388" i="16"/>
  <c r="AS388" i="16" s="1"/>
  <c r="O388" i="16"/>
  <c r="AR388" i="16" s="1"/>
  <c r="AM387" i="16"/>
  <c r="AS387" i="16" s="1"/>
  <c r="O387" i="16"/>
  <c r="AR387" i="16" s="1"/>
  <c r="AU387" i="16" s="1"/>
  <c r="AM384" i="16"/>
  <c r="AS384" i="16" s="1"/>
  <c r="O384" i="16"/>
  <c r="AR384" i="16" s="1"/>
  <c r="AM385" i="16"/>
  <c r="AS385" i="16" s="1"/>
  <c r="O385" i="16"/>
  <c r="AR385" i="16" s="1"/>
  <c r="AU385" i="16" s="1"/>
  <c r="AM386" i="16"/>
  <c r="AS386" i="16" s="1"/>
  <c r="O386" i="16"/>
  <c r="AR386" i="16" s="1"/>
  <c r="AM383" i="16"/>
  <c r="AS383" i="16" s="1"/>
  <c r="O383" i="16"/>
  <c r="AR383" i="16" s="1"/>
  <c r="AU383" i="16" s="1"/>
  <c r="AM382" i="16"/>
  <c r="AS382" i="16" s="1"/>
  <c r="O382" i="16"/>
  <c r="AR382" i="16" s="1"/>
  <c r="AM381" i="16"/>
  <c r="AS381" i="16" s="1"/>
  <c r="O381" i="16"/>
  <c r="AR381" i="16" s="1"/>
  <c r="AU381" i="16" s="1"/>
  <c r="AM380" i="16"/>
  <c r="AS380" i="16" s="1"/>
  <c r="O380" i="16"/>
  <c r="AR380" i="16" s="1"/>
  <c r="AM379" i="16"/>
  <c r="AS379" i="16" s="1"/>
  <c r="O379" i="16"/>
  <c r="AR379" i="16" s="1"/>
  <c r="AM378" i="16"/>
  <c r="AS378" i="16" s="1"/>
  <c r="O378" i="16"/>
  <c r="AR378" i="16" s="1"/>
  <c r="O373" i="16"/>
  <c r="AR373" i="16" s="1"/>
  <c r="O374" i="16"/>
  <c r="AR374" i="16" s="1"/>
  <c r="O375" i="16"/>
  <c r="AR375" i="16" s="1"/>
  <c r="AU375" i="16" s="1"/>
  <c r="O376" i="16"/>
  <c r="AR376" i="16" s="1"/>
  <c r="AU376" i="16" s="1"/>
  <c r="O377" i="16"/>
  <c r="AR377" i="16" s="1"/>
  <c r="AU377" i="16" s="1"/>
  <c r="AM363" i="16"/>
  <c r="AS363" i="16" s="1"/>
  <c r="O363" i="16"/>
  <c r="AR363" i="16" s="1"/>
  <c r="AM367" i="16"/>
  <c r="AS367" i="16" s="1"/>
  <c r="O367" i="16"/>
  <c r="AR367" i="16" s="1"/>
  <c r="AM371" i="16"/>
  <c r="AS371" i="16" s="1"/>
  <c r="O371" i="16"/>
  <c r="AR371" i="16" s="1"/>
  <c r="AM370" i="16"/>
  <c r="AS370" i="16" s="1"/>
  <c r="O370" i="16"/>
  <c r="AR370" i="16" s="1"/>
  <c r="AM364" i="16"/>
  <c r="AS364" i="16" s="1"/>
  <c r="O364" i="16"/>
  <c r="AR364" i="16" s="1"/>
  <c r="AM368" i="16"/>
  <c r="AS368" i="16" s="1"/>
  <c r="O368" i="16"/>
  <c r="AR368" i="16" s="1"/>
  <c r="AM372" i="16"/>
  <c r="AS372" i="16" s="1"/>
  <c r="O372" i="16"/>
  <c r="AR372" i="16" s="1"/>
  <c r="AM366" i="16"/>
  <c r="AS366" i="16" s="1"/>
  <c r="O366" i="16"/>
  <c r="AR366" i="16" s="1"/>
  <c r="AM365" i="16"/>
  <c r="AS365" i="16" s="1"/>
  <c r="O365" i="16"/>
  <c r="AR365" i="16" s="1"/>
  <c r="AM369" i="16"/>
  <c r="AS369" i="16" s="1"/>
  <c r="O369" i="16"/>
  <c r="AR369" i="16" s="1"/>
  <c r="J352" i="16"/>
  <c r="J351" i="16"/>
  <c r="J350" i="16"/>
  <c r="J349" i="16"/>
  <c r="J348" i="16"/>
  <c r="J346" i="16"/>
  <c r="J345" i="16"/>
  <c r="J344" i="16"/>
  <c r="J343" i="16"/>
  <c r="J342" i="16"/>
  <c r="J341" i="16"/>
  <c r="J340" i="16"/>
  <c r="J339" i="16"/>
  <c r="J338" i="16"/>
  <c r="J337" i="16"/>
  <c r="J336" i="16"/>
  <c r="J335" i="16"/>
  <c r="J334" i="16"/>
  <c r="J333" i="16"/>
  <c r="J332" i="16"/>
  <c r="J331" i="16"/>
  <c r="J330" i="16"/>
  <c r="J329" i="16"/>
  <c r="J328" i="16"/>
  <c r="J327" i="16"/>
  <c r="J326" i="16"/>
  <c r="J325" i="16"/>
  <c r="J324" i="16"/>
  <c r="J323" i="16"/>
  <c r="J322" i="16"/>
  <c r="J321" i="16"/>
  <c r="J320" i="16"/>
  <c r="J319" i="16"/>
  <c r="J318" i="16"/>
  <c r="J317" i="16"/>
  <c r="J316" i="16"/>
  <c r="AU374" i="16" l="1"/>
  <c r="AU373" i="16"/>
  <c r="AU365" i="16"/>
  <c r="AU364" i="16"/>
  <c r="AU371" i="16"/>
  <c r="AU363" i="16"/>
  <c r="AU378" i="16"/>
  <c r="AU380" i="16"/>
  <c r="AU382" i="16"/>
  <c r="AU386" i="16"/>
  <c r="AU388" i="16"/>
  <c r="AU389" i="16"/>
  <c r="AU391" i="16"/>
  <c r="AU394" i="16"/>
  <c r="AU396" i="16"/>
  <c r="AU397" i="16"/>
  <c r="AU400" i="16"/>
  <c r="AU405" i="16"/>
  <c r="AU403" i="16"/>
  <c r="AU366" i="16"/>
  <c r="AU399" i="16"/>
  <c r="AU393" i="16"/>
  <c r="AU392" i="16"/>
  <c r="AU390" i="16"/>
  <c r="AU384" i="16"/>
  <c r="AU379" i="16"/>
  <c r="AU368" i="16"/>
  <c r="AU369" i="16"/>
  <c r="AU370" i="16"/>
  <c r="AU367" i="16"/>
  <c r="AU372" i="16"/>
  <c r="AN314" i="16"/>
  <c r="AN313" i="16"/>
  <c r="J315" i="16"/>
  <c r="J314" i="16"/>
  <c r="J313" i="16"/>
  <c r="J312" i="16"/>
  <c r="J311" i="16"/>
  <c r="J310" i="16"/>
  <c r="J309" i="16"/>
  <c r="J308" i="16"/>
  <c r="J307" i="16"/>
  <c r="J306" i="16"/>
  <c r="J305" i="16"/>
  <c r="AN299" i="16"/>
  <c r="AN298" i="16"/>
  <c r="AN297" i="16"/>
  <c r="J304" i="16"/>
  <c r="J303" i="16"/>
  <c r="J302" i="16"/>
  <c r="J301" i="16"/>
  <c r="J300" i="16"/>
  <c r="J299" i="16"/>
  <c r="J298" i="16"/>
  <c r="J297" i="16"/>
  <c r="J296" i="16"/>
  <c r="J295" i="16"/>
  <c r="J294" i="16"/>
  <c r="J293" i="16"/>
  <c r="J292" i="16"/>
  <c r="J291" i="16"/>
  <c r="J290" i="16"/>
  <c r="J289" i="16"/>
  <c r="J288" i="16"/>
  <c r="J287" i="16"/>
  <c r="J286" i="16"/>
  <c r="J285" i="16"/>
  <c r="J284" i="16"/>
  <c r="J283" i="16"/>
  <c r="J282" i="16" l="1"/>
  <c r="J281" i="16"/>
  <c r="J280" i="16"/>
  <c r="J279" i="16"/>
  <c r="J278" i="16"/>
  <c r="J277" i="16"/>
  <c r="J276" i="16"/>
  <c r="J275" i="16"/>
  <c r="J274" i="16"/>
  <c r="J273" i="16"/>
  <c r="J272" i="16"/>
  <c r="J271" i="16"/>
  <c r="J270" i="16"/>
  <c r="J269" i="16"/>
  <c r="J268" i="16"/>
  <c r="J267" i="16"/>
  <c r="J266" i="16"/>
  <c r="J265" i="16"/>
  <c r="J264" i="16"/>
  <c r="J263" i="16"/>
  <c r="J262" i="16"/>
  <c r="J261" i="16"/>
  <c r="J260" i="16"/>
  <c r="J259" i="16"/>
  <c r="J258" i="16"/>
  <c r="J257" i="16"/>
  <c r="J256" i="16"/>
  <c r="J255" i="16"/>
  <c r="J254" i="16"/>
  <c r="J253" i="16"/>
  <c r="J252" i="16"/>
  <c r="J251" i="16"/>
  <c r="J250" i="16"/>
  <c r="J249" i="16"/>
  <c r="J248" i="16"/>
  <c r="J247" i="16"/>
  <c r="J246" i="16"/>
  <c r="J245" i="16"/>
  <c r="J244" i="16"/>
  <c r="J243" i="16"/>
  <c r="J242" i="16"/>
  <c r="J241" i="16"/>
  <c r="J240" i="16"/>
  <c r="J239" i="16"/>
  <c r="J238" i="16"/>
  <c r="J237" i="16"/>
  <c r="J236" i="16"/>
  <c r="J235" i="16"/>
  <c r="J234" i="16"/>
  <c r="J233" i="16"/>
  <c r="J232" i="16"/>
  <c r="J231" i="16"/>
  <c r="J230" i="16"/>
  <c r="J229" i="16"/>
  <c r="J228" i="16"/>
  <c r="J227" i="16"/>
  <c r="J226" i="16"/>
  <c r="J225" i="16"/>
  <c r="J224" i="16"/>
  <c r="J223" i="16"/>
  <c r="J222" i="16"/>
  <c r="J221" i="16"/>
  <c r="J220" i="16"/>
  <c r="J219" i="16"/>
  <c r="J218" i="16"/>
  <c r="J217" i="16"/>
  <c r="J216" i="16"/>
  <c r="J215" i="16"/>
  <c r="J214" i="16"/>
  <c r="J213" i="16"/>
  <c r="J212" i="16"/>
  <c r="J211" i="16"/>
  <c r="J210" i="16"/>
  <c r="J209" i="16"/>
  <c r="J208" i="16"/>
  <c r="J207" i="16"/>
  <c r="J206" i="16"/>
  <c r="J205" i="16"/>
  <c r="J204" i="16"/>
  <c r="J203" i="16"/>
  <c r="J202" i="16"/>
  <c r="J201" i="16"/>
  <c r="J200" i="16"/>
  <c r="J199" i="16"/>
  <c r="J198" i="16"/>
  <c r="J197" i="16"/>
  <c r="J196" i="16"/>
  <c r="J195" i="16"/>
  <c r="J194" i="16"/>
  <c r="J193" i="16"/>
  <c r="M192" i="16"/>
  <c r="J192" i="16"/>
  <c r="J191" i="16"/>
  <c r="J190" i="16"/>
  <c r="J189" i="16"/>
  <c r="J188" i="16"/>
  <c r="J187" i="16"/>
  <c r="J186" i="16"/>
  <c r="J185" i="16"/>
  <c r="J184" i="16"/>
  <c r="J183" i="16"/>
  <c r="J182" i="16" l="1"/>
  <c r="J181" i="16"/>
  <c r="J180" i="16"/>
  <c r="J179" i="16"/>
  <c r="J178" i="16" l="1"/>
  <c r="J177" i="16"/>
  <c r="J176" i="16"/>
  <c r="J175" i="16"/>
  <c r="J174" i="16"/>
  <c r="J173" i="16"/>
  <c r="J172" i="16"/>
  <c r="J171" i="16"/>
  <c r="J170" i="16"/>
  <c r="J169" i="16"/>
  <c r="J168" i="16"/>
  <c r="J162" i="16" l="1"/>
  <c r="J167" i="16"/>
  <c r="J166" i="16"/>
  <c r="J165" i="16"/>
  <c r="J164" i="16"/>
  <c r="J163" i="16"/>
  <c r="J161" i="16"/>
  <c r="J160" i="16"/>
  <c r="J159" i="16"/>
  <c r="J158" i="16"/>
  <c r="J157" i="16"/>
  <c r="J156" i="16"/>
  <c r="J155" i="16"/>
  <c r="J154" i="16"/>
  <c r="J153" i="16"/>
  <c r="J152" i="16"/>
  <c r="J151" i="16"/>
  <c r="J150" i="16"/>
  <c r="J149" i="16"/>
  <c r="J148" i="16"/>
  <c r="J147" i="16"/>
  <c r="J146" i="16"/>
  <c r="J145" i="16"/>
  <c r="J144" i="16"/>
  <c r="J143" i="16"/>
  <c r="J142" i="16"/>
  <c r="J141" i="16"/>
  <c r="J140" i="16"/>
  <c r="J139" i="16"/>
  <c r="J138" i="16"/>
  <c r="J137" i="16"/>
  <c r="J136" i="16"/>
  <c r="J135" i="16"/>
  <c r="AC130" i="16" l="1"/>
  <c r="AQ55" i="16" l="1"/>
  <c r="J47" i="16"/>
  <c r="M47" i="16"/>
  <c r="AC47" i="16"/>
  <c r="AL47" i="16"/>
  <c r="P47" i="16" s="1"/>
  <c r="AQ47" i="16"/>
  <c r="AT47" i="16" s="1"/>
  <c r="J48" i="16"/>
  <c r="M48" i="16"/>
  <c r="AC48" i="16"/>
  <c r="AL48" i="16"/>
  <c r="P48" i="16" s="1"/>
  <c r="AQ48" i="16"/>
  <c r="AT48" i="16" s="1"/>
  <c r="J49" i="16"/>
  <c r="M49" i="16"/>
  <c r="AC49" i="16"/>
  <c r="AL49" i="16"/>
  <c r="P49" i="16" s="1"/>
  <c r="AQ49" i="16"/>
  <c r="AT49" i="16" s="1"/>
  <c r="J50" i="16"/>
  <c r="M50" i="16"/>
  <c r="AC50" i="16"/>
  <c r="AL50" i="16"/>
  <c r="P50" i="16" s="1"/>
  <c r="AQ50" i="16"/>
  <c r="AT50" i="16" s="1"/>
  <c r="J51" i="16"/>
  <c r="M51" i="16"/>
  <c r="AC51" i="16"/>
  <c r="AL51" i="16"/>
  <c r="P51" i="16" s="1"/>
  <c r="AQ51" i="16"/>
  <c r="AT51" i="16" s="1"/>
  <c r="J52" i="16"/>
  <c r="M52" i="16"/>
  <c r="AC52" i="16"/>
  <c r="AL52" i="16"/>
  <c r="P52" i="16" s="1"/>
  <c r="AQ52" i="16"/>
  <c r="AT52" i="16" s="1"/>
  <c r="J53" i="16"/>
  <c r="M53" i="16"/>
  <c r="AC53" i="16"/>
  <c r="AL53" i="16"/>
  <c r="P53" i="16" s="1"/>
  <c r="AQ53" i="16"/>
  <c r="AT53" i="16" s="1"/>
  <c r="J54" i="16"/>
  <c r="M54" i="16"/>
  <c r="AC54" i="16"/>
  <c r="AL54" i="16"/>
  <c r="P54" i="16" s="1"/>
  <c r="AQ54" i="16"/>
  <c r="AT54" i="16" s="1"/>
  <c r="J55" i="16"/>
  <c r="M55" i="16"/>
  <c r="AC55" i="16"/>
  <c r="AL55" i="16"/>
  <c r="P55" i="16" s="1"/>
  <c r="AT55" i="16"/>
  <c r="J56" i="16"/>
  <c r="M56" i="16"/>
  <c r="AC56" i="16"/>
  <c r="AL56" i="16"/>
  <c r="P56" i="16" s="1"/>
  <c r="AQ56" i="16"/>
  <c r="AT56" i="16" s="1"/>
  <c r="J57" i="16"/>
  <c r="M57" i="16"/>
  <c r="AC57" i="16"/>
  <c r="AL57" i="16"/>
  <c r="P57" i="16" s="1"/>
  <c r="AQ57" i="16"/>
  <c r="AT57" i="16" s="1"/>
  <c r="J58" i="16"/>
  <c r="M58" i="16"/>
  <c r="AC58" i="16"/>
  <c r="AL58" i="16"/>
  <c r="P58" i="16" s="1"/>
  <c r="AQ58" i="16"/>
  <c r="AT58" i="16" s="1"/>
  <c r="J59" i="16"/>
  <c r="M59" i="16"/>
  <c r="AC59" i="16"/>
  <c r="AL59" i="16"/>
  <c r="P59" i="16" s="1"/>
  <c r="AQ59" i="16"/>
  <c r="AT59" i="16" s="1"/>
  <c r="J60" i="16"/>
  <c r="M60" i="16"/>
  <c r="AC60" i="16"/>
  <c r="AL60" i="16"/>
  <c r="P60" i="16" s="1"/>
  <c r="AQ60" i="16"/>
  <c r="AT60" i="16" s="1"/>
  <c r="J61" i="16"/>
  <c r="M61" i="16"/>
  <c r="AC61" i="16"/>
  <c r="AL61" i="16"/>
  <c r="P61" i="16" s="1"/>
  <c r="AQ61" i="16"/>
  <c r="AT61" i="16" s="1"/>
  <c r="J62" i="16"/>
  <c r="M62" i="16"/>
  <c r="AC62" i="16"/>
  <c r="AL62" i="16"/>
  <c r="P62" i="16" s="1"/>
  <c r="AQ62" i="16"/>
  <c r="AT62" i="16" s="1"/>
  <c r="J63" i="16"/>
  <c r="M63" i="16"/>
  <c r="AC63" i="16"/>
  <c r="AL63" i="16"/>
  <c r="P63" i="16" s="1"/>
  <c r="AQ63" i="16"/>
  <c r="AT63" i="16" s="1"/>
  <c r="J64" i="16"/>
  <c r="M64" i="16"/>
  <c r="AC64" i="16"/>
  <c r="AL64" i="16"/>
  <c r="P64" i="16" s="1"/>
  <c r="AQ64" i="16"/>
  <c r="AT64" i="16" s="1"/>
  <c r="J65" i="16"/>
  <c r="M65" i="16"/>
  <c r="AC65" i="16"/>
  <c r="AL65" i="16"/>
  <c r="P65" i="16" s="1"/>
  <c r="AQ65" i="16"/>
  <c r="AT65" i="16" s="1"/>
  <c r="J66" i="16"/>
  <c r="M66" i="16"/>
  <c r="AC66" i="16"/>
  <c r="AL66" i="16"/>
  <c r="P66" i="16" s="1"/>
  <c r="AQ66" i="16"/>
  <c r="AT66" i="16" s="1"/>
  <c r="J67" i="16"/>
  <c r="M67" i="16"/>
  <c r="AC67" i="16"/>
  <c r="AL67" i="16"/>
  <c r="P67" i="16" s="1"/>
  <c r="AQ67" i="16"/>
  <c r="AT67" i="16" s="1"/>
  <c r="J68" i="16"/>
  <c r="M68" i="16"/>
  <c r="AC68" i="16"/>
  <c r="AL68" i="16"/>
  <c r="P68" i="16" s="1"/>
  <c r="AQ68" i="16"/>
  <c r="AT68" i="16" s="1"/>
  <c r="J69" i="16"/>
  <c r="M69" i="16"/>
  <c r="AC69" i="16"/>
  <c r="AL69" i="16"/>
  <c r="P69" i="16" s="1"/>
  <c r="AQ69" i="16"/>
  <c r="AT69" i="16" s="1"/>
  <c r="J70" i="16"/>
  <c r="M70" i="16"/>
  <c r="AC70" i="16"/>
  <c r="AL70" i="16"/>
  <c r="P70" i="16" s="1"/>
  <c r="AQ70" i="16"/>
  <c r="AT70" i="16" s="1"/>
  <c r="J71" i="16"/>
  <c r="M71" i="16"/>
  <c r="AC71" i="16"/>
  <c r="AL71" i="16"/>
  <c r="P71" i="16" s="1"/>
  <c r="AQ71" i="16"/>
  <c r="AT71" i="16" s="1"/>
  <c r="J72" i="16"/>
  <c r="M72" i="16"/>
  <c r="AC72" i="16"/>
  <c r="AL72" i="16"/>
  <c r="P72" i="16" s="1"/>
  <c r="AQ72" i="16"/>
  <c r="AT72" i="16" s="1"/>
  <c r="J73" i="16"/>
  <c r="M73" i="16"/>
  <c r="AC73" i="16"/>
  <c r="AL73" i="16"/>
  <c r="P73" i="16" s="1"/>
  <c r="AQ73" i="16"/>
  <c r="AT73" i="16" s="1"/>
  <c r="J74" i="16"/>
  <c r="M74" i="16"/>
  <c r="AC74" i="16"/>
  <c r="AL74" i="16"/>
  <c r="P74" i="16" s="1"/>
  <c r="AQ74" i="16"/>
  <c r="AT74" i="16" s="1"/>
  <c r="J75" i="16"/>
  <c r="M75" i="16"/>
  <c r="AC75" i="16"/>
  <c r="AL75" i="16"/>
  <c r="P75" i="16" s="1"/>
  <c r="AQ75" i="16"/>
  <c r="AT75" i="16" s="1"/>
  <c r="J76" i="16"/>
  <c r="M76" i="16"/>
  <c r="AC76" i="16"/>
  <c r="AL76" i="16"/>
  <c r="P76" i="16" s="1"/>
  <c r="AQ76" i="16"/>
  <c r="AT76" i="16" s="1"/>
  <c r="J77" i="16"/>
  <c r="M77" i="16"/>
  <c r="AC77" i="16"/>
  <c r="AL77" i="16"/>
  <c r="P77" i="16" s="1"/>
  <c r="AQ77" i="16"/>
  <c r="AT77" i="16" s="1"/>
  <c r="J78" i="16"/>
  <c r="M78" i="16"/>
  <c r="AC78" i="16"/>
  <c r="AL78" i="16"/>
  <c r="P78" i="16" s="1"/>
  <c r="AQ78" i="16"/>
  <c r="AT78" i="16" s="1"/>
  <c r="J79" i="16"/>
  <c r="M79" i="16"/>
  <c r="AC79" i="16"/>
  <c r="AL79" i="16"/>
  <c r="P79" i="16" s="1"/>
  <c r="AQ79" i="16"/>
  <c r="AT79" i="16" s="1"/>
  <c r="J80" i="16"/>
  <c r="M80" i="16"/>
  <c r="AC80" i="16"/>
  <c r="AL80" i="16"/>
  <c r="P80" i="16" s="1"/>
  <c r="AQ80" i="16"/>
  <c r="AT80" i="16" s="1"/>
  <c r="J81" i="16"/>
  <c r="M81" i="16"/>
  <c r="AC81" i="16"/>
  <c r="AL81" i="16"/>
  <c r="P81" i="16" s="1"/>
  <c r="AQ81" i="16"/>
  <c r="AT81" i="16" s="1"/>
  <c r="J82" i="16"/>
  <c r="M82" i="16"/>
  <c r="AC82" i="16"/>
  <c r="AL82" i="16"/>
  <c r="P82" i="16" s="1"/>
  <c r="AQ82" i="16"/>
  <c r="AT82" i="16" s="1"/>
  <c r="J83" i="16"/>
  <c r="M83" i="16"/>
  <c r="AC83" i="16"/>
  <c r="AL83" i="16"/>
  <c r="P83" i="16" s="1"/>
  <c r="AQ83" i="16"/>
  <c r="AT83" i="16" s="1"/>
  <c r="J84" i="16"/>
  <c r="M84" i="16"/>
  <c r="AC84" i="16"/>
  <c r="AL84" i="16"/>
  <c r="P84" i="16" s="1"/>
  <c r="AQ84" i="16"/>
  <c r="AT84" i="16" s="1"/>
  <c r="J85" i="16"/>
  <c r="M85" i="16"/>
  <c r="AC85" i="16"/>
  <c r="AL85" i="16"/>
  <c r="P85" i="16" s="1"/>
  <c r="AQ85" i="16"/>
  <c r="AT85" i="16" s="1"/>
  <c r="J86" i="16"/>
  <c r="M86" i="16"/>
  <c r="AC86" i="16"/>
  <c r="AL86" i="16"/>
  <c r="P86" i="16" s="1"/>
  <c r="AQ86" i="16"/>
  <c r="AT86" i="16" s="1"/>
  <c r="J87" i="16"/>
  <c r="M87" i="16"/>
  <c r="AC87" i="16"/>
  <c r="AL87" i="16"/>
  <c r="P87" i="16" s="1"/>
  <c r="AQ87" i="16"/>
  <c r="AT87" i="16" s="1"/>
  <c r="J88" i="16"/>
  <c r="M88" i="16"/>
  <c r="AC88" i="16"/>
  <c r="AL88" i="16"/>
  <c r="P88" i="16" s="1"/>
  <c r="AQ88" i="16"/>
  <c r="AT88" i="16" s="1"/>
  <c r="J89" i="16"/>
  <c r="M89" i="16"/>
  <c r="AC89" i="16"/>
  <c r="AL89" i="16"/>
  <c r="P89" i="16" s="1"/>
  <c r="AQ89" i="16"/>
  <c r="AT89" i="16" s="1"/>
  <c r="J90" i="16"/>
  <c r="M90" i="16"/>
  <c r="AC90" i="16"/>
  <c r="AL90" i="16"/>
  <c r="P90" i="16" s="1"/>
  <c r="AQ90" i="16"/>
  <c r="AT90" i="16" s="1"/>
  <c r="J91" i="16"/>
  <c r="M91" i="16"/>
  <c r="AC91" i="16"/>
  <c r="AL91" i="16"/>
  <c r="P91" i="16" s="1"/>
  <c r="AQ91" i="16"/>
  <c r="AT91" i="16" s="1"/>
  <c r="J92" i="16"/>
  <c r="M92" i="16"/>
  <c r="AC92" i="16"/>
  <c r="AL92" i="16"/>
  <c r="P92" i="16" s="1"/>
  <c r="AQ92" i="16"/>
  <c r="AT92" i="16" s="1"/>
  <c r="J93" i="16"/>
  <c r="M93" i="16"/>
  <c r="AC93" i="16"/>
  <c r="AL93" i="16"/>
  <c r="P93" i="16" s="1"/>
  <c r="AQ93" i="16"/>
  <c r="AT93" i="16" s="1"/>
  <c r="J94" i="16"/>
  <c r="M94" i="16"/>
  <c r="AC94" i="16"/>
  <c r="AL94" i="16"/>
  <c r="P94" i="16" s="1"/>
  <c r="AQ94" i="16"/>
  <c r="AT94" i="16" s="1"/>
  <c r="J95" i="16"/>
  <c r="M95" i="16"/>
  <c r="AC95" i="16"/>
  <c r="AL95" i="16"/>
  <c r="P95" i="16" s="1"/>
  <c r="AQ95" i="16"/>
  <c r="AT95" i="16" s="1"/>
  <c r="J96" i="16"/>
  <c r="M96" i="16"/>
  <c r="AC96" i="16"/>
  <c r="AL96" i="16"/>
  <c r="P96" i="16" s="1"/>
  <c r="AQ96" i="16"/>
  <c r="AT96" i="16" s="1"/>
  <c r="J97" i="16"/>
  <c r="M97" i="16"/>
  <c r="AC97" i="16"/>
  <c r="AL97" i="16"/>
  <c r="P97" i="16" s="1"/>
  <c r="AQ97" i="16"/>
  <c r="AT97" i="16" s="1"/>
  <c r="J98" i="16"/>
  <c r="M98" i="16"/>
  <c r="AC98" i="16"/>
  <c r="AL98" i="16"/>
  <c r="P98" i="16" s="1"/>
  <c r="AQ98" i="16"/>
  <c r="AT98" i="16" s="1"/>
  <c r="J99" i="16"/>
  <c r="M99" i="16"/>
  <c r="AC99" i="16"/>
  <c r="AL99" i="16"/>
  <c r="P99" i="16" s="1"/>
  <c r="AQ99" i="16"/>
  <c r="AT99" i="16" s="1"/>
  <c r="J100" i="16"/>
  <c r="M100" i="16"/>
  <c r="AC100" i="16"/>
  <c r="AL100" i="16"/>
  <c r="P100" i="16" s="1"/>
  <c r="AQ100" i="16"/>
  <c r="AT100" i="16" s="1"/>
  <c r="J101" i="16"/>
  <c r="M101" i="16"/>
  <c r="AC101" i="16"/>
  <c r="AL101" i="16"/>
  <c r="P101" i="16" s="1"/>
  <c r="AQ101" i="16"/>
  <c r="AT101" i="16" s="1"/>
  <c r="J102" i="16"/>
  <c r="M102" i="16"/>
  <c r="AC102" i="16"/>
  <c r="AL102" i="16"/>
  <c r="P102" i="16" s="1"/>
  <c r="AQ102" i="16"/>
  <c r="AT102" i="16" s="1"/>
  <c r="J103" i="16"/>
  <c r="M103" i="16"/>
  <c r="AC103" i="16"/>
  <c r="AL103" i="16"/>
  <c r="P103" i="16" s="1"/>
  <c r="AQ103" i="16"/>
  <c r="AT103" i="16" s="1"/>
  <c r="J104" i="16"/>
  <c r="M104" i="16"/>
  <c r="AC104" i="16"/>
  <c r="AL104" i="16"/>
  <c r="P104" i="16" s="1"/>
  <c r="AQ104" i="16"/>
  <c r="AT104" i="16" s="1"/>
  <c r="J105" i="16"/>
  <c r="M105" i="16"/>
  <c r="AC105" i="16"/>
  <c r="AL105" i="16"/>
  <c r="P105" i="16" s="1"/>
  <c r="AQ105" i="16"/>
  <c r="AT105" i="16" s="1"/>
  <c r="J106" i="16"/>
  <c r="M106" i="16"/>
  <c r="AC106" i="16"/>
  <c r="AL106" i="16"/>
  <c r="P106" i="16" s="1"/>
  <c r="AQ106" i="16"/>
  <c r="AT106" i="16" s="1"/>
  <c r="J107" i="16"/>
  <c r="M107" i="16"/>
  <c r="AC107" i="16"/>
  <c r="AL107" i="16"/>
  <c r="P107" i="16" s="1"/>
  <c r="AQ107" i="16"/>
  <c r="AT107" i="16" s="1"/>
  <c r="J108" i="16"/>
  <c r="M108" i="16"/>
  <c r="AC108" i="16"/>
  <c r="AL108" i="16"/>
  <c r="P108" i="16" s="1"/>
  <c r="AQ108" i="16"/>
  <c r="AT108" i="16" s="1"/>
  <c r="J109" i="16"/>
  <c r="M109" i="16"/>
  <c r="AC109" i="16"/>
  <c r="AL109" i="16"/>
  <c r="P109" i="16" s="1"/>
  <c r="AQ109" i="16"/>
  <c r="AT109" i="16" s="1"/>
  <c r="J110" i="16"/>
  <c r="M110" i="16"/>
  <c r="AC110" i="16"/>
  <c r="AL110" i="16"/>
  <c r="P110" i="16" s="1"/>
  <c r="AQ110" i="16"/>
  <c r="AT110" i="16" s="1"/>
  <c r="J111" i="16"/>
  <c r="M111" i="16"/>
  <c r="AC111" i="16"/>
  <c r="AL111" i="16"/>
  <c r="P111" i="16" s="1"/>
  <c r="AQ111" i="16"/>
  <c r="AT111" i="16" s="1"/>
  <c r="J112" i="16"/>
  <c r="M112" i="16"/>
  <c r="AC112" i="16"/>
  <c r="AL112" i="16"/>
  <c r="P112" i="16" s="1"/>
  <c r="AQ112" i="16"/>
  <c r="AT112" i="16" s="1"/>
  <c r="J113" i="16"/>
  <c r="M113" i="16"/>
  <c r="AC113" i="16"/>
  <c r="AL113" i="16"/>
  <c r="P113" i="16" s="1"/>
  <c r="AQ113" i="16"/>
  <c r="AT113" i="16" s="1"/>
  <c r="J114" i="16"/>
  <c r="M114" i="16"/>
  <c r="AC114" i="16"/>
  <c r="AL114" i="16"/>
  <c r="P114" i="16" s="1"/>
  <c r="AQ114" i="16"/>
  <c r="AT114" i="16" s="1"/>
  <c r="J115" i="16"/>
  <c r="M115" i="16"/>
  <c r="AC115" i="16"/>
  <c r="AL115" i="16"/>
  <c r="P115" i="16" s="1"/>
  <c r="AQ115" i="16"/>
  <c r="AT115" i="16" s="1"/>
  <c r="J116" i="16"/>
  <c r="M116" i="16"/>
  <c r="AC116" i="16"/>
  <c r="AL116" i="16"/>
  <c r="P116" i="16" s="1"/>
  <c r="AQ116" i="16"/>
  <c r="AT116" i="16" s="1"/>
  <c r="J117" i="16"/>
  <c r="M117" i="16"/>
  <c r="AC117" i="16"/>
  <c r="AL117" i="16"/>
  <c r="P117" i="16" s="1"/>
  <c r="AQ117" i="16"/>
  <c r="AT117" i="16" s="1"/>
  <c r="J118" i="16"/>
  <c r="M118" i="16"/>
  <c r="AC118" i="16"/>
  <c r="AL118" i="16"/>
  <c r="P118" i="16" s="1"/>
  <c r="AQ118" i="16"/>
  <c r="AT118" i="16" s="1"/>
  <c r="J119" i="16"/>
  <c r="M119" i="16"/>
  <c r="AC119" i="16"/>
  <c r="AL119" i="16"/>
  <c r="P119" i="16" s="1"/>
  <c r="AQ119" i="16"/>
  <c r="AT119" i="16" s="1"/>
  <c r="J120" i="16"/>
  <c r="M120" i="16"/>
  <c r="AC120" i="16"/>
  <c r="AL120" i="16"/>
  <c r="P120" i="16" s="1"/>
  <c r="AQ120" i="16"/>
  <c r="AT120" i="16" s="1"/>
  <c r="J121" i="16"/>
  <c r="M121" i="16"/>
  <c r="AC121" i="16"/>
  <c r="AL121" i="16"/>
  <c r="P121" i="16" s="1"/>
  <c r="AQ121" i="16"/>
  <c r="AT121" i="16" s="1"/>
  <c r="J122" i="16"/>
  <c r="M122" i="16"/>
  <c r="AC122" i="16"/>
  <c r="AL122" i="16"/>
  <c r="P122" i="16" s="1"/>
  <c r="AQ122" i="16"/>
  <c r="AT122" i="16" s="1"/>
  <c r="J123" i="16"/>
  <c r="M123" i="16"/>
  <c r="AC123" i="16"/>
  <c r="AL123" i="16"/>
  <c r="P123" i="16" s="1"/>
  <c r="AQ123" i="16"/>
  <c r="AT123" i="16" s="1"/>
  <c r="J124" i="16"/>
  <c r="M124" i="16"/>
  <c r="AC124" i="16"/>
  <c r="AL124" i="16"/>
  <c r="P124" i="16" s="1"/>
  <c r="AQ124" i="16"/>
  <c r="AT124" i="16" s="1"/>
  <c r="J125" i="16"/>
  <c r="M125" i="16"/>
  <c r="AC125" i="16"/>
  <c r="AL125" i="16"/>
  <c r="P125" i="16" s="1"/>
  <c r="AQ125" i="16"/>
  <c r="AT125" i="16" s="1"/>
  <c r="J126" i="16"/>
  <c r="M126" i="16"/>
  <c r="AC126" i="16"/>
  <c r="AL126" i="16"/>
  <c r="P126" i="16" s="1"/>
  <c r="AQ126" i="16"/>
  <c r="AT126" i="16" s="1"/>
  <c r="J127" i="16"/>
  <c r="M127" i="16"/>
  <c r="AC127" i="16"/>
  <c r="AL127" i="16"/>
  <c r="P127" i="16" s="1"/>
  <c r="AQ127" i="16"/>
  <c r="AT127" i="16" s="1"/>
  <c r="J128" i="16"/>
  <c r="M128" i="16"/>
  <c r="AC128" i="16"/>
  <c r="AL128" i="16"/>
  <c r="P128" i="16" s="1"/>
  <c r="AQ128" i="16"/>
  <c r="AT128" i="16" s="1"/>
  <c r="J129" i="16"/>
  <c r="M129" i="16"/>
  <c r="AC129" i="16"/>
  <c r="AL129" i="16"/>
  <c r="P129" i="16" s="1"/>
  <c r="AQ129" i="16"/>
  <c r="AT129" i="16" s="1"/>
  <c r="J130" i="16"/>
  <c r="M130" i="16"/>
  <c r="AL130" i="16"/>
  <c r="P130" i="16" s="1"/>
  <c r="AQ130" i="16"/>
  <c r="AT130" i="16" s="1"/>
  <c r="J131" i="16"/>
  <c r="M131" i="16"/>
  <c r="AC131" i="16"/>
  <c r="AL131" i="16"/>
  <c r="P131" i="16" s="1"/>
  <c r="AQ131" i="16"/>
  <c r="AT131" i="16" s="1"/>
  <c r="J132" i="16"/>
  <c r="M132" i="16"/>
  <c r="AC132" i="16"/>
  <c r="AL132" i="16"/>
  <c r="P132" i="16" s="1"/>
  <c r="AQ132" i="16"/>
  <c r="AT132" i="16" s="1"/>
  <c r="J133" i="16"/>
  <c r="M133" i="16"/>
  <c r="AC133" i="16"/>
  <c r="AL133" i="16"/>
  <c r="P133" i="16" s="1"/>
  <c r="AQ133" i="16"/>
  <c r="AT133" i="16" s="1"/>
  <c r="J134" i="16"/>
  <c r="M134" i="16"/>
  <c r="AC134" i="16"/>
  <c r="AL134" i="16"/>
  <c r="P134" i="16" s="1"/>
  <c r="AQ134" i="16"/>
  <c r="AT134" i="16" s="1"/>
  <c r="M135" i="16"/>
  <c r="AC135" i="16"/>
  <c r="AL135" i="16"/>
  <c r="P135" i="16" s="1"/>
  <c r="AQ135" i="16"/>
  <c r="AT135" i="16" s="1"/>
  <c r="M136" i="16"/>
  <c r="AC136" i="16"/>
  <c r="AL136" i="16"/>
  <c r="P136" i="16" s="1"/>
  <c r="AQ136" i="16"/>
  <c r="AT136" i="16" s="1"/>
  <c r="M137" i="16"/>
  <c r="AC137" i="16"/>
  <c r="AL137" i="16"/>
  <c r="P137" i="16" s="1"/>
  <c r="AQ137" i="16"/>
  <c r="AT137" i="16" s="1"/>
  <c r="M138" i="16"/>
  <c r="AC138" i="16"/>
  <c r="AL138" i="16"/>
  <c r="P138" i="16" s="1"/>
  <c r="AQ138" i="16"/>
  <c r="AT138" i="16" s="1"/>
  <c r="M139" i="16"/>
  <c r="AC139" i="16"/>
  <c r="AL139" i="16"/>
  <c r="P139" i="16" s="1"/>
  <c r="AQ139" i="16"/>
  <c r="AT139" i="16" s="1"/>
  <c r="M140" i="16"/>
  <c r="AC140" i="16"/>
  <c r="AL140" i="16"/>
  <c r="P140" i="16" s="1"/>
  <c r="AM140" i="16" s="1"/>
  <c r="AQ140" i="16"/>
  <c r="AT140" i="16" s="1"/>
  <c r="M141" i="16"/>
  <c r="AC141" i="16"/>
  <c r="AL141" i="16"/>
  <c r="P141" i="16" s="1"/>
  <c r="AQ141" i="16"/>
  <c r="AT141" i="16" s="1"/>
  <c r="M142" i="16"/>
  <c r="AC142" i="16"/>
  <c r="AL142" i="16"/>
  <c r="P142" i="16" s="1"/>
  <c r="AQ142" i="16"/>
  <c r="AT142" i="16" s="1"/>
  <c r="M143" i="16"/>
  <c r="AC143" i="16"/>
  <c r="AL143" i="16"/>
  <c r="P143" i="16" s="1"/>
  <c r="AQ143" i="16"/>
  <c r="AT143" i="16" s="1"/>
  <c r="M144" i="16"/>
  <c r="AC144" i="16"/>
  <c r="AL144" i="16"/>
  <c r="P144" i="16" s="1"/>
  <c r="AQ144" i="16"/>
  <c r="AT144" i="16" s="1"/>
  <c r="M145" i="16"/>
  <c r="AC145" i="16"/>
  <c r="AL145" i="16"/>
  <c r="P145" i="16" s="1"/>
  <c r="AQ145" i="16"/>
  <c r="AT145" i="16" s="1"/>
  <c r="M146" i="16"/>
  <c r="AC146" i="16"/>
  <c r="AL146" i="16"/>
  <c r="P146" i="16" s="1"/>
  <c r="AQ146" i="16"/>
  <c r="AT146" i="16" s="1"/>
  <c r="M147" i="16"/>
  <c r="AC147" i="16"/>
  <c r="AL147" i="16"/>
  <c r="P147" i="16" s="1"/>
  <c r="AQ147" i="16"/>
  <c r="AT147" i="16" s="1"/>
  <c r="M148" i="16"/>
  <c r="AC148" i="16"/>
  <c r="AL148" i="16"/>
  <c r="P148" i="16" s="1"/>
  <c r="AQ148" i="16"/>
  <c r="AT148" i="16" s="1"/>
  <c r="M149" i="16"/>
  <c r="AC149" i="16"/>
  <c r="AL149" i="16"/>
  <c r="P149" i="16" s="1"/>
  <c r="AQ149" i="16"/>
  <c r="AT149" i="16" s="1"/>
  <c r="M150" i="16"/>
  <c r="AC150" i="16"/>
  <c r="AL150" i="16"/>
  <c r="P150" i="16" s="1"/>
  <c r="AQ150" i="16"/>
  <c r="AT150" i="16" s="1"/>
  <c r="M151" i="16"/>
  <c r="AC151" i="16"/>
  <c r="AL151" i="16"/>
  <c r="P151" i="16" s="1"/>
  <c r="AQ151" i="16"/>
  <c r="AT151" i="16" s="1"/>
  <c r="M152" i="16"/>
  <c r="AC152" i="16"/>
  <c r="AL152" i="16"/>
  <c r="P152" i="16" s="1"/>
  <c r="AQ152" i="16"/>
  <c r="AT152" i="16" s="1"/>
  <c r="M153" i="16"/>
  <c r="AC153" i="16"/>
  <c r="AL153" i="16"/>
  <c r="P153" i="16" s="1"/>
  <c r="AQ153" i="16"/>
  <c r="AT153" i="16" s="1"/>
  <c r="M154" i="16"/>
  <c r="AC154" i="16"/>
  <c r="AL154" i="16"/>
  <c r="P154" i="16" s="1"/>
  <c r="AQ154" i="16"/>
  <c r="AT154" i="16" s="1"/>
  <c r="M155" i="16"/>
  <c r="AC155" i="16"/>
  <c r="AL155" i="16"/>
  <c r="P155" i="16" s="1"/>
  <c r="AQ155" i="16"/>
  <c r="AT155" i="16" s="1"/>
  <c r="M156" i="16"/>
  <c r="AC156" i="16"/>
  <c r="AL156" i="16"/>
  <c r="P156" i="16" s="1"/>
  <c r="AQ156" i="16"/>
  <c r="AT156" i="16" s="1"/>
  <c r="M157" i="16"/>
  <c r="AC157" i="16"/>
  <c r="AL157" i="16"/>
  <c r="P157" i="16" s="1"/>
  <c r="AQ157" i="16"/>
  <c r="AT157" i="16" s="1"/>
  <c r="M158" i="16"/>
  <c r="AC158" i="16"/>
  <c r="AL158" i="16"/>
  <c r="P158" i="16" s="1"/>
  <c r="AQ158" i="16"/>
  <c r="AT158" i="16" s="1"/>
  <c r="M159" i="16"/>
  <c r="AC159" i="16"/>
  <c r="AL159" i="16"/>
  <c r="P159" i="16" s="1"/>
  <c r="AQ159" i="16"/>
  <c r="AT159" i="16" s="1"/>
  <c r="M160" i="16"/>
  <c r="AC160" i="16"/>
  <c r="AL160" i="16"/>
  <c r="P160" i="16" s="1"/>
  <c r="AQ160" i="16"/>
  <c r="AT160" i="16" s="1"/>
  <c r="M161" i="16"/>
  <c r="AC161" i="16"/>
  <c r="AL161" i="16"/>
  <c r="P161" i="16" s="1"/>
  <c r="AQ161" i="16"/>
  <c r="AT161" i="16" s="1"/>
  <c r="M162" i="16"/>
  <c r="AC162" i="16"/>
  <c r="AL162" i="16"/>
  <c r="P162" i="16" s="1"/>
  <c r="AQ162" i="16"/>
  <c r="AT162" i="16" s="1"/>
  <c r="M163" i="16"/>
  <c r="AC163" i="16"/>
  <c r="AL163" i="16"/>
  <c r="P163" i="16" s="1"/>
  <c r="AQ163" i="16"/>
  <c r="AT163" i="16" s="1"/>
  <c r="M164" i="16"/>
  <c r="AC164" i="16"/>
  <c r="AL164" i="16"/>
  <c r="P164" i="16" s="1"/>
  <c r="AQ164" i="16"/>
  <c r="AT164" i="16" s="1"/>
  <c r="M165" i="16"/>
  <c r="AC165" i="16"/>
  <c r="AL165" i="16"/>
  <c r="P165" i="16" s="1"/>
  <c r="AQ165" i="16"/>
  <c r="AT165" i="16" s="1"/>
  <c r="M166" i="16"/>
  <c r="AC166" i="16"/>
  <c r="AL166" i="16"/>
  <c r="P166" i="16" s="1"/>
  <c r="AQ166" i="16"/>
  <c r="AT166" i="16" s="1"/>
  <c r="M167" i="16"/>
  <c r="AC167" i="16"/>
  <c r="AL167" i="16"/>
  <c r="P167" i="16" s="1"/>
  <c r="AQ167" i="16"/>
  <c r="AT167" i="16" s="1"/>
  <c r="M168" i="16"/>
  <c r="AC168" i="16"/>
  <c r="AL168" i="16"/>
  <c r="P168" i="16" s="1"/>
  <c r="AQ168" i="16"/>
  <c r="AT168" i="16" s="1"/>
  <c r="M169" i="16"/>
  <c r="AC169" i="16"/>
  <c r="P169" i="16"/>
  <c r="AQ169" i="16"/>
  <c r="AT169" i="16" s="1"/>
  <c r="M170" i="16"/>
  <c r="AC170" i="16"/>
  <c r="AL170" i="16"/>
  <c r="P170" i="16" s="1"/>
  <c r="AQ170" i="16"/>
  <c r="AT170" i="16" s="1"/>
  <c r="M171" i="16"/>
  <c r="AC171" i="16"/>
  <c r="AL171" i="16"/>
  <c r="P171" i="16" s="1"/>
  <c r="AQ171" i="16"/>
  <c r="AT171" i="16" s="1"/>
  <c r="M172" i="16"/>
  <c r="AC172" i="16"/>
  <c r="AL172" i="16"/>
  <c r="P172" i="16" s="1"/>
  <c r="AQ172" i="16"/>
  <c r="AT172" i="16" s="1"/>
  <c r="M173" i="16"/>
  <c r="AC173" i="16"/>
  <c r="AL173" i="16"/>
  <c r="P173" i="16" s="1"/>
  <c r="AQ173" i="16"/>
  <c r="AT173" i="16" s="1"/>
  <c r="M174" i="16"/>
  <c r="AC174" i="16"/>
  <c r="AL174" i="16"/>
  <c r="P174" i="16" s="1"/>
  <c r="AQ174" i="16"/>
  <c r="AT174" i="16" s="1"/>
  <c r="M175" i="16"/>
  <c r="AC175" i="16"/>
  <c r="AL175" i="16"/>
  <c r="P175" i="16" s="1"/>
  <c r="AQ175" i="16"/>
  <c r="AT175" i="16" s="1"/>
  <c r="M176" i="16"/>
  <c r="AC176" i="16"/>
  <c r="AL176" i="16"/>
  <c r="P176" i="16" s="1"/>
  <c r="AQ176" i="16"/>
  <c r="AT176" i="16" s="1"/>
  <c r="M177" i="16"/>
  <c r="AC177" i="16"/>
  <c r="AL177" i="16"/>
  <c r="P177" i="16" s="1"/>
  <c r="AQ177" i="16"/>
  <c r="AT177" i="16" s="1"/>
  <c r="M178" i="16"/>
  <c r="AC178" i="16"/>
  <c r="AL178" i="16"/>
  <c r="P178" i="16" s="1"/>
  <c r="AQ178" i="16"/>
  <c r="AT178" i="16" s="1"/>
  <c r="M179" i="16"/>
  <c r="AC179" i="16"/>
  <c r="AL179" i="16"/>
  <c r="P179" i="16" s="1"/>
  <c r="AQ179" i="16"/>
  <c r="AT179" i="16" s="1"/>
  <c r="M180" i="16"/>
  <c r="AC180" i="16"/>
  <c r="AL180" i="16"/>
  <c r="P180" i="16" s="1"/>
  <c r="AQ180" i="16"/>
  <c r="AT180" i="16" s="1"/>
  <c r="M181" i="16"/>
  <c r="AC181" i="16"/>
  <c r="AL181" i="16"/>
  <c r="P181" i="16" s="1"/>
  <c r="AQ181" i="16"/>
  <c r="AT181" i="16" s="1"/>
  <c r="M182" i="16"/>
  <c r="AC182" i="16"/>
  <c r="AL182" i="16"/>
  <c r="P182" i="16" s="1"/>
  <c r="AQ182" i="16"/>
  <c r="AT182" i="16" s="1"/>
  <c r="M183" i="16"/>
  <c r="AC183" i="16"/>
  <c r="AL183" i="16"/>
  <c r="P183" i="16" s="1"/>
  <c r="AQ183" i="16"/>
  <c r="AT183" i="16" s="1"/>
  <c r="M184" i="16"/>
  <c r="AC184" i="16"/>
  <c r="AL184" i="16"/>
  <c r="P184" i="16" s="1"/>
  <c r="AQ184" i="16"/>
  <c r="AT184" i="16" s="1"/>
  <c r="M185" i="16"/>
  <c r="AC185" i="16"/>
  <c r="AL185" i="16"/>
  <c r="P185" i="16" s="1"/>
  <c r="AQ185" i="16"/>
  <c r="AT185" i="16" s="1"/>
  <c r="M186" i="16"/>
  <c r="AC186" i="16"/>
  <c r="AL186" i="16"/>
  <c r="P186" i="16" s="1"/>
  <c r="AQ186" i="16"/>
  <c r="AT186" i="16" s="1"/>
  <c r="M187" i="16"/>
  <c r="AC187" i="16"/>
  <c r="AL187" i="16"/>
  <c r="P187" i="16" s="1"/>
  <c r="AQ187" i="16"/>
  <c r="AT187" i="16" s="1"/>
  <c r="M188" i="16"/>
  <c r="AC188" i="16"/>
  <c r="AL188" i="16"/>
  <c r="P188" i="16" s="1"/>
  <c r="AQ188" i="16"/>
  <c r="AT188" i="16" s="1"/>
  <c r="M189" i="16"/>
  <c r="AC189" i="16"/>
  <c r="AL189" i="16"/>
  <c r="P189" i="16" s="1"/>
  <c r="AQ189" i="16"/>
  <c r="AT189" i="16" s="1"/>
  <c r="M190" i="16"/>
  <c r="AC190" i="16"/>
  <c r="AL190" i="16"/>
  <c r="P190" i="16" s="1"/>
  <c r="AQ190" i="16"/>
  <c r="AT190" i="16" s="1"/>
  <c r="M191" i="16"/>
  <c r="AC191" i="16"/>
  <c r="AL191" i="16"/>
  <c r="P191" i="16" s="1"/>
  <c r="AQ191" i="16"/>
  <c r="AT191" i="16" s="1"/>
  <c r="AC192" i="16"/>
  <c r="AL192" i="16"/>
  <c r="P192" i="16" s="1"/>
  <c r="AQ192" i="16"/>
  <c r="AT192" i="16" s="1"/>
  <c r="M193" i="16"/>
  <c r="AC193" i="16"/>
  <c r="AL193" i="16"/>
  <c r="P193" i="16" s="1"/>
  <c r="AQ193" i="16"/>
  <c r="AT193" i="16" s="1"/>
  <c r="M194" i="16"/>
  <c r="AC194" i="16"/>
  <c r="AL194" i="16"/>
  <c r="P194" i="16" s="1"/>
  <c r="AQ194" i="16"/>
  <c r="AT194" i="16" s="1"/>
  <c r="M195" i="16"/>
  <c r="AC195" i="16"/>
  <c r="AL195" i="16"/>
  <c r="P195" i="16" s="1"/>
  <c r="AQ195" i="16"/>
  <c r="AT195" i="16" s="1"/>
  <c r="M196" i="16"/>
  <c r="AC196" i="16"/>
  <c r="AL196" i="16"/>
  <c r="P196" i="16" s="1"/>
  <c r="AQ196" i="16"/>
  <c r="AT196" i="16" s="1"/>
  <c r="M197" i="16"/>
  <c r="AC197" i="16"/>
  <c r="AL197" i="16"/>
  <c r="P197" i="16" s="1"/>
  <c r="AQ197" i="16"/>
  <c r="AT197" i="16" s="1"/>
  <c r="M198" i="16"/>
  <c r="AC198" i="16"/>
  <c r="AL198" i="16"/>
  <c r="P198" i="16" s="1"/>
  <c r="AQ198" i="16"/>
  <c r="AT198" i="16" s="1"/>
  <c r="M199" i="16"/>
  <c r="AC199" i="16"/>
  <c r="AL199" i="16"/>
  <c r="P199" i="16" s="1"/>
  <c r="AQ199" i="16"/>
  <c r="AT199" i="16" s="1"/>
  <c r="M200" i="16"/>
  <c r="AC200" i="16"/>
  <c r="AL200" i="16"/>
  <c r="P200" i="16" s="1"/>
  <c r="AQ200" i="16"/>
  <c r="AT200" i="16" s="1"/>
  <c r="M201" i="16"/>
  <c r="AC201" i="16"/>
  <c r="AL201" i="16"/>
  <c r="P201" i="16" s="1"/>
  <c r="AQ201" i="16"/>
  <c r="AT201" i="16" s="1"/>
  <c r="M202" i="16"/>
  <c r="AC202" i="16"/>
  <c r="AL202" i="16"/>
  <c r="P202" i="16" s="1"/>
  <c r="AQ202" i="16"/>
  <c r="AT202" i="16" s="1"/>
  <c r="M203" i="16"/>
  <c r="AC203" i="16"/>
  <c r="AL203" i="16"/>
  <c r="P203" i="16" s="1"/>
  <c r="AQ203" i="16"/>
  <c r="AT203" i="16" s="1"/>
  <c r="M204" i="16"/>
  <c r="AC204" i="16"/>
  <c r="AL204" i="16"/>
  <c r="P204" i="16" s="1"/>
  <c r="AQ204" i="16"/>
  <c r="AT204" i="16" s="1"/>
  <c r="M205" i="16"/>
  <c r="AC205" i="16"/>
  <c r="AL205" i="16"/>
  <c r="P205" i="16" s="1"/>
  <c r="AQ205" i="16"/>
  <c r="AT205" i="16" s="1"/>
  <c r="M206" i="16"/>
  <c r="AC206" i="16"/>
  <c r="AL206" i="16"/>
  <c r="P206" i="16" s="1"/>
  <c r="AQ206" i="16"/>
  <c r="AT206" i="16" s="1"/>
  <c r="M207" i="16"/>
  <c r="AC207" i="16"/>
  <c r="AL207" i="16"/>
  <c r="P207" i="16" s="1"/>
  <c r="AQ207" i="16"/>
  <c r="AT207" i="16" s="1"/>
  <c r="M208" i="16"/>
  <c r="AC208" i="16"/>
  <c r="AL208" i="16"/>
  <c r="P208" i="16" s="1"/>
  <c r="AQ208" i="16"/>
  <c r="AT208" i="16" s="1"/>
  <c r="M209" i="16"/>
  <c r="AC209" i="16"/>
  <c r="AL209" i="16"/>
  <c r="P209" i="16" s="1"/>
  <c r="AQ209" i="16"/>
  <c r="AT209" i="16" s="1"/>
  <c r="M210" i="16"/>
  <c r="AC210" i="16"/>
  <c r="AL210" i="16"/>
  <c r="P210" i="16" s="1"/>
  <c r="AQ210" i="16"/>
  <c r="AT210" i="16" s="1"/>
  <c r="M211" i="16"/>
  <c r="AC211" i="16"/>
  <c r="AL211" i="16"/>
  <c r="P211" i="16" s="1"/>
  <c r="AQ211" i="16"/>
  <c r="AT211" i="16" s="1"/>
  <c r="M212" i="16"/>
  <c r="AC212" i="16"/>
  <c r="AL212" i="16"/>
  <c r="P212" i="16" s="1"/>
  <c r="AQ212" i="16"/>
  <c r="AT212" i="16" s="1"/>
  <c r="M213" i="16"/>
  <c r="AC213" i="16"/>
  <c r="AL213" i="16"/>
  <c r="P213" i="16" s="1"/>
  <c r="AQ213" i="16"/>
  <c r="AT213" i="16" s="1"/>
  <c r="M214" i="16"/>
  <c r="AC214" i="16"/>
  <c r="AL214" i="16"/>
  <c r="P214" i="16" s="1"/>
  <c r="AQ214" i="16"/>
  <c r="AT214" i="16" s="1"/>
  <c r="M215" i="16"/>
  <c r="AC215" i="16"/>
  <c r="AL215" i="16"/>
  <c r="P215" i="16" s="1"/>
  <c r="AQ215" i="16"/>
  <c r="AT215" i="16" s="1"/>
  <c r="M216" i="16"/>
  <c r="AC216" i="16"/>
  <c r="AL216" i="16"/>
  <c r="P216" i="16" s="1"/>
  <c r="AQ216" i="16"/>
  <c r="AT216" i="16" s="1"/>
  <c r="M217" i="16"/>
  <c r="AC217" i="16"/>
  <c r="AL217" i="16"/>
  <c r="P217" i="16" s="1"/>
  <c r="AQ217" i="16"/>
  <c r="AT217" i="16" s="1"/>
  <c r="M218" i="16"/>
  <c r="AC218" i="16"/>
  <c r="AL218" i="16"/>
  <c r="P218" i="16" s="1"/>
  <c r="AQ218" i="16"/>
  <c r="AT218" i="16" s="1"/>
  <c r="M219" i="16"/>
  <c r="AC219" i="16"/>
  <c r="AL219" i="16"/>
  <c r="P219" i="16" s="1"/>
  <c r="AQ219" i="16"/>
  <c r="AT219" i="16" s="1"/>
  <c r="M220" i="16"/>
  <c r="AC220" i="16"/>
  <c r="AL220" i="16"/>
  <c r="P220" i="16" s="1"/>
  <c r="AQ220" i="16"/>
  <c r="AT220" i="16" s="1"/>
  <c r="M221" i="16"/>
  <c r="AC221" i="16"/>
  <c r="AL221" i="16"/>
  <c r="P221" i="16" s="1"/>
  <c r="AQ221" i="16"/>
  <c r="AT221" i="16" s="1"/>
  <c r="M222" i="16"/>
  <c r="AC222" i="16"/>
  <c r="AL222" i="16"/>
  <c r="P222" i="16" s="1"/>
  <c r="AQ222" i="16"/>
  <c r="AT222" i="16" s="1"/>
  <c r="M223" i="16"/>
  <c r="AC223" i="16"/>
  <c r="AL223" i="16"/>
  <c r="P223" i="16" s="1"/>
  <c r="AQ223" i="16"/>
  <c r="AT223" i="16" s="1"/>
  <c r="M224" i="16"/>
  <c r="AC224" i="16"/>
  <c r="AL224" i="16"/>
  <c r="P224" i="16" s="1"/>
  <c r="AQ224" i="16"/>
  <c r="AT224" i="16" s="1"/>
  <c r="M225" i="16"/>
  <c r="AC225" i="16"/>
  <c r="AL225" i="16"/>
  <c r="P225" i="16" s="1"/>
  <c r="AQ225" i="16"/>
  <c r="AT225" i="16" s="1"/>
  <c r="M226" i="16"/>
  <c r="AC226" i="16"/>
  <c r="AL226" i="16"/>
  <c r="P226" i="16" s="1"/>
  <c r="AQ226" i="16"/>
  <c r="AT226" i="16" s="1"/>
  <c r="M227" i="16"/>
  <c r="AC227" i="16"/>
  <c r="AL227" i="16"/>
  <c r="P227" i="16" s="1"/>
  <c r="AQ227" i="16"/>
  <c r="AT227" i="16" s="1"/>
  <c r="M228" i="16"/>
  <c r="AC228" i="16"/>
  <c r="AL228" i="16"/>
  <c r="P228" i="16" s="1"/>
  <c r="AQ228" i="16"/>
  <c r="AT228" i="16" s="1"/>
  <c r="M229" i="16"/>
  <c r="AC229" i="16"/>
  <c r="AL229" i="16"/>
  <c r="P229" i="16" s="1"/>
  <c r="AQ229" i="16"/>
  <c r="AT229" i="16" s="1"/>
  <c r="M230" i="16"/>
  <c r="AC230" i="16"/>
  <c r="AL230" i="16"/>
  <c r="P230" i="16" s="1"/>
  <c r="AQ230" i="16"/>
  <c r="AT230" i="16" s="1"/>
  <c r="M231" i="16"/>
  <c r="AC231" i="16"/>
  <c r="AL231" i="16"/>
  <c r="P231" i="16" s="1"/>
  <c r="AQ231" i="16"/>
  <c r="AT231" i="16" s="1"/>
  <c r="M232" i="16"/>
  <c r="AC232" i="16"/>
  <c r="AL232" i="16"/>
  <c r="P232" i="16" s="1"/>
  <c r="AQ232" i="16"/>
  <c r="AT232" i="16" s="1"/>
  <c r="M233" i="16"/>
  <c r="AC233" i="16"/>
  <c r="AL233" i="16"/>
  <c r="P233" i="16" s="1"/>
  <c r="AQ233" i="16"/>
  <c r="AT233" i="16" s="1"/>
  <c r="M234" i="16"/>
  <c r="AC234" i="16"/>
  <c r="AL234" i="16"/>
  <c r="P234" i="16" s="1"/>
  <c r="AQ234" i="16"/>
  <c r="AT234" i="16" s="1"/>
  <c r="M235" i="16"/>
  <c r="AC235" i="16"/>
  <c r="AL235" i="16"/>
  <c r="P235" i="16" s="1"/>
  <c r="AQ235" i="16"/>
  <c r="AT235" i="16" s="1"/>
  <c r="M236" i="16"/>
  <c r="AC236" i="16"/>
  <c r="AL236" i="16"/>
  <c r="P236" i="16" s="1"/>
  <c r="AQ236" i="16"/>
  <c r="AT236" i="16" s="1"/>
  <c r="M237" i="16"/>
  <c r="AC237" i="16"/>
  <c r="AL237" i="16"/>
  <c r="P237" i="16" s="1"/>
  <c r="AQ237" i="16"/>
  <c r="AT237" i="16" s="1"/>
  <c r="M238" i="16"/>
  <c r="AC238" i="16"/>
  <c r="AL238" i="16"/>
  <c r="P238" i="16" s="1"/>
  <c r="AQ238" i="16"/>
  <c r="AT238" i="16" s="1"/>
  <c r="M239" i="16"/>
  <c r="AC239" i="16"/>
  <c r="AL239" i="16"/>
  <c r="P239" i="16" s="1"/>
  <c r="AQ239" i="16"/>
  <c r="AT239" i="16" s="1"/>
  <c r="M240" i="16"/>
  <c r="AC240" i="16"/>
  <c r="AL240" i="16"/>
  <c r="P240" i="16" s="1"/>
  <c r="AQ240" i="16"/>
  <c r="AT240" i="16" s="1"/>
  <c r="M241" i="16"/>
  <c r="AC241" i="16"/>
  <c r="AL241" i="16"/>
  <c r="P241" i="16" s="1"/>
  <c r="AQ241" i="16"/>
  <c r="AT241" i="16" s="1"/>
  <c r="M242" i="16"/>
  <c r="AC242" i="16"/>
  <c r="AL242" i="16"/>
  <c r="P242" i="16" s="1"/>
  <c r="AQ242" i="16"/>
  <c r="AT242" i="16" s="1"/>
  <c r="M243" i="16"/>
  <c r="AC243" i="16"/>
  <c r="AL243" i="16"/>
  <c r="P243" i="16" s="1"/>
  <c r="AQ243" i="16"/>
  <c r="AT243" i="16" s="1"/>
  <c r="M244" i="16"/>
  <c r="AC244" i="16"/>
  <c r="AL244" i="16"/>
  <c r="P244" i="16" s="1"/>
  <c r="AQ244" i="16"/>
  <c r="AT244" i="16" s="1"/>
  <c r="M245" i="16"/>
  <c r="AC245" i="16"/>
  <c r="AL245" i="16"/>
  <c r="P245" i="16" s="1"/>
  <c r="AQ245" i="16"/>
  <c r="AT245" i="16" s="1"/>
  <c r="M246" i="16"/>
  <c r="AC246" i="16"/>
  <c r="AL246" i="16"/>
  <c r="P246" i="16" s="1"/>
  <c r="AQ246" i="16"/>
  <c r="AT246" i="16" s="1"/>
  <c r="M247" i="16"/>
  <c r="AC247" i="16"/>
  <c r="AL247" i="16"/>
  <c r="P247" i="16" s="1"/>
  <c r="AQ247" i="16"/>
  <c r="AT247" i="16" s="1"/>
  <c r="M248" i="16"/>
  <c r="AC248" i="16"/>
  <c r="AL248" i="16"/>
  <c r="P248" i="16" s="1"/>
  <c r="AQ248" i="16"/>
  <c r="AT248" i="16" s="1"/>
  <c r="M249" i="16"/>
  <c r="AC249" i="16"/>
  <c r="AL249" i="16"/>
  <c r="P249" i="16" s="1"/>
  <c r="AQ249" i="16"/>
  <c r="AT249" i="16" s="1"/>
  <c r="M250" i="16"/>
  <c r="AC250" i="16"/>
  <c r="AL250" i="16"/>
  <c r="P250" i="16" s="1"/>
  <c r="O250" i="16" s="1"/>
  <c r="AR250" i="16" s="1"/>
  <c r="AQ250" i="16"/>
  <c r="AT250" i="16" s="1"/>
  <c r="M251" i="16"/>
  <c r="AC251" i="16"/>
  <c r="AL251" i="16"/>
  <c r="P251" i="16" s="1"/>
  <c r="AQ251" i="16"/>
  <c r="AT251" i="16" s="1"/>
  <c r="M252" i="16"/>
  <c r="AC252" i="16"/>
  <c r="AL252" i="16"/>
  <c r="P252" i="16" s="1"/>
  <c r="AQ252" i="16"/>
  <c r="AT252" i="16" s="1"/>
  <c r="M253" i="16"/>
  <c r="AC253" i="16"/>
  <c r="AL253" i="16"/>
  <c r="P253" i="16" s="1"/>
  <c r="AQ253" i="16"/>
  <c r="AT253" i="16" s="1"/>
  <c r="M254" i="16"/>
  <c r="AC254" i="16"/>
  <c r="AL254" i="16"/>
  <c r="P254" i="16" s="1"/>
  <c r="AQ254" i="16"/>
  <c r="AT254" i="16" s="1"/>
  <c r="M255" i="16"/>
  <c r="AC255" i="16"/>
  <c r="AL255" i="16"/>
  <c r="P255" i="16" s="1"/>
  <c r="AQ255" i="16"/>
  <c r="AT255" i="16" s="1"/>
  <c r="M256" i="16"/>
  <c r="AC256" i="16"/>
  <c r="AL256" i="16"/>
  <c r="P256" i="16" s="1"/>
  <c r="AQ256" i="16"/>
  <c r="AT256" i="16" s="1"/>
  <c r="M257" i="16"/>
  <c r="AC257" i="16"/>
  <c r="AL257" i="16"/>
  <c r="P257" i="16" s="1"/>
  <c r="AQ257" i="16"/>
  <c r="AT257" i="16" s="1"/>
  <c r="M258" i="16"/>
  <c r="AC258" i="16"/>
  <c r="AL258" i="16"/>
  <c r="P258" i="16" s="1"/>
  <c r="AQ258" i="16"/>
  <c r="AT258" i="16" s="1"/>
  <c r="M259" i="16"/>
  <c r="AC259" i="16"/>
  <c r="AL259" i="16"/>
  <c r="P259" i="16" s="1"/>
  <c r="AQ259" i="16"/>
  <c r="AT259" i="16" s="1"/>
  <c r="M260" i="16"/>
  <c r="AC260" i="16"/>
  <c r="AL260" i="16"/>
  <c r="P260" i="16" s="1"/>
  <c r="AQ260" i="16"/>
  <c r="AT260" i="16" s="1"/>
  <c r="M261" i="16"/>
  <c r="AC261" i="16"/>
  <c r="AL261" i="16"/>
  <c r="P261" i="16" s="1"/>
  <c r="AQ261" i="16"/>
  <c r="AT261" i="16" s="1"/>
  <c r="M262" i="16"/>
  <c r="AC262" i="16"/>
  <c r="AL262" i="16"/>
  <c r="P262" i="16" s="1"/>
  <c r="AQ262" i="16"/>
  <c r="AT262" i="16" s="1"/>
  <c r="M263" i="16"/>
  <c r="AC263" i="16"/>
  <c r="AL263" i="16"/>
  <c r="P263" i="16" s="1"/>
  <c r="AQ263" i="16"/>
  <c r="AT263" i="16" s="1"/>
  <c r="M264" i="16"/>
  <c r="AC264" i="16"/>
  <c r="AL264" i="16"/>
  <c r="P264" i="16" s="1"/>
  <c r="AQ264" i="16"/>
  <c r="AT264" i="16" s="1"/>
  <c r="M265" i="16"/>
  <c r="AC265" i="16"/>
  <c r="AL265" i="16"/>
  <c r="P265" i="16" s="1"/>
  <c r="AQ265" i="16"/>
  <c r="AT265" i="16" s="1"/>
  <c r="M266" i="16"/>
  <c r="AC266" i="16"/>
  <c r="AL266" i="16"/>
  <c r="P266" i="16" s="1"/>
  <c r="AQ266" i="16"/>
  <c r="AT266" i="16" s="1"/>
  <c r="M267" i="16"/>
  <c r="AC267" i="16"/>
  <c r="AL267" i="16"/>
  <c r="P267" i="16" s="1"/>
  <c r="AQ267" i="16"/>
  <c r="AT267" i="16" s="1"/>
  <c r="M268" i="16"/>
  <c r="AC268" i="16"/>
  <c r="AL268" i="16"/>
  <c r="P268" i="16" s="1"/>
  <c r="AQ268" i="16"/>
  <c r="AT268" i="16" s="1"/>
  <c r="M269" i="16"/>
  <c r="AC269" i="16"/>
  <c r="AL269" i="16"/>
  <c r="P269" i="16" s="1"/>
  <c r="AQ269" i="16"/>
  <c r="AT269" i="16" s="1"/>
  <c r="M270" i="16"/>
  <c r="AC270" i="16"/>
  <c r="AL270" i="16"/>
  <c r="P270" i="16" s="1"/>
  <c r="M271" i="16"/>
  <c r="AC271" i="16"/>
  <c r="AL271" i="16"/>
  <c r="P271" i="16" s="1"/>
  <c r="AM271" i="16"/>
  <c r="AS271" i="16" s="1"/>
  <c r="AQ271" i="16"/>
  <c r="AT271" i="16" s="1"/>
  <c r="M272" i="16"/>
  <c r="AC272" i="16"/>
  <c r="AL272" i="16"/>
  <c r="P272" i="16" s="1"/>
  <c r="AM272" i="16" s="1"/>
  <c r="AS272" i="16" s="1"/>
  <c r="AQ272" i="16"/>
  <c r="AT272" i="16" s="1"/>
  <c r="M273" i="16"/>
  <c r="AC273" i="16"/>
  <c r="AL273" i="16"/>
  <c r="P273" i="16" s="1"/>
  <c r="AM273" i="16" s="1"/>
  <c r="AS273" i="16" s="1"/>
  <c r="AQ273" i="16"/>
  <c r="AT273" i="16" s="1"/>
  <c r="M274" i="16"/>
  <c r="AC274" i="16"/>
  <c r="AL274" i="16"/>
  <c r="P274" i="16" s="1"/>
  <c r="AM274" i="16" s="1"/>
  <c r="AS274" i="16" s="1"/>
  <c r="AQ274" i="16"/>
  <c r="AT274" i="16" s="1"/>
  <c r="M275" i="16"/>
  <c r="AC275" i="16"/>
  <c r="AL275" i="16"/>
  <c r="P275" i="16" s="1"/>
  <c r="AM275" i="16" s="1"/>
  <c r="AS275" i="16" s="1"/>
  <c r="AQ275" i="16"/>
  <c r="AT275" i="16" s="1"/>
  <c r="M276" i="16"/>
  <c r="AC276" i="16"/>
  <c r="AL276" i="16"/>
  <c r="P276" i="16" s="1"/>
  <c r="AM276" i="16" s="1"/>
  <c r="AS276" i="16" s="1"/>
  <c r="AQ276" i="16"/>
  <c r="AT276" i="16" s="1"/>
  <c r="M277" i="16"/>
  <c r="AC277" i="16"/>
  <c r="AL277" i="16"/>
  <c r="P277" i="16" s="1"/>
  <c r="AM277" i="16" s="1"/>
  <c r="AS277" i="16" s="1"/>
  <c r="AQ277" i="16"/>
  <c r="AT277" i="16" s="1"/>
  <c r="M278" i="16"/>
  <c r="AC278" i="16"/>
  <c r="AL278" i="16"/>
  <c r="P278" i="16" s="1"/>
  <c r="AM278" i="16" s="1"/>
  <c r="AS278" i="16" s="1"/>
  <c r="AQ278" i="16"/>
  <c r="AT278" i="16" s="1"/>
  <c r="M279" i="16"/>
  <c r="AC279" i="16"/>
  <c r="AL279" i="16"/>
  <c r="P279" i="16" s="1"/>
  <c r="AM279" i="16" s="1"/>
  <c r="AS279" i="16" s="1"/>
  <c r="AQ279" i="16"/>
  <c r="AT279" i="16" s="1"/>
  <c r="M280" i="16"/>
  <c r="AC280" i="16"/>
  <c r="AL280" i="16"/>
  <c r="P280" i="16" s="1"/>
  <c r="AQ280" i="16"/>
  <c r="AT280" i="16" s="1"/>
  <c r="M281" i="16"/>
  <c r="AC281" i="16"/>
  <c r="AL281" i="16"/>
  <c r="P281" i="16" s="1"/>
  <c r="AM281" i="16" s="1"/>
  <c r="AS281" i="16" s="1"/>
  <c r="AQ281" i="16"/>
  <c r="AT281" i="16" s="1"/>
  <c r="M282" i="16"/>
  <c r="AC282" i="16"/>
  <c r="AL282" i="16"/>
  <c r="P282" i="16" s="1"/>
  <c r="AM282" i="16" s="1"/>
  <c r="AS282" i="16" s="1"/>
  <c r="AQ282" i="16"/>
  <c r="AT282" i="16" s="1"/>
  <c r="M283" i="16"/>
  <c r="AC283" i="16"/>
  <c r="AL283" i="16"/>
  <c r="P283" i="16" s="1"/>
  <c r="AM283" i="16" s="1"/>
  <c r="AS283" i="16" s="1"/>
  <c r="AQ283" i="16"/>
  <c r="AT283" i="16" s="1"/>
  <c r="M284" i="16"/>
  <c r="AC284" i="16"/>
  <c r="AL284" i="16"/>
  <c r="P284" i="16" s="1"/>
  <c r="AM284" i="16" s="1"/>
  <c r="AS284" i="16" s="1"/>
  <c r="AQ284" i="16"/>
  <c r="AT284" i="16" s="1"/>
  <c r="M285" i="16"/>
  <c r="AC285" i="16"/>
  <c r="AL285" i="16"/>
  <c r="P285" i="16" s="1"/>
  <c r="AM285" i="16" s="1"/>
  <c r="AS285" i="16" s="1"/>
  <c r="AQ285" i="16"/>
  <c r="AT285" i="16" s="1"/>
  <c r="M286" i="16"/>
  <c r="AC286" i="16"/>
  <c r="AL286" i="16"/>
  <c r="P286" i="16" s="1"/>
  <c r="AM286" i="16" s="1"/>
  <c r="AS286" i="16" s="1"/>
  <c r="AQ286" i="16"/>
  <c r="AT286" i="16" s="1"/>
  <c r="M287" i="16"/>
  <c r="AC287" i="16"/>
  <c r="AL287" i="16"/>
  <c r="P287" i="16" s="1"/>
  <c r="AQ287" i="16"/>
  <c r="AT287" i="16" s="1"/>
  <c r="M288" i="16"/>
  <c r="AC288" i="16"/>
  <c r="AL288" i="16"/>
  <c r="P288" i="16" s="1"/>
  <c r="AQ288" i="16"/>
  <c r="AT288" i="16" s="1"/>
  <c r="M289" i="16"/>
  <c r="AC289" i="16"/>
  <c r="AL289" i="16"/>
  <c r="P289" i="16" s="1"/>
  <c r="AM289" i="16" s="1"/>
  <c r="AS289" i="16" s="1"/>
  <c r="AQ289" i="16"/>
  <c r="AT289" i="16" s="1"/>
  <c r="M290" i="16"/>
  <c r="AC290" i="16"/>
  <c r="AL290" i="16"/>
  <c r="P290" i="16" s="1"/>
  <c r="AM290" i="16" s="1"/>
  <c r="AS290" i="16" s="1"/>
  <c r="AQ290" i="16"/>
  <c r="AT290" i="16" s="1"/>
  <c r="M291" i="16"/>
  <c r="AC291" i="16"/>
  <c r="AL291" i="16"/>
  <c r="P291" i="16" s="1"/>
  <c r="AM291" i="16" s="1"/>
  <c r="AS291" i="16" s="1"/>
  <c r="AQ291" i="16"/>
  <c r="AT291" i="16" s="1"/>
  <c r="M292" i="16"/>
  <c r="AC292" i="16"/>
  <c r="AL292" i="16"/>
  <c r="P292" i="16" s="1"/>
  <c r="AM292" i="16" s="1"/>
  <c r="AS292" i="16" s="1"/>
  <c r="AQ292" i="16"/>
  <c r="AT292" i="16" s="1"/>
  <c r="M293" i="16"/>
  <c r="AC293" i="16"/>
  <c r="AL293" i="16"/>
  <c r="P293" i="16" s="1"/>
  <c r="AM293" i="16" s="1"/>
  <c r="AS293" i="16" s="1"/>
  <c r="AQ293" i="16"/>
  <c r="AT293" i="16" s="1"/>
  <c r="M294" i="16"/>
  <c r="AC294" i="16"/>
  <c r="AL294" i="16"/>
  <c r="P294" i="16" s="1"/>
  <c r="AM294" i="16" s="1"/>
  <c r="AS294" i="16" s="1"/>
  <c r="AQ294" i="16"/>
  <c r="AT294" i="16" s="1"/>
  <c r="M295" i="16"/>
  <c r="AC295" i="16"/>
  <c r="AL295" i="16"/>
  <c r="P295" i="16" s="1"/>
  <c r="AM295" i="16" s="1"/>
  <c r="AS295" i="16" s="1"/>
  <c r="AQ295" i="16"/>
  <c r="AT295" i="16" s="1"/>
  <c r="M296" i="16"/>
  <c r="AC296" i="16"/>
  <c r="AL296" i="16"/>
  <c r="P296" i="16" s="1"/>
  <c r="AM296" i="16" s="1"/>
  <c r="AS296" i="16" s="1"/>
  <c r="AQ296" i="16"/>
  <c r="AT296" i="16" s="1"/>
  <c r="M297" i="16"/>
  <c r="AC297" i="16"/>
  <c r="AL297" i="16"/>
  <c r="P297" i="16" s="1"/>
  <c r="AM297" i="16" s="1"/>
  <c r="AS297" i="16" s="1"/>
  <c r="AQ297" i="16"/>
  <c r="AT297" i="16" s="1"/>
  <c r="M298" i="16"/>
  <c r="AC298" i="16"/>
  <c r="AL298" i="16"/>
  <c r="P298" i="16" s="1"/>
  <c r="AM298" i="16" s="1"/>
  <c r="AS298" i="16" s="1"/>
  <c r="AQ298" i="16"/>
  <c r="AT298" i="16" s="1"/>
  <c r="M299" i="16"/>
  <c r="AC299" i="16"/>
  <c r="AL299" i="16"/>
  <c r="P299" i="16" s="1"/>
  <c r="AM299" i="16" s="1"/>
  <c r="AS299" i="16" s="1"/>
  <c r="AQ299" i="16"/>
  <c r="AT299" i="16" s="1"/>
  <c r="M300" i="16"/>
  <c r="AC300" i="16"/>
  <c r="AL300" i="16"/>
  <c r="P300" i="16" s="1"/>
  <c r="AM300" i="16" s="1"/>
  <c r="AS300" i="16" s="1"/>
  <c r="AQ300" i="16"/>
  <c r="AT300" i="16" s="1"/>
  <c r="M301" i="16"/>
  <c r="AC301" i="16"/>
  <c r="AL301" i="16"/>
  <c r="P301" i="16" s="1"/>
  <c r="AM301" i="16" s="1"/>
  <c r="AS301" i="16" s="1"/>
  <c r="AQ301" i="16"/>
  <c r="AT301" i="16" s="1"/>
  <c r="M302" i="16"/>
  <c r="AC302" i="16"/>
  <c r="AL302" i="16"/>
  <c r="P302" i="16" s="1"/>
  <c r="AQ302" i="16"/>
  <c r="AT302" i="16" s="1"/>
  <c r="M303" i="16"/>
  <c r="AC303" i="16"/>
  <c r="AL303" i="16"/>
  <c r="P303" i="16" s="1"/>
  <c r="AM303" i="16" s="1"/>
  <c r="AS303" i="16" s="1"/>
  <c r="AQ303" i="16"/>
  <c r="AT303" i="16" s="1"/>
  <c r="M304" i="16"/>
  <c r="AC304" i="16"/>
  <c r="AL304" i="16"/>
  <c r="P304" i="16" s="1"/>
  <c r="AQ304" i="16"/>
  <c r="AT304" i="16" s="1"/>
  <c r="M305" i="16"/>
  <c r="AC305" i="16"/>
  <c r="AL305" i="16"/>
  <c r="P305" i="16" s="1"/>
  <c r="AQ305" i="16"/>
  <c r="AT305" i="16" s="1"/>
  <c r="M306" i="16"/>
  <c r="AC306" i="16"/>
  <c r="AL306" i="16"/>
  <c r="P306" i="16" s="1"/>
  <c r="AM306" i="16" s="1"/>
  <c r="AS306" i="16" s="1"/>
  <c r="AQ306" i="16"/>
  <c r="AT306" i="16" s="1"/>
  <c r="M307" i="16"/>
  <c r="AC307" i="16"/>
  <c r="AL307" i="16"/>
  <c r="P307" i="16" s="1"/>
  <c r="AM307" i="16" s="1"/>
  <c r="AS307" i="16" s="1"/>
  <c r="AQ307" i="16"/>
  <c r="AT307" i="16" s="1"/>
  <c r="M308" i="16"/>
  <c r="AC308" i="16"/>
  <c r="AL308" i="16"/>
  <c r="P308" i="16" s="1"/>
  <c r="AM308" i="16" s="1"/>
  <c r="AS308" i="16" s="1"/>
  <c r="AQ308" i="16"/>
  <c r="AT308" i="16" s="1"/>
  <c r="M309" i="16"/>
  <c r="AC309" i="16"/>
  <c r="AL309" i="16"/>
  <c r="P309" i="16" s="1"/>
  <c r="AM309" i="16" s="1"/>
  <c r="AS309" i="16" s="1"/>
  <c r="AQ309" i="16"/>
  <c r="AT309" i="16" s="1"/>
  <c r="M310" i="16"/>
  <c r="AC310" i="16"/>
  <c r="AL310" i="16"/>
  <c r="P310" i="16" s="1"/>
  <c r="AQ310" i="16"/>
  <c r="AT310" i="16" s="1"/>
  <c r="M311" i="16"/>
  <c r="AC311" i="16"/>
  <c r="AL311" i="16"/>
  <c r="P311" i="16" s="1"/>
  <c r="AM311" i="16" s="1"/>
  <c r="AS311" i="16" s="1"/>
  <c r="AQ311" i="16"/>
  <c r="AT311" i="16" s="1"/>
  <c r="M312" i="16"/>
  <c r="AC312" i="16"/>
  <c r="AL312" i="16"/>
  <c r="P312" i="16" s="1"/>
  <c r="AQ312" i="16"/>
  <c r="AT312" i="16" s="1"/>
  <c r="M313" i="16"/>
  <c r="AC313" i="16"/>
  <c r="AL313" i="16"/>
  <c r="P313" i="16" s="1"/>
  <c r="AM313" i="16" s="1"/>
  <c r="AS313" i="16" s="1"/>
  <c r="AQ313" i="16"/>
  <c r="AT313" i="16" s="1"/>
  <c r="M314" i="16"/>
  <c r="AC314" i="16"/>
  <c r="AL314" i="16"/>
  <c r="P314" i="16" s="1"/>
  <c r="AQ314" i="16"/>
  <c r="AT314" i="16" s="1"/>
  <c r="M315" i="16"/>
  <c r="AC315" i="16"/>
  <c r="AL315" i="16"/>
  <c r="P315" i="16" s="1"/>
  <c r="AQ315" i="16"/>
  <c r="AT315" i="16" s="1"/>
  <c r="M316" i="16"/>
  <c r="AC316" i="16"/>
  <c r="AL316" i="16"/>
  <c r="P316" i="16" s="1"/>
  <c r="AQ316" i="16"/>
  <c r="AT316" i="16" s="1"/>
  <c r="M317" i="16"/>
  <c r="AC317" i="16"/>
  <c r="AL317" i="16"/>
  <c r="P317" i="16" s="1"/>
  <c r="AQ317" i="16"/>
  <c r="AT317" i="16" s="1"/>
  <c r="M318" i="16"/>
  <c r="AC318" i="16"/>
  <c r="AL318" i="16"/>
  <c r="P318" i="16" s="1"/>
  <c r="AQ318" i="16"/>
  <c r="AT318" i="16" s="1"/>
  <c r="M319" i="16"/>
  <c r="AC319" i="16"/>
  <c r="AL319" i="16"/>
  <c r="P319" i="16" s="1"/>
  <c r="AT319" i="16"/>
  <c r="M320" i="16"/>
  <c r="AC320" i="16"/>
  <c r="AL320" i="16"/>
  <c r="P320" i="16" s="1"/>
  <c r="AQ320" i="16"/>
  <c r="AT320" i="16" s="1"/>
  <c r="M321" i="16"/>
  <c r="AC321" i="16"/>
  <c r="AL321" i="16"/>
  <c r="P321" i="16" s="1"/>
  <c r="AQ321" i="16"/>
  <c r="AT321" i="16" s="1"/>
  <c r="M322" i="16"/>
  <c r="AC322" i="16"/>
  <c r="AL322" i="16"/>
  <c r="P322" i="16" s="1"/>
  <c r="AQ322" i="16"/>
  <c r="AT322" i="16" s="1"/>
  <c r="M323" i="16"/>
  <c r="AC323" i="16"/>
  <c r="AL323" i="16"/>
  <c r="P323" i="16" s="1"/>
  <c r="AQ323" i="16"/>
  <c r="AT323" i="16" s="1"/>
  <c r="M324" i="16"/>
  <c r="AC324" i="16"/>
  <c r="AL324" i="16"/>
  <c r="P324" i="16" s="1"/>
  <c r="AQ324" i="16"/>
  <c r="AT324" i="16" s="1"/>
  <c r="M325" i="16"/>
  <c r="AC325" i="16"/>
  <c r="AL325" i="16"/>
  <c r="P325" i="16" s="1"/>
  <c r="AQ325" i="16"/>
  <c r="AT325" i="16" s="1"/>
  <c r="M326" i="16"/>
  <c r="AC326" i="16"/>
  <c r="AL326" i="16"/>
  <c r="P326" i="16" s="1"/>
  <c r="AQ326" i="16"/>
  <c r="AT326" i="16" s="1"/>
  <c r="M327" i="16"/>
  <c r="AC327" i="16"/>
  <c r="AL327" i="16"/>
  <c r="P327" i="16" s="1"/>
  <c r="AQ327" i="16"/>
  <c r="AT327" i="16" s="1"/>
  <c r="M328" i="16"/>
  <c r="AC328" i="16"/>
  <c r="AL328" i="16"/>
  <c r="P328" i="16" s="1"/>
  <c r="AQ328" i="16"/>
  <c r="AT328" i="16" s="1"/>
  <c r="M329" i="16"/>
  <c r="AC329" i="16"/>
  <c r="AL329" i="16"/>
  <c r="P329" i="16" s="1"/>
  <c r="AQ329" i="16"/>
  <c r="AT329" i="16" s="1"/>
  <c r="M330" i="16"/>
  <c r="AC330" i="16"/>
  <c r="AL330" i="16"/>
  <c r="P330" i="16" s="1"/>
  <c r="AQ330" i="16"/>
  <c r="AT330" i="16" s="1"/>
  <c r="M331" i="16"/>
  <c r="AC331" i="16"/>
  <c r="AL331" i="16"/>
  <c r="P331" i="16" s="1"/>
  <c r="AQ331" i="16"/>
  <c r="AT331" i="16" s="1"/>
  <c r="M332" i="16"/>
  <c r="AC332" i="16"/>
  <c r="AL332" i="16"/>
  <c r="P332" i="16" s="1"/>
  <c r="AQ332" i="16"/>
  <c r="AT332" i="16" s="1"/>
  <c r="M333" i="16"/>
  <c r="AC333" i="16"/>
  <c r="AL333" i="16"/>
  <c r="P333" i="16" s="1"/>
  <c r="AQ333" i="16"/>
  <c r="AT333" i="16" s="1"/>
  <c r="M334" i="16"/>
  <c r="AC334" i="16"/>
  <c r="AL334" i="16"/>
  <c r="P334" i="16" s="1"/>
  <c r="AQ334" i="16"/>
  <c r="AT334" i="16" s="1"/>
  <c r="M335" i="16"/>
  <c r="AC335" i="16"/>
  <c r="AL335" i="16"/>
  <c r="P335" i="16" s="1"/>
  <c r="AQ335" i="16"/>
  <c r="AT335" i="16" s="1"/>
  <c r="M336" i="16"/>
  <c r="AC336" i="16"/>
  <c r="AL336" i="16"/>
  <c r="P336" i="16" s="1"/>
  <c r="AQ336" i="16"/>
  <c r="AT336" i="16" s="1"/>
  <c r="M337" i="16"/>
  <c r="AC337" i="16"/>
  <c r="AL337" i="16"/>
  <c r="P337" i="16" s="1"/>
  <c r="AQ337" i="16"/>
  <c r="AT337" i="16" s="1"/>
  <c r="M338" i="16"/>
  <c r="AC338" i="16"/>
  <c r="AL338" i="16"/>
  <c r="P338" i="16" s="1"/>
  <c r="AQ338" i="16"/>
  <c r="AT338" i="16" s="1"/>
  <c r="M339" i="16"/>
  <c r="AC339" i="16"/>
  <c r="AL339" i="16"/>
  <c r="P339" i="16" s="1"/>
  <c r="AQ339" i="16"/>
  <c r="AT339" i="16" s="1"/>
  <c r="M340" i="16"/>
  <c r="AC340" i="16"/>
  <c r="AL340" i="16"/>
  <c r="P340" i="16" s="1"/>
  <c r="AQ340" i="16"/>
  <c r="AT340" i="16" s="1"/>
  <c r="M341" i="16"/>
  <c r="AC341" i="16"/>
  <c r="AL341" i="16"/>
  <c r="P341" i="16" s="1"/>
  <c r="AQ341" i="16"/>
  <c r="AT341" i="16" s="1"/>
  <c r="M342" i="16"/>
  <c r="AC342" i="16"/>
  <c r="AL342" i="16"/>
  <c r="P342" i="16" s="1"/>
  <c r="AQ342" i="16"/>
  <c r="AT342" i="16" s="1"/>
  <c r="M343" i="16"/>
  <c r="AC343" i="16"/>
  <c r="AL343" i="16"/>
  <c r="P343" i="16" s="1"/>
  <c r="AQ343" i="16"/>
  <c r="AT343" i="16" s="1"/>
  <c r="M344" i="16"/>
  <c r="AC344" i="16"/>
  <c r="AL344" i="16"/>
  <c r="P344" i="16" s="1"/>
  <c r="AQ344" i="16"/>
  <c r="AT344" i="16" s="1"/>
  <c r="M345" i="16"/>
  <c r="AC345" i="16"/>
  <c r="AL345" i="16"/>
  <c r="P345" i="16" s="1"/>
  <c r="AQ345" i="16"/>
  <c r="AT345" i="16" s="1"/>
  <c r="M346" i="16"/>
  <c r="AC346" i="16"/>
  <c r="AL346" i="16"/>
  <c r="P346" i="16" s="1"/>
  <c r="AQ346" i="16"/>
  <c r="AT346" i="16" s="1"/>
  <c r="M347" i="16"/>
  <c r="AC347" i="16"/>
  <c r="AL347" i="16"/>
  <c r="P347" i="16" s="1"/>
  <c r="AQ347" i="16"/>
  <c r="AT347" i="16" s="1"/>
  <c r="M348" i="16"/>
  <c r="AC348" i="16"/>
  <c r="AL348" i="16"/>
  <c r="P348" i="16" s="1"/>
  <c r="AQ348" i="16"/>
  <c r="AT348" i="16" s="1"/>
  <c r="M349" i="16"/>
  <c r="AC349" i="16"/>
  <c r="AL349" i="16"/>
  <c r="P349" i="16" s="1"/>
  <c r="AQ349" i="16"/>
  <c r="AT349" i="16" s="1"/>
  <c r="M350" i="16"/>
  <c r="AC350" i="16"/>
  <c r="AL350" i="16"/>
  <c r="P350" i="16" s="1"/>
  <c r="AQ350" i="16"/>
  <c r="AT350" i="16" s="1"/>
  <c r="M351" i="16"/>
  <c r="AC351" i="16"/>
  <c r="AL351" i="16"/>
  <c r="P351" i="16" s="1"/>
  <c r="AQ351" i="16"/>
  <c r="AT351" i="16" s="1"/>
  <c r="M352" i="16"/>
  <c r="AC352" i="16"/>
  <c r="AL352" i="16"/>
  <c r="P352" i="16" s="1"/>
  <c r="AQ352" i="16"/>
  <c r="AT352" i="16" s="1"/>
  <c r="M353" i="16"/>
  <c r="AC353" i="16"/>
  <c r="AL353" i="16"/>
  <c r="P353" i="16" s="1"/>
  <c r="AQ353" i="16"/>
  <c r="AT353" i="16" s="1"/>
  <c r="M354" i="16"/>
  <c r="AC354" i="16"/>
  <c r="AL354" i="16"/>
  <c r="P354" i="16" s="1"/>
  <c r="AQ354" i="16"/>
  <c r="AT354" i="16" s="1"/>
  <c r="M355" i="16"/>
  <c r="AC355" i="16"/>
  <c r="AL355" i="16"/>
  <c r="P355" i="16" s="1"/>
  <c r="AQ355" i="16"/>
  <c r="AT355" i="16" s="1"/>
  <c r="M356" i="16"/>
  <c r="AC356" i="16"/>
  <c r="AL356" i="16"/>
  <c r="P356" i="16" s="1"/>
  <c r="AQ356" i="16"/>
  <c r="AT356" i="16" s="1"/>
  <c r="M357" i="16"/>
  <c r="AC357" i="16"/>
  <c r="AL357" i="16"/>
  <c r="P357" i="16" s="1"/>
  <c r="AQ357" i="16"/>
  <c r="AT357" i="16" s="1"/>
  <c r="M358" i="16"/>
  <c r="AC358" i="16"/>
  <c r="AL358" i="16"/>
  <c r="P358" i="16" s="1"/>
  <c r="AQ358" i="16"/>
  <c r="AT358" i="16" s="1"/>
  <c r="M359" i="16"/>
  <c r="AC359" i="16"/>
  <c r="AL359" i="16"/>
  <c r="P359" i="16" s="1"/>
  <c r="AQ359" i="16"/>
  <c r="AT359" i="16" s="1"/>
  <c r="M360" i="16"/>
  <c r="AC360" i="16"/>
  <c r="AL360" i="16"/>
  <c r="P360" i="16" s="1"/>
  <c r="AQ360" i="16"/>
  <c r="AT360" i="16" s="1"/>
  <c r="AC361" i="16"/>
  <c r="AL361" i="16"/>
  <c r="P361" i="16" s="1"/>
  <c r="AT361" i="16"/>
  <c r="M362" i="16"/>
  <c r="AC362" i="16"/>
  <c r="AL362" i="16"/>
  <c r="P362" i="16" s="1"/>
  <c r="AT362" i="16"/>
  <c r="AL25" i="16"/>
  <c r="AL26" i="16"/>
  <c r="AL27" i="16"/>
  <c r="AL28" i="16"/>
  <c r="AL29" i="16"/>
  <c r="AL30" i="16"/>
  <c r="AL31" i="16"/>
  <c r="AL32" i="16"/>
  <c r="AL33" i="16"/>
  <c r="AL34" i="16"/>
  <c r="AL35" i="16"/>
  <c r="AL36" i="16"/>
  <c r="AL37" i="16"/>
  <c r="AL38" i="16"/>
  <c r="AL39" i="16"/>
  <c r="AL40" i="16"/>
  <c r="AL41" i="16"/>
  <c r="AL42" i="16"/>
  <c r="AL43" i="16"/>
  <c r="AL44" i="16"/>
  <c r="AL45" i="16"/>
  <c r="AL46" i="16"/>
  <c r="AN33" i="16"/>
  <c r="AN32" i="16"/>
  <c r="AN31" i="16"/>
  <c r="AN30" i="16"/>
  <c r="AN11" i="16" l="1"/>
  <c r="O353" i="16"/>
  <c r="O351" i="16"/>
  <c r="O349" i="16"/>
  <c r="AR349" i="16" s="1"/>
  <c r="O341" i="16"/>
  <c r="AR341" i="16" s="1"/>
  <c r="O339" i="16"/>
  <c r="O337" i="16"/>
  <c r="AR337" i="16" s="1"/>
  <c r="O335" i="16"/>
  <c r="AR335" i="16" s="1"/>
  <c r="O333" i="16"/>
  <c r="AR333" i="16" s="1"/>
  <c r="O331" i="16"/>
  <c r="AR331" i="16" s="1"/>
  <c r="O329" i="16"/>
  <c r="AR329" i="16" s="1"/>
  <c r="O327" i="16"/>
  <c r="AR327" i="16" s="1"/>
  <c r="O312" i="16"/>
  <c r="AR312" i="16" s="1"/>
  <c r="O310" i="16"/>
  <c r="AR310" i="16" s="1"/>
  <c r="O305" i="16"/>
  <c r="AR305" i="16" s="1"/>
  <c r="O302" i="16"/>
  <c r="AR302" i="16" s="1"/>
  <c r="AU302" i="16" s="1"/>
  <c r="O288" i="16"/>
  <c r="AR288" i="16" s="1"/>
  <c r="AU288" i="16" s="1"/>
  <c r="O355" i="16"/>
  <c r="AR355" i="16" s="1"/>
  <c r="O300" i="16"/>
  <c r="AR300" i="16" s="1"/>
  <c r="AU300" i="16" s="1"/>
  <c r="O360" i="16"/>
  <c r="AR360" i="16" s="1"/>
  <c r="O359" i="16"/>
  <c r="AR359" i="16" s="1"/>
  <c r="O358" i="16"/>
  <c r="AR358" i="16" s="1"/>
  <c r="O357" i="16"/>
  <c r="AR357" i="16" s="1"/>
  <c r="O280" i="16"/>
  <c r="AR280" i="16" s="1"/>
  <c r="O348" i="16"/>
  <c r="AR348" i="16" s="1"/>
  <c r="O347" i="16"/>
  <c r="O346" i="16"/>
  <c r="AR346" i="16" s="1"/>
  <c r="O345" i="16"/>
  <c r="AR345" i="16" s="1"/>
  <c r="O344" i="16"/>
  <c r="AR344" i="16" s="1"/>
  <c r="O343" i="16"/>
  <c r="AR343" i="16" s="1"/>
  <c r="O342" i="16"/>
  <c r="AR342" i="16" s="1"/>
  <c r="O326" i="16"/>
  <c r="AR326" i="16" s="1"/>
  <c r="O325" i="16"/>
  <c r="AR325" i="16" s="1"/>
  <c r="O324" i="16"/>
  <c r="AR324" i="16" s="1"/>
  <c r="O323" i="16"/>
  <c r="AR323" i="16" s="1"/>
  <c r="O314" i="16"/>
  <c r="AR314" i="16" s="1"/>
  <c r="O304" i="16"/>
  <c r="AR304" i="16" s="1"/>
  <c r="AM302" i="16"/>
  <c r="AS302" i="16" s="1"/>
  <c r="O299" i="16"/>
  <c r="AR299" i="16" s="1"/>
  <c r="AU299" i="16" s="1"/>
  <c r="O287" i="16"/>
  <c r="AR287" i="16" s="1"/>
  <c r="O246" i="16"/>
  <c r="AR246" i="16" s="1"/>
  <c r="O350" i="16"/>
  <c r="AR350" i="16" s="1"/>
  <c r="O356" i="16"/>
  <c r="AR356" i="16" s="1"/>
  <c r="O340" i="16"/>
  <c r="AR340" i="16" s="1"/>
  <c r="O338" i="16"/>
  <c r="AR338" i="16" s="1"/>
  <c r="O336" i="16"/>
  <c r="AR336" i="16" s="1"/>
  <c r="O334" i="16"/>
  <c r="AR334" i="16" s="1"/>
  <c r="O332" i="16"/>
  <c r="AR332" i="16" s="1"/>
  <c r="O352" i="16"/>
  <c r="AR352" i="16" s="1"/>
  <c r="O328" i="16"/>
  <c r="AR328" i="16" s="1"/>
  <c r="AM362" i="16"/>
  <c r="AS362" i="16" s="1"/>
  <c r="O362" i="16"/>
  <c r="AR362" i="16" s="1"/>
  <c r="O361" i="16"/>
  <c r="AR361" i="16" s="1"/>
  <c r="O354" i="16"/>
  <c r="AR354" i="16" s="1"/>
  <c r="O330" i="16"/>
  <c r="AR330" i="16" s="1"/>
  <c r="O322" i="16"/>
  <c r="AR322" i="16" s="1"/>
  <c r="O320" i="16"/>
  <c r="AR320" i="16" s="1"/>
  <c r="O319" i="16"/>
  <c r="AR319" i="16" s="1"/>
  <c r="O318" i="16"/>
  <c r="AR318" i="16" s="1"/>
  <c r="O316" i="16"/>
  <c r="AR316" i="16" s="1"/>
  <c r="O315" i="16"/>
  <c r="AR315" i="16" s="1"/>
  <c r="AM288" i="16"/>
  <c r="AS288" i="16" s="1"/>
  <c r="AM280" i="16"/>
  <c r="AS280" i="16" s="1"/>
  <c r="O271" i="16"/>
  <c r="AR271" i="16" s="1"/>
  <c r="AU271" i="16" s="1"/>
  <c r="AM312" i="16"/>
  <c r="AS312" i="16" s="1"/>
  <c r="AM310" i="16"/>
  <c r="AS310" i="16" s="1"/>
  <c r="AU310" i="16" s="1"/>
  <c r="O308" i="16"/>
  <c r="AR308" i="16" s="1"/>
  <c r="AU308" i="16" s="1"/>
  <c r="AM305" i="16"/>
  <c r="AS305" i="16" s="1"/>
  <c r="O296" i="16"/>
  <c r="AR296" i="16" s="1"/>
  <c r="AU296" i="16" s="1"/>
  <c r="O301" i="16"/>
  <c r="AR301" i="16" s="1"/>
  <c r="AU301" i="16" s="1"/>
  <c r="AM304" i="16"/>
  <c r="AS304" i="16" s="1"/>
  <c r="AR353" i="16"/>
  <c r="O321" i="16"/>
  <c r="AR321" i="16" s="1"/>
  <c r="O317" i="16"/>
  <c r="AR317" i="16" s="1"/>
  <c r="O313" i="16"/>
  <c r="AR313" i="16" s="1"/>
  <c r="AU313" i="16" s="1"/>
  <c r="O311" i="16"/>
  <c r="AR311" i="16" s="1"/>
  <c r="AU311" i="16" s="1"/>
  <c r="AR351" i="16"/>
  <c r="AR347" i="16"/>
  <c r="O309" i="16"/>
  <c r="AR309" i="16" s="1"/>
  <c r="AU309" i="16" s="1"/>
  <c r="O298" i="16"/>
  <c r="AR298" i="16" s="1"/>
  <c r="AU298" i="16" s="1"/>
  <c r="O295" i="16"/>
  <c r="AR295" i="16" s="1"/>
  <c r="AU295" i="16" s="1"/>
  <c r="O276" i="16"/>
  <c r="AR276" i="16" s="1"/>
  <c r="AU276" i="16" s="1"/>
  <c r="AM103" i="16"/>
  <c r="AS103" i="16" s="1"/>
  <c r="AR339" i="16"/>
  <c r="O306" i="16"/>
  <c r="AR306" i="16" s="1"/>
  <c r="AU306" i="16" s="1"/>
  <c r="AM287" i="16"/>
  <c r="AS287" i="16" s="1"/>
  <c r="O103" i="16"/>
  <c r="AR103" i="16" s="1"/>
  <c r="O291" i="16"/>
  <c r="AR291" i="16" s="1"/>
  <c r="AU291" i="16" s="1"/>
  <c r="O286" i="16"/>
  <c r="AR286" i="16" s="1"/>
  <c r="AU286" i="16" s="1"/>
  <c r="O285" i="16"/>
  <c r="AR285" i="16" s="1"/>
  <c r="AU285" i="16" s="1"/>
  <c r="O275" i="16"/>
  <c r="AR275" i="16" s="1"/>
  <c r="AU275" i="16" s="1"/>
  <c r="O278" i="16"/>
  <c r="AR278" i="16" s="1"/>
  <c r="AU278" i="16" s="1"/>
  <c r="O279" i="16"/>
  <c r="AR279" i="16" s="1"/>
  <c r="AU279" i="16" s="1"/>
  <c r="O281" i="16"/>
  <c r="AR281" i="16" s="1"/>
  <c r="AU281" i="16" s="1"/>
  <c r="O282" i="16"/>
  <c r="AR282" i="16" s="1"/>
  <c r="AU282" i="16" s="1"/>
  <c r="O272" i="16"/>
  <c r="AR272" i="16" s="1"/>
  <c r="AU272" i="16" s="1"/>
  <c r="O297" i="16"/>
  <c r="AR297" i="16" s="1"/>
  <c r="AU297" i="16" s="1"/>
  <c r="O294" i="16"/>
  <c r="AR294" i="16" s="1"/>
  <c r="AU294" i="16" s="1"/>
  <c r="O292" i="16"/>
  <c r="AR292" i="16" s="1"/>
  <c r="AU292" i="16" s="1"/>
  <c r="O293" i="16"/>
  <c r="AR293" i="16" s="1"/>
  <c r="AU293" i="16" s="1"/>
  <c r="O290" i="16"/>
  <c r="AR290" i="16" s="1"/>
  <c r="AU290" i="16" s="1"/>
  <c r="O289" i="16"/>
  <c r="AR289" i="16" s="1"/>
  <c r="AU289" i="16" s="1"/>
  <c r="O284" i="16"/>
  <c r="AR284" i="16" s="1"/>
  <c r="AU284" i="16" s="1"/>
  <c r="O283" i="16"/>
  <c r="AR283" i="16" s="1"/>
  <c r="AU283" i="16" s="1"/>
  <c r="O277" i="16"/>
  <c r="AR277" i="16" s="1"/>
  <c r="AU277" i="16" s="1"/>
  <c r="O274" i="16"/>
  <c r="AR274" i="16" s="1"/>
  <c r="AU274" i="16" s="1"/>
  <c r="O273" i="16"/>
  <c r="AR273" i="16" s="1"/>
  <c r="AU273" i="16" s="1"/>
  <c r="AM105" i="16"/>
  <c r="AS105" i="16" s="1"/>
  <c r="O105" i="16"/>
  <c r="AR105" i="16" s="1"/>
  <c r="O104" i="16"/>
  <c r="AR104" i="16" s="1"/>
  <c r="AM104" i="16"/>
  <c r="AS104" i="16" s="1"/>
  <c r="O102" i="16"/>
  <c r="AR102" i="16" s="1"/>
  <c r="AM102" i="16"/>
  <c r="AS102" i="16" s="1"/>
  <c r="AM101" i="16"/>
  <c r="AS101" i="16" s="1"/>
  <c r="O101" i="16"/>
  <c r="AR101" i="16" s="1"/>
  <c r="O100" i="16"/>
  <c r="AR100" i="16" s="1"/>
  <c r="AM100" i="16"/>
  <c r="AS100" i="16" s="1"/>
  <c r="AM99" i="16"/>
  <c r="AS99" i="16" s="1"/>
  <c r="O99" i="16"/>
  <c r="AR99" i="16" s="1"/>
  <c r="O98" i="16"/>
  <c r="AR98" i="16" s="1"/>
  <c r="AM98" i="16"/>
  <c r="AS98" i="16" s="1"/>
  <c r="AM97" i="16"/>
  <c r="AS97" i="16" s="1"/>
  <c r="AM359" i="16"/>
  <c r="AS359" i="16" s="1"/>
  <c r="AM358" i="16"/>
  <c r="AS358" i="16" s="1"/>
  <c r="AM361" i="16"/>
  <c r="AS361" i="16" s="1"/>
  <c r="AM360" i="16"/>
  <c r="AS360" i="16" s="1"/>
  <c r="AQ270" i="16"/>
  <c r="AT270" i="16" s="1"/>
  <c r="O267" i="16"/>
  <c r="AR267" i="16" s="1"/>
  <c r="AM267" i="16"/>
  <c r="AS267" i="16" s="1"/>
  <c r="O263" i="16"/>
  <c r="AR263" i="16" s="1"/>
  <c r="AM263" i="16"/>
  <c r="AS263" i="16" s="1"/>
  <c r="O259" i="16"/>
  <c r="AR259" i="16" s="1"/>
  <c r="AM259" i="16"/>
  <c r="AS259" i="16" s="1"/>
  <c r="O255" i="16"/>
  <c r="AR255" i="16" s="1"/>
  <c r="AM255" i="16"/>
  <c r="AS255" i="16" s="1"/>
  <c r="O243" i="16"/>
  <c r="AR243" i="16" s="1"/>
  <c r="AM243" i="16"/>
  <c r="AS243" i="16" s="1"/>
  <c r="O239" i="16"/>
  <c r="AR239" i="16" s="1"/>
  <c r="AM239" i="16"/>
  <c r="AS239" i="16" s="1"/>
  <c r="O235" i="16"/>
  <c r="AR235" i="16" s="1"/>
  <c r="AM235" i="16"/>
  <c r="AS235" i="16" s="1"/>
  <c r="O231" i="16"/>
  <c r="AR231" i="16" s="1"/>
  <c r="AM231" i="16"/>
  <c r="AS231" i="16" s="1"/>
  <c r="O227" i="16"/>
  <c r="AR227" i="16" s="1"/>
  <c r="AM227" i="16"/>
  <c r="AS227" i="16" s="1"/>
  <c r="O223" i="16"/>
  <c r="AR223" i="16" s="1"/>
  <c r="AM223" i="16"/>
  <c r="AS223" i="16" s="1"/>
  <c r="O219" i="16"/>
  <c r="AR219" i="16" s="1"/>
  <c r="AM219" i="16"/>
  <c r="AS219" i="16" s="1"/>
  <c r="O216" i="16"/>
  <c r="AR216" i="16" s="1"/>
  <c r="AM216" i="16"/>
  <c r="AS216" i="16" s="1"/>
  <c r="O209" i="16"/>
  <c r="AR209" i="16" s="1"/>
  <c r="AM209" i="16"/>
  <c r="AS209" i="16" s="1"/>
  <c r="O206" i="16"/>
  <c r="AR206" i="16" s="1"/>
  <c r="AM206" i="16"/>
  <c r="AS206" i="16" s="1"/>
  <c r="O200" i="16"/>
  <c r="AR200" i="16" s="1"/>
  <c r="AM200" i="16"/>
  <c r="AS200" i="16" s="1"/>
  <c r="O196" i="16"/>
  <c r="AR196" i="16" s="1"/>
  <c r="AM196" i="16"/>
  <c r="AS196" i="16" s="1"/>
  <c r="O192" i="16"/>
  <c r="AR192" i="16" s="1"/>
  <c r="AM192" i="16"/>
  <c r="AS192" i="16" s="1"/>
  <c r="O188" i="16"/>
  <c r="AR188" i="16" s="1"/>
  <c r="AM188" i="16"/>
  <c r="AS188" i="16" s="1"/>
  <c r="O179" i="16"/>
  <c r="AR179" i="16" s="1"/>
  <c r="AM179" i="16"/>
  <c r="AS179" i="16" s="1"/>
  <c r="O171" i="16"/>
  <c r="AR171" i="16" s="1"/>
  <c r="AM171" i="16"/>
  <c r="AS171" i="16" s="1"/>
  <c r="O170" i="16"/>
  <c r="AR170" i="16" s="1"/>
  <c r="AM170" i="16"/>
  <c r="AS170" i="16" s="1"/>
  <c r="O164" i="16"/>
  <c r="AR164" i="16" s="1"/>
  <c r="AM164" i="16"/>
  <c r="AS164" i="16" s="1"/>
  <c r="O79" i="16"/>
  <c r="AR79" i="16" s="1"/>
  <c r="AM79" i="16"/>
  <c r="AS79" i="16" s="1"/>
  <c r="O268" i="16"/>
  <c r="AR268" i="16" s="1"/>
  <c r="AM268" i="16"/>
  <c r="AS268" i="16" s="1"/>
  <c r="O264" i="16"/>
  <c r="AR264" i="16" s="1"/>
  <c r="AM264" i="16"/>
  <c r="AS264" i="16" s="1"/>
  <c r="O260" i="16"/>
  <c r="AR260" i="16" s="1"/>
  <c r="AM260" i="16"/>
  <c r="AS260" i="16" s="1"/>
  <c r="O256" i="16"/>
  <c r="AR256" i="16" s="1"/>
  <c r="AM256" i="16"/>
  <c r="AS256" i="16" s="1"/>
  <c r="O251" i="16"/>
  <c r="AR251" i="16" s="1"/>
  <c r="O247" i="16"/>
  <c r="AR247" i="16" s="1"/>
  <c r="O244" i="16"/>
  <c r="AR244" i="16" s="1"/>
  <c r="AM244" i="16"/>
  <c r="AS244" i="16" s="1"/>
  <c r="O240" i="16"/>
  <c r="AR240" i="16" s="1"/>
  <c r="AM240" i="16"/>
  <c r="AS240" i="16" s="1"/>
  <c r="O236" i="16"/>
  <c r="AR236" i="16" s="1"/>
  <c r="AM236" i="16"/>
  <c r="AS236" i="16" s="1"/>
  <c r="O232" i="16"/>
  <c r="AR232" i="16" s="1"/>
  <c r="AM232" i="16"/>
  <c r="AS232" i="16" s="1"/>
  <c r="O228" i="16"/>
  <c r="AR228" i="16" s="1"/>
  <c r="AM228" i="16"/>
  <c r="AS228" i="16" s="1"/>
  <c r="O224" i="16"/>
  <c r="AR224" i="16" s="1"/>
  <c r="AM224" i="16"/>
  <c r="AS224" i="16" s="1"/>
  <c r="O220" i="16"/>
  <c r="AR220" i="16" s="1"/>
  <c r="AM220" i="16"/>
  <c r="AS220" i="16" s="1"/>
  <c r="O212" i="16"/>
  <c r="AR212" i="16" s="1"/>
  <c r="AM212" i="16"/>
  <c r="AS212" i="16" s="1"/>
  <c r="O205" i="16"/>
  <c r="AR205" i="16" s="1"/>
  <c r="AM205" i="16"/>
  <c r="AS205" i="16" s="1"/>
  <c r="O202" i="16"/>
  <c r="AR202" i="16" s="1"/>
  <c r="AM202" i="16"/>
  <c r="AS202" i="16" s="1"/>
  <c r="O197" i="16"/>
  <c r="AR197" i="16" s="1"/>
  <c r="AM197" i="16"/>
  <c r="AS197" i="16" s="1"/>
  <c r="O193" i="16"/>
  <c r="AR193" i="16" s="1"/>
  <c r="AM193" i="16"/>
  <c r="AS193" i="16" s="1"/>
  <c r="O189" i="16"/>
  <c r="AR189" i="16" s="1"/>
  <c r="AM189" i="16"/>
  <c r="AS189" i="16" s="1"/>
  <c r="O185" i="16"/>
  <c r="AR185" i="16" s="1"/>
  <c r="AM185" i="16"/>
  <c r="AS185" i="16" s="1"/>
  <c r="O173" i="16"/>
  <c r="AR173" i="16" s="1"/>
  <c r="AM173" i="16"/>
  <c r="AS173" i="16" s="1"/>
  <c r="O120" i="16"/>
  <c r="AR120" i="16" s="1"/>
  <c r="AM120" i="16"/>
  <c r="AS120" i="16" s="1"/>
  <c r="AM357" i="16"/>
  <c r="AS357" i="16" s="1"/>
  <c r="AM356" i="16"/>
  <c r="AS356" i="16" s="1"/>
  <c r="AM355" i="16"/>
  <c r="AS355" i="16" s="1"/>
  <c r="AM354" i="16"/>
  <c r="AS354" i="16" s="1"/>
  <c r="AM353" i="16"/>
  <c r="AS353" i="16" s="1"/>
  <c r="AM352" i="16"/>
  <c r="AS352" i="16" s="1"/>
  <c r="AM351" i="16"/>
  <c r="AS351" i="16" s="1"/>
  <c r="AM350" i="16"/>
  <c r="AS350" i="16" s="1"/>
  <c r="AM349" i="16"/>
  <c r="AS349" i="16" s="1"/>
  <c r="AM348" i="16"/>
  <c r="AS348" i="16" s="1"/>
  <c r="AM347" i="16"/>
  <c r="AS347" i="16" s="1"/>
  <c r="AM346" i="16"/>
  <c r="AS346" i="16" s="1"/>
  <c r="AM345" i="16"/>
  <c r="AS345" i="16" s="1"/>
  <c r="AM344" i="16"/>
  <c r="AS344" i="16" s="1"/>
  <c r="AM343" i="16"/>
  <c r="AS343" i="16" s="1"/>
  <c r="AM342" i="16"/>
  <c r="AS342" i="16" s="1"/>
  <c r="AM341" i="16"/>
  <c r="AS341" i="16" s="1"/>
  <c r="AM340" i="16"/>
  <c r="AS340" i="16" s="1"/>
  <c r="AM339" i="16"/>
  <c r="AS339" i="16" s="1"/>
  <c r="AM338" i="16"/>
  <c r="AS338" i="16" s="1"/>
  <c r="AM337" i="16"/>
  <c r="AS337" i="16" s="1"/>
  <c r="AM336" i="16"/>
  <c r="AS336" i="16" s="1"/>
  <c r="AM335" i="16"/>
  <c r="AS335" i="16" s="1"/>
  <c r="AM334" i="16"/>
  <c r="AS334" i="16" s="1"/>
  <c r="AM333" i="16"/>
  <c r="AS333" i="16" s="1"/>
  <c r="AM332" i="16"/>
  <c r="AS332" i="16" s="1"/>
  <c r="AM331" i="16"/>
  <c r="AS331" i="16" s="1"/>
  <c r="AM330" i="16"/>
  <c r="AS330" i="16" s="1"/>
  <c r="AM329" i="16"/>
  <c r="AS329" i="16" s="1"/>
  <c r="AM328" i="16"/>
  <c r="AS328" i="16" s="1"/>
  <c r="AM327" i="16"/>
  <c r="AS327" i="16" s="1"/>
  <c r="AM326" i="16"/>
  <c r="AS326" i="16" s="1"/>
  <c r="AM325" i="16"/>
  <c r="AS325" i="16" s="1"/>
  <c r="AM324" i="16"/>
  <c r="AS324" i="16" s="1"/>
  <c r="AM323" i="16"/>
  <c r="AS323" i="16" s="1"/>
  <c r="AM322" i="16"/>
  <c r="AS322" i="16" s="1"/>
  <c r="AM321" i="16"/>
  <c r="AS321" i="16" s="1"/>
  <c r="AM320" i="16"/>
  <c r="AS320" i="16" s="1"/>
  <c r="AM319" i="16"/>
  <c r="AS319" i="16" s="1"/>
  <c r="AM318" i="16"/>
  <c r="AS318" i="16" s="1"/>
  <c r="AM317" i="16"/>
  <c r="AS317" i="16" s="1"/>
  <c r="AM316" i="16"/>
  <c r="AS316" i="16" s="1"/>
  <c r="AM315" i="16"/>
  <c r="AS315" i="16" s="1"/>
  <c r="AM314" i="16"/>
  <c r="AS314" i="16" s="1"/>
  <c r="O307" i="16"/>
  <c r="AR307" i="16" s="1"/>
  <c r="AU307" i="16" s="1"/>
  <c r="O303" i="16"/>
  <c r="AR303" i="16" s="1"/>
  <c r="AU303" i="16" s="1"/>
  <c r="O269" i="16"/>
  <c r="AR269" i="16" s="1"/>
  <c r="AM269" i="16"/>
  <c r="AS269" i="16" s="1"/>
  <c r="O265" i="16"/>
  <c r="AR265" i="16" s="1"/>
  <c r="AM265" i="16"/>
  <c r="AS265" i="16" s="1"/>
  <c r="O261" i="16"/>
  <c r="AR261" i="16" s="1"/>
  <c r="AM261" i="16"/>
  <c r="AS261" i="16" s="1"/>
  <c r="O257" i="16"/>
  <c r="AR257" i="16" s="1"/>
  <c r="AM257" i="16"/>
  <c r="AS257" i="16" s="1"/>
  <c r="O252" i="16"/>
  <c r="AR252" i="16" s="1"/>
  <c r="O248" i="16"/>
  <c r="AR248" i="16" s="1"/>
  <c r="O245" i="16"/>
  <c r="AR245" i="16" s="1"/>
  <c r="AM245" i="16"/>
  <c r="AS245" i="16" s="1"/>
  <c r="O241" i="16"/>
  <c r="AR241" i="16" s="1"/>
  <c r="AM241" i="16"/>
  <c r="AS241" i="16" s="1"/>
  <c r="O237" i="16"/>
  <c r="AR237" i="16" s="1"/>
  <c r="AM237" i="16"/>
  <c r="AS237" i="16" s="1"/>
  <c r="O233" i="16"/>
  <c r="AR233" i="16" s="1"/>
  <c r="AM233" i="16"/>
  <c r="AS233" i="16" s="1"/>
  <c r="O229" i="16"/>
  <c r="AR229" i="16" s="1"/>
  <c r="AM229" i="16"/>
  <c r="AS229" i="16" s="1"/>
  <c r="O225" i="16"/>
  <c r="AR225" i="16" s="1"/>
  <c r="AM225" i="16"/>
  <c r="AS225" i="16" s="1"/>
  <c r="O221" i="16"/>
  <c r="AR221" i="16" s="1"/>
  <c r="AM221" i="16"/>
  <c r="AS221" i="16" s="1"/>
  <c r="O217" i="16"/>
  <c r="AR217" i="16" s="1"/>
  <c r="AM217" i="16"/>
  <c r="AS217" i="16" s="1"/>
  <c r="O214" i="16"/>
  <c r="AR214" i="16" s="1"/>
  <c r="AM214" i="16"/>
  <c r="AS214" i="16" s="1"/>
  <c r="O208" i="16"/>
  <c r="AR208" i="16" s="1"/>
  <c r="AM208" i="16"/>
  <c r="AS208" i="16" s="1"/>
  <c r="O201" i="16"/>
  <c r="AR201" i="16" s="1"/>
  <c r="AM201" i="16"/>
  <c r="AS201" i="16" s="1"/>
  <c r="O198" i="16"/>
  <c r="AR198" i="16" s="1"/>
  <c r="AM198" i="16"/>
  <c r="AS198" i="16" s="1"/>
  <c r="O194" i="16"/>
  <c r="AR194" i="16" s="1"/>
  <c r="AM194" i="16"/>
  <c r="AS194" i="16" s="1"/>
  <c r="O190" i="16"/>
  <c r="AR190" i="16" s="1"/>
  <c r="AM190" i="16"/>
  <c r="AS190" i="16" s="1"/>
  <c r="O186" i="16"/>
  <c r="AR186" i="16" s="1"/>
  <c r="AM186" i="16"/>
  <c r="AS186" i="16" s="1"/>
  <c r="O181" i="16"/>
  <c r="AR181" i="16" s="1"/>
  <c r="AM181" i="16"/>
  <c r="AS181" i="16" s="1"/>
  <c r="O175" i="16"/>
  <c r="AR175" i="16" s="1"/>
  <c r="AM175" i="16"/>
  <c r="AS175" i="16" s="1"/>
  <c r="O270" i="16"/>
  <c r="AR270" i="16" s="1"/>
  <c r="AM270" i="16"/>
  <c r="AS270" i="16" s="1"/>
  <c r="O266" i="16"/>
  <c r="AR266" i="16" s="1"/>
  <c r="AM266" i="16"/>
  <c r="AS266" i="16" s="1"/>
  <c r="O262" i="16"/>
  <c r="AR262" i="16" s="1"/>
  <c r="AM262" i="16"/>
  <c r="AS262" i="16" s="1"/>
  <c r="O258" i="16"/>
  <c r="AR258" i="16" s="1"/>
  <c r="AM258" i="16"/>
  <c r="AS258" i="16" s="1"/>
  <c r="O254" i="16"/>
  <c r="AR254" i="16" s="1"/>
  <c r="AM254" i="16"/>
  <c r="AS254" i="16" s="1"/>
  <c r="O253" i="16"/>
  <c r="AR253" i="16" s="1"/>
  <c r="O249" i="16"/>
  <c r="AR249" i="16" s="1"/>
  <c r="O242" i="16"/>
  <c r="AR242" i="16" s="1"/>
  <c r="AM242" i="16"/>
  <c r="AS242" i="16" s="1"/>
  <c r="O238" i="16"/>
  <c r="AR238" i="16" s="1"/>
  <c r="AM238" i="16"/>
  <c r="AS238" i="16" s="1"/>
  <c r="O234" i="16"/>
  <c r="AR234" i="16" s="1"/>
  <c r="AM234" i="16"/>
  <c r="AS234" i="16" s="1"/>
  <c r="O230" i="16"/>
  <c r="AR230" i="16" s="1"/>
  <c r="AM230" i="16"/>
  <c r="AS230" i="16" s="1"/>
  <c r="O226" i="16"/>
  <c r="AR226" i="16" s="1"/>
  <c r="AM226" i="16"/>
  <c r="AS226" i="16" s="1"/>
  <c r="O222" i="16"/>
  <c r="AR222" i="16" s="1"/>
  <c r="AM222" i="16"/>
  <c r="AS222" i="16" s="1"/>
  <c r="O218" i="16"/>
  <c r="AR218" i="16" s="1"/>
  <c r="AM218" i="16"/>
  <c r="AS218" i="16" s="1"/>
  <c r="O213" i="16"/>
  <c r="AR213" i="16" s="1"/>
  <c r="AM213" i="16"/>
  <c r="AS213" i="16" s="1"/>
  <c r="O210" i="16"/>
  <c r="AR210" i="16" s="1"/>
  <c r="AM210" i="16"/>
  <c r="AS210" i="16" s="1"/>
  <c r="O204" i="16"/>
  <c r="AR204" i="16" s="1"/>
  <c r="AM204" i="16"/>
  <c r="AS204" i="16" s="1"/>
  <c r="O195" i="16"/>
  <c r="AR195" i="16" s="1"/>
  <c r="AM195" i="16"/>
  <c r="AS195" i="16" s="1"/>
  <c r="O191" i="16"/>
  <c r="AR191" i="16" s="1"/>
  <c r="AM191" i="16"/>
  <c r="AS191" i="16" s="1"/>
  <c r="O187" i="16"/>
  <c r="AR187" i="16" s="1"/>
  <c r="AM187" i="16"/>
  <c r="AS187" i="16" s="1"/>
  <c r="O177" i="16"/>
  <c r="AR177" i="16" s="1"/>
  <c r="AM177" i="16"/>
  <c r="AS177" i="16" s="1"/>
  <c r="O157" i="16"/>
  <c r="AR157" i="16" s="1"/>
  <c r="AM157" i="16"/>
  <c r="AS157" i="16" s="1"/>
  <c r="O154" i="16"/>
  <c r="AR154" i="16" s="1"/>
  <c r="AM154" i="16"/>
  <c r="AS154" i="16" s="1"/>
  <c r="O182" i="16"/>
  <c r="AR182" i="16" s="1"/>
  <c r="AM182" i="16"/>
  <c r="AS182" i="16" s="1"/>
  <c r="O169" i="16"/>
  <c r="AR169" i="16" s="1"/>
  <c r="AM169" i="16"/>
  <c r="AS169" i="16" s="1"/>
  <c r="O166" i="16"/>
  <c r="AR166" i="16" s="1"/>
  <c r="AM166" i="16"/>
  <c r="AS166" i="16" s="1"/>
  <c r="O160" i="16"/>
  <c r="AR160" i="16" s="1"/>
  <c r="AM160" i="16"/>
  <c r="AS160" i="16" s="1"/>
  <c r="O153" i="16"/>
  <c r="AR153" i="16" s="1"/>
  <c r="AM153" i="16"/>
  <c r="AS153" i="16" s="1"/>
  <c r="O150" i="16"/>
  <c r="AR150" i="16" s="1"/>
  <c r="AM150" i="16"/>
  <c r="AS150" i="16" s="1"/>
  <c r="AM253" i="16"/>
  <c r="AS253" i="16" s="1"/>
  <c r="AM252" i="16"/>
  <c r="AS252" i="16" s="1"/>
  <c r="AM251" i="16"/>
  <c r="AS251" i="16" s="1"/>
  <c r="AM250" i="16"/>
  <c r="AS250" i="16" s="1"/>
  <c r="AU250" i="16" s="1"/>
  <c r="AM249" i="16"/>
  <c r="AS249" i="16" s="1"/>
  <c r="AM248" i="16"/>
  <c r="AS248" i="16" s="1"/>
  <c r="AM247" i="16"/>
  <c r="AS247" i="16" s="1"/>
  <c r="AM246" i="16"/>
  <c r="AS246" i="16" s="1"/>
  <c r="O183" i="16"/>
  <c r="AR183" i="16" s="1"/>
  <c r="AM183" i="16"/>
  <c r="AS183" i="16" s="1"/>
  <c r="O180" i="16"/>
  <c r="AR180" i="16" s="1"/>
  <c r="AM180" i="16"/>
  <c r="AS180" i="16" s="1"/>
  <c r="O178" i="16"/>
  <c r="AR178" i="16" s="1"/>
  <c r="AM178" i="16"/>
  <c r="AS178" i="16" s="1"/>
  <c r="O176" i="16"/>
  <c r="AR176" i="16" s="1"/>
  <c r="AM176" i="16"/>
  <c r="AS176" i="16" s="1"/>
  <c r="O174" i="16"/>
  <c r="AR174" i="16" s="1"/>
  <c r="AM174" i="16"/>
  <c r="AS174" i="16" s="1"/>
  <c r="O172" i="16"/>
  <c r="AR172" i="16" s="1"/>
  <c r="AM172" i="16"/>
  <c r="AS172" i="16" s="1"/>
  <c r="O165" i="16"/>
  <c r="AR165" i="16" s="1"/>
  <c r="AM165" i="16"/>
  <c r="AS165" i="16" s="1"/>
  <c r="O162" i="16"/>
  <c r="AR162" i="16" s="1"/>
  <c r="AM162" i="16"/>
  <c r="AS162" i="16" s="1"/>
  <c r="O156" i="16"/>
  <c r="AR156" i="16" s="1"/>
  <c r="AM156" i="16"/>
  <c r="AS156" i="16" s="1"/>
  <c r="O215" i="16"/>
  <c r="AR215" i="16" s="1"/>
  <c r="AM215" i="16"/>
  <c r="AS215" i="16" s="1"/>
  <c r="O211" i="16"/>
  <c r="AR211" i="16" s="1"/>
  <c r="AM211" i="16"/>
  <c r="AS211" i="16" s="1"/>
  <c r="O207" i="16"/>
  <c r="AR207" i="16" s="1"/>
  <c r="AM207" i="16"/>
  <c r="AS207" i="16" s="1"/>
  <c r="O203" i="16"/>
  <c r="AR203" i="16" s="1"/>
  <c r="AM203" i="16"/>
  <c r="AS203" i="16" s="1"/>
  <c r="O199" i="16"/>
  <c r="AR199" i="16" s="1"/>
  <c r="AM199" i="16"/>
  <c r="AS199" i="16" s="1"/>
  <c r="O184" i="16"/>
  <c r="AR184" i="16" s="1"/>
  <c r="AM184" i="16"/>
  <c r="AS184" i="16" s="1"/>
  <c r="O168" i="16"/>
  <c r="AR168" i="16" s="1"/>
  <c r="AM168" i="16"/>
  <c r="AS168" i="16" s="1"/>
  <c r="O161" i="16"/>
  <c r="AR161" i="16" s="1"/>
  <c r="AM161" i="16"/>
  <c r="AS161" i="16" s="1"/>
  <c r="O158" i="16"/>
  <c r="AR158" i="16" s="1"/>
  <c r="AM158" i="16"/>
  <c r="AS158" i="16" s="1"/>
  <c r="O152" i="16"/>
  <c r="AR152" i="16" s="1"/>
  <c r="AM152" i="16"/>
  <c r="AS152" i="16" s="1"/>
  <c r="O146" i="16"/>
  <c r="AR146" i="16" s="1"/>
  <c r="AM146" i="16"/>
  <c r="AS146" i="16" s="1"/>
  <c r="O151" i="16"/>
  <c r="AR151" i="16" s="1"/>
  <c r="AM151" i="16"/>
  <c r="AS151" i="16" s="1"/>
  <c r="O147" i="16"/>
  <c r="AR147" i="16" s="1"/>
  <c r="AM147" i="16"/>
  <c r="AS147" i="16" s="1"/>
  <c r="O143" i="16"/>
  <c r="AR143" i="16" s="1"/>
  <c r="AM143" i="16"/>
  <c r="AS143" i="16" s="1"/>
  <c r="O141" i="16"/>
  <c r="AR141" i="16" s="1"/>
  <c r="AM141" i="16"/>
  <c r="AS141" i="16" s="1"/>
  <c r="O139" i="16"/>
  <c r="AR139" i="16" s="1"/>
  <c r="AM139" i="16"/>
  <c r="AS139" i="16" s="1"/>
  <c r="O137" i="16"/>
  <c r="AR137" i="16" s="1"/>
  <c r="AM137" i="16"/>
  <c r="AS137" i="16" s="1"/>
  <c r="O135" i="16"/>
  <c r="AR135" i="16" s="1"/>
  <c r="AM135" i="16"/>
  <c r="AS135" i="16" s="1"/>
  <c r="O133" i="16"/>
  <c r="AR133" i="16" s="1"/>
  <c r="AM133" i="16"/>
  <c r="AS133" i="16" s="1"/>
  <c r="O131" i="16"/>
  <c r="AR131" i="16" s="1"/>
  <c r="AM131" i="16"/>
  <c r="AS131" i="16" s="1"/>
  <c r="O129" i="16"/>
  <c r="AR129" i="16" s="1"/>
  <c r="AM129" i="16"/>
  <c r="AS129" i="16" s="1"/>
  <c r="O127" i="16"/>
  <c r="AR127" i="16" s="1"/>
  <c r="AM127" i="16"/>
  <c r="AS127" i="16" s="1"/>
  <c r="O125" i="16"/>
  <c r="AR125" i="16" s="1"/>
  <c r="AM125" i="16"/>
  <c r="AS125" i="16" s="1"/>
  <c r="O123" i="16"/>
  <c r="AR123" i="16" s="1"/>
  <c r="AM123" i="16"/>
  <c r="AS123" i="16" s="1"/>
  <c r="O148" i="16"/>
  <c r="AR148" i="16" s="1"/>
  <c r="AM148" i="16"/>
  <c r="AS148" i="16" s="1"/>
  <c r="O144" i="16"/>
  <c r="AR144" i="16" s="1"/>
  <c r="AM144" i="16"/>
  <c r="AS144" i="16" s="1"/>
  <c r="O118" i="16"/>
  <c r="AR118" i="16" s="1"/>
  <c r="AM118" i="16"/>
  <c r="AS118" i="16" s="1"/>
  <c r="O167" i="16"/>
  <c r="AR167" i="16" s="1"/>
  <c r="AM167" i="16"/>
  <c r="AS167" i="16" s="1"/>
  <c r="O163" i="16"/>
  <c r="AR163" i="16" s="1"/>
  <c r="AM163" i="16"/>
  <c r="AS163" i="16" s="1"/>
  <c r="O159" i="16"/>
  <c r="AR159" i="16" s="1"/>
  <c r="AM159" i="16"/>
  <c r="AS159" i="16" s="1"/>
  <c r="O155" i="16"/>
  <c r="AR155" i="16" s="1"/>
  <c r="AM155" i="16"/>
  <c r="AS155" i="16" s="1"/>
  <c r="O149" i="16"/>
  <c r="AR149" i="16" s="1"/>
  <c r="AM149" i="16"/>
  <c r="AS149" i="16" s="1"/>
  <c r="O145" i="16"/>
  <c r="AR145" i="16" s="1"/>
  <c r="AM145" i="16"/>
  <c r="AS145" i="16" s="1"/>
  <c r="O142" i="16"/>
  <c r="AR142" i="16" s="1"/>
  <c r="AM142" i="16"/>
  <c r="AS142" i="16" s="1"/>
  <c r="O140" i="16"/>
  <c r="AR140" i="16" s="1"/>
  <c r="AS140" i="16"/>
  <c r="O138" i="16"/>
  <c r="AR138" i="16" s="1"/>
  <c r="AM138" i="16"/>
  <c r="AS138" i="16" s="1"/>
  <c r="O136" i="16"/>
  <c r="AR136" i="16" s="1"/>
  <c r="AM136" i="16"/>
  <c r="AS136" i="16" s="1"/>
  <c r="O134" i="16"/>
  <c r="AR134" i="16" s="1"/>
  <c r="AM134" i="16"/>
  <c r="AS134" i="16" s="1"/>
  <c r="O132" i="16"/>
  <c r="AR132" i="16" s="1"/>
  <c r="AM132" i="16"/>
  <c r="AS132" i="16" s="1"/>
  <c r="O130" i="16"/>
  <c r="AR130" i="16" s="1"/>
  <c r="AM130" i="16"/>
  <c r="AS130" i="16" s="1"/>
  <c r="O128" i="16"/>
  <c r="AR128" i="16" s="1"/>
  <c r="AM128" i="16"/>
  <c r="AS128" i="16" s="1"/>
  <c r="O126" i="16"/>
  <c r="AR126" i="16" s="1"/>
  <c r="AM126" i="16"/>
  <c r="AS126" i="16" s="1"/>
  <c r="O124" i="16"/>
  <c r="AR124" i="16" s="1"/>
  <c r="AM124" i="16"/>
  <c r="AS124" i="16" s="1"/>
  <c r="O122" i="16"/>
  <c r="AR122" i="16" s="1"/>
  <c r="AM122" i="16"/>
  <c r="AS122" i="16" s="1"/>
  <c r="O108" i="16"/>
  <c r="AR108" i="16" s="1"/>
  <c r="AM108" i="16"/>
  <c r="AS108" i="16" s="1"/>
  <c r="O87" i="16"/>
  <c r="AR87" i="16" s="1"/>
  <c r="AM87" i="16"/>
  <c r="AS87" i="16" s="1"/>
  <c r="O121" i="16"/>
  <c r="AR121" i="16" s="1"/>
  <c r="AM121" i="16"/>
  <c r="AS121" i="16" s="1"/>
  <c r="O119" i="16"/>
  <c r="AR119" i="16" s="1"/>
  <c r="AM119" i="16"/>
  <c r="AS119" i="16" s="1"/>
  <c r="O115" i="16"/>
  <c r="AR115" i="16" s="1"/>
  <c r="AM115" i="16"/>
  <c r="AS115" i="16" s="1"/>
  <c r="O113" i="16"/>
  <c r="AR113" i="16" s="1"/>
  <c r="AM113" i="16"/>
  <c r="AS113" i="16" s="1"/>
  <c r="O111" i="16"/>
  <c r="AR111" i="16" s="1"/>
  <c r="AM111" i="16"/>
  <c r="AS111" i="16" s="1"/>
  <c r="O109" i="16"/>
  <c r="AR109" i="16" s="1"/>
  <c r="AM109" i="16"/>
  <c r="AS109" i="16" s="1"/>
  <c r="O96" i="16"/>
  <c r="AR96" i="16" s="1"/>
  <c r="AM96" i="16"/>
  <c r="AS96" i="16" s="1"/>
  <c r="O81" i="16"/>
  <c r="AR81" i="16" s="1"/>
  <c r="AM81" i="16"/>
  <c r="AS81" i="16" s="1"/>
  <c r="O116" i="16"/>
  <c r="AR116" i="16" s="1"/>
  <c r="AM116" i="16"/>
  <c r="AS116" i="16" s="1"/>
  <c r="O106" i="16"/>
  <c r="AR106" i="16" s="1"/>
  <c r="AM106" i="16"/>
  <c r="AS106" i="16" s="1"/>
  <c r="O95" i="16"/>
  <c r="AR95" i="16" s="1"/>
  <c r="AM95" i="16"/>
  <c r="AS95" i="16" s="1"/>
  <c r="O94" i="16"/>
  <c r="AR94" i="16" s="1"/>
  <c r="AM94" i="16"/>
  <c r="AS94" i="16" s="1"/>
  <c r="O92" i="16"/>
  <c r="AR92" i="16" s="1"/>
  <c r="AM92" i="16"/>
  <c r="AS92" i="16" s="1"/>
  <c r="O83" i="16"/>
  <c r="AR83" i="16" s="1"/>
  <c r="AM83" i="16"/>
  <c r="AS83" i="16" s="1"/>
  <c r="O75" i="16"/>
  <c r="AR75" i="16" s="1"/>
  <c r="AM75" i="16"/>
  <c r="AS75" i="16" s="1"/>
  <c r="O117" i="16"/>
  <c r="AR117" i="16" s="1"/>
  <c r="AM117" i="16"/>
  <c r="AS117" i="16" s="1"/>
  <c r="O114" i="16"/>
  <c r="AR114" i="16" s="1"/>
  <c r="AM114" i="16"/>
  <c r="AS114" i="16" s="1"/>
  <c r="O112" i="16"/>
  <c r="AR112" i="16" s="1"/>
  <c r="AM112" i="16"/>
  <c r="AS112" i="16" s="1"/>
  <c r="O110" i="16"/>
  <c r="AR110" i="16" s="1"/>
  <c r="AM110" i="16"/>
  <c r="AS110" i="16" s="1"/>
  <c r="O107" i="16"/>
  <c r="AR107" i="16" s="1"/>
  <c r="AM107" i="16"/>
  <c r="AS107" i="16" s="1"/>
  <c r="O91" i="16"/>
  <c r="AR91" i="16" s="1"/>
  <c r="AM91" i="16"/>
  <c r="AS91" i="16" s="1"/>
  <c r="O90" i="16"/>
  <c r="AR90" i="16" s="1"/>
  <c r="AM90" i="16"/>
  <c r="AS90" i="16" s="1"/>
  <c r="O88" i="16"/>
  <c r="AR88" i="16" s="1"/>
  <c r="AM88" i="16"/>
  <c r="AS88" i="16" s="1"/>
  <c r="O85" i="16"/>
  <c r="AR85" i="16" s="1"/>
  <c r="AM85" i="16"/>
  <c r="AS85" i="16" s="1"/>
  <c r="O77" i="16"/>
  <c r="AR77" i="16" s="1"/>
  <c r="AM77" i="16"/>
  <c r="AS77" i="16" s="1"/>
  <c r="O62" i="16"/>
  <c r="AR62" i="16" s="1"/>
  <c r="AM62" i="16"/>
  <c r="AS62" i="16" s="1"/>
  <c r="O97" i="16"/>
  <c r="AR97" i="16" s="1"/>
  <c r="O93" i="16"/>
  <c r="AR93" i="16" s="1"/>
  <c r="AM93" i="16"/>
  <c r="AS93" i="16" s="1"/>
  <c r="O89" i="16"/>
  <c r="AR89" i="16" s="1"/>
  <c r="AM89" i="16"/>
  <c r="AS89" i="16" s="1"/>
  <c r="O74" i="16"/>
  <c r="AR74" i="16" s="1"/>
  <c r="AM74" i="16"/>
  <c r="AS74" i="16" s="1"/>
  <c r="O73" i="16"/>
  <c r="AR73" i="16" s="1"/>
  <c r="AM73" i="16"/>
  <c r="AS73" i="16" s="1"/>
  <c r="O71" i="16"/>
  <c r="AR71" i="16" s="1"/>
  <c r="AM71" i="16"/>
  <c r="AS71" i="16" s="1"/>
  <c r="O63" i="16"/>
  <c r="AR63" i="16" s="1"/>
  <c r="AM63" i="16"/>
  <c r="AS63" i="16" s="1"/>
  <c r="O58" i="16"/>
  <c r="AR58" i="16" s="1"/>
  <c r="AM58" i="16"/>
  <c r="AS58" i="16" s="1"/>
  <c r="O86" i="16"/>
  <c r="AR86" i="16" s="1"/>
  <c r="AM86" i="16"/>
  <c r="AS86" i="16" s="1"/>
  <c r="O84" i="16"/>
  <c r="AR84" i="16" s="1"/>
  <c r="AM84" i="16"/>
  <c r="AS84" i="16" s="1"/>
  <c r="O82" i="16"/>
  <c r="AR82" i="16" s="1"/>
  <c r="AM82" i="16"/>
  <c r="AS82" i="16" s="1"/>
  <c r="O80" i="16"/>
  <c r="AR80" i="16" s="1"/>
  <c r="AM80" i="16"/>
  <c r="AS80" i="16" s="1"/>
  <c r="O78" i="16"/>
  <c r="AR78" i="16" s="1"/>
  <c r="AM78" i="16"/>
  <c r="AS78" i="16" s="1"/>
  <c r="O76" i="16"/>
  <c r="AR76" i="16" s="1"/>
  <c r="AM76" i="16"/>
  <c r="AS76" i="16" s="1"/>
  <c r="O70" i="16"/>
  <c r="AR70" i="16" s="1"/>
  <c r="AM70" i="16"/>
  <c r="AS70" i="16" s="1"/>
  <c r="O69" i="16"/>
  <c r="AR69" i="16" s="1"/>
  <c r="AM69" i="16"/>
  <c r="AS69" i="16" s="1"/>
  <c r="O67" i="16"/>
  <c r="AR67" i="16" s="1"/>
  <c r="AM67" i="16"/>
  <c r="AS67" i="16" s="1"/>
  <c r="O64" i="16"/>
  <c r="AR64" i="16" s="1"/>
  <c r="AM64" i="16"/>
  <c r="AS64" i="16" s="1"/>
  <c r="O54" i="16"/>
  <c r="AR54" i="16" s="1"/>
  <c r="AM54" i="16"/>
  <c r="AS54" i="16" s="1"/>
  <c r="O66" i="16"/>
  <c r="AR66" i="16" s="1"/>
  <c r="AM66" i="16"/>
  <c r="AS66" i="16" s="1"/>
  <c r="O65" i="16"/>
  <c r="AR65" i="16" s="1"/>
  <c r="AM65" i="16"/>
  <c r="AS65" i="16" s="1"/>
  <c r="O50" i="16"/>
  <c r="AR50" i="16" s="1"/>
  <c r="AM50" i="16"/>
  <c r="AS50" i="16" s="1"/>
  <c r="O72" i="16"/>
  <c r="AR72" i="16" s="1"/>
  <c r="AM72" i="16"/>
  <c r="AS72" i="16" s="1"/>
  <c r="O68" i="16"/>
  <c r="AR68" i="16" s="1"/>
  <c r="AM68" i="16"/>
  <c r="AS68" i="16" s="1"/>
  <c r="O59" i="16"/>
  <c r="AR59" i="16" s="1"/>
  <c r="AM59" i="16"/>
  <c r="AS59" i="16" s="1"/>
  <c r="O55" i="16"/>
  <c r="AR55" i="16" s="1"/>
  <c r="AM55" i="16"/>
  <c r="AS55" i="16" s="1"/>
  <c r="O51" i="16"/>
  <c r="AR51" i="16" s="1"/>
  <c r="AM51" i="16"/>
  <c r="AS51" i="16" s="1"/>
  <c r="O47" i="16"/>
  <c r="AR47" i="16" s="1"/>
  <c r="AM47" i="16"/>
  <c r="AS47" i="16" s="1"/>
  <c r="O60" i="16"/>
  <c r="AR60" i="16" s="1"/>
  <c r="AM60" i="16"/>
  <c r="AS60" i="16" s="1"/>
  <c r="O56" i="16"/>
  <c r="AR56" i="16" s="1"/>
  <c r="AM56" i="16"/>
  <c r="AS56" i="16" s="1"/>
  <c r="O52" i="16"/>
  <c r="AR52" i="16" s="1"/>
  <c r="AM52" i="16"/>
  <c r="AS52" i="16" s="1"/>
  <c r="O48" i="16"/>
  <c r="AR48" i="16" s="1"/>
  <c r="AM48" i="16"/>
  <c r="AS48" i="16" s="1"/>
  <c r="O61" i="16"/>
  <c r="AR61" i="16" s="1"/>
  <c r="AM61" i="16"/>
  <c r="AS61" i="16" s="1"/>
  <c r="O57" i="16"/>
  <c r="AR57" i="16" s="1"/>
  <c r="AM57" i="16"/>
  <c r="AS57" i="16" s="1"/>
  <c r="O53" i="16"/>
  <c r="AR53" i="16" s="1"/>
  <c r="AM53" i="16"/>
  <c r="AS53" i="16" s="1"/>
  <c r="O49" i="16"/>
  <c r="AR49" i="16" s="1"/>
  <c r="AM49" i="16"/>
  <c r="AS49" i="16" s="1"/>
  <c r="AU347" i="16" l="1"/>
  <c r="AU316" i="16"/>
  <c r="AU246" i="16"/>
  <c r="AU304" i="16"/>
  <c r="AU312" i="16"/>
  <c r="AU320" i="16"/>
  <c r="AU314" i="16"/>
  <c r="AU318" i="16"/>
  <c r="AU287" i="16"/>
  <c r="AU353" i="16"/>
  <c r="AU98" i="16"/>
  <c r="AU105" i="16"/>
  <c r="AU97" i="16"/>
  <c r="AU305" i="16"/>
  <c r="AU324" i="16"/>
  <c r="AU321" i="16"/>
  <c r="AU357" i="16"/>
  <c r="AU345" i="16"/>
  <c r="AU317" i="16"/>
  <c r="AU362" i="16"/>
  <c r="AU103" i="16"/>
  <c r="AU329" i="16"/>
  <c r="AU337" i="16"/>
  <c r="AU349" i="16"/>
  <c r="AU107" i="16"/>
  <c r="AU112" i="16"/>
  <c r="AU117" i="16"/>
  <c r="AU182" i="16"/>
  <c r="AU157" i="16"/>
  <c r="AU187" i="16"/>
  <c r="AU195" i="16"/>
  <c r="AU210" i="16"/>
  <c r="AU234" i="16"/>
  <c r="AU242" i="16"/>
  <c r="AU254" i="16"/>
  <c r="AU262" i="16"/>
  <c r="AU181" i="16"/>
  <c r="AU198" i="16"/>
  <c r="AU315" i="16"/>
  <c r="AU319" i="16"/>
  <c r="AU331" i="16"/>
  <c r="AU339" i="16"/>
  <c r="AU99" i="16"/>
  <c r="AU280" i="16"/>
  <c r="AU340" i="16"/>
  <c r="AU328" i="16"/>
  <c r="AU344" i="16"/>
  <c r="AU77" i="16"/>
  <c r="AU336" i="16"/>
  <c r="AU348" i="16"/>
  <c r="AU356" i="16"/>
  <c r="AU91" i="16"/>
  <c r="AU75" i="16"/>
  <c r="AU322" i="16"/>
  <c r="AU326" i="16"/>
  <c r="AU330" i="16"/>
  <c r="AU334" i="16"/>
  <c r="AU338" i="16"/>
  <c r="AU342" i="16"/>
  <c r="AU346" i="16"/>
  <c r="AU350" i="16"/>
  <c r="AU354" i="16"/>
  <c r="AU231" i="16"/>
  <c r="AU255" i="16"/>
  <c r="AU263" i="16"/>
  <c r="AU332" i="16"/>
  <c r="AU352" i="16"/>
  <c r="AU88" i="16"/>
  <c r="AU323" i="16"/>
  <c r="AU101" i="16"/>
  <c r="AU333" i="16"/>
  <c r="AU355" i="16"/>
  <c r="AU343" i="16"/>
  <c r="AU351" i="16"/>
  <c r="AU341" i="16"/>
  <c r="AU325" i="16"/>
  <c r="AU226" i="16"/>
  <c r="AU225" i="16"/>
  <c r="AU224" i="16"/>
  <c r="AU223" i="16"/>
  <c r="AU327" i="16"/>
  <c r="AU335" i="16"/>
  <c r="AU222" i="16"/>
  <c r="AU230" i="16"/>
  <c r="AU229" i="16"/>
  <c r="AU228" i="16"/>
  <c r="AU227" i="16"/>
  <c r="AU232" i="16"/>
  <c r="AU233" i="16"/>
  <c r="AU235" i="16"/>
  <c r="AU208" i="16"/>
  <c r="AU218" i="16"/>
  <c r="AU217" i="16"/>
  <c r="AU190" i="16"/>
  <c r="AU267" i="16"/>
  <c r="AU191" i="16"/>
  <c r="AU204" i="16"/>
  <c r="AU213" i="16"/>
  <c r="AU238" i="16"/>
  <c r="AU258" i="16"/>
  <c r="AU266" i="16"/>
  <c r="AU194" i="16"/>
  <c r="AU201" i="16"/>
  <c r="AU214" i="16"/>
  <c r="AU221" i="16"/>
  <c r="AU259" i="16"/>
  <c r="AU177" i="16"/>
  <c r="AU175" i="16"/>
  <c r="AU186" i="16"/>
  <c r="AU154" i="16"/>
  <c r="AU114" i="16"/>
  <c r="AU110" i="16"/>
  <c r="AU104" i="16"/>
  <c r="AU102" i="16"/>
  <c r="AU100" i="16"/>
  <c r="AU90" i="16"/>
  <c r="AU85" i="16"/>
  <c r="AU62" i="16"/>
  <c r="AU61" i="16"/>
  <c r="AU57" i="16"/>
  <c r="AU56" i="16"/>
  <c r="AU53" i="16"/>
  <c r="AU52" i="16"/>
  <c r="AU49" i="16"/>
  <c r="AU48" i="16"/>
  <c r="AU47" i="16"/>
  <c r="AU83" i="16"/>
  <c r="AU94" i="16"/>
  <c r="AU106" i="16"/>
  <c r="AU81" i="16"/>
  <c r="AU109" i="16"/>
  <c r="AU113" i="16"/>
  <c r="AU119" i="16"/>
  <c r="AU87" i="16"/>
  <c r="AU122" i="16"/>
  <c r="AU126" i="16"/>
  <c r="AU130" i="16"/>
  <c r="AU134" i="16"/>
  <c r="AU138" i="16"/>
  <c r="AU142" i="16"/>
  <c r="AU149" i="16"/>
  <c r="AU159" i="16"/>
  <c r="AU167" i="16"/>
  <c r="AU144" i="16"/>
  <c r="AU123" i="16"/>
  <c r="AU127" i="16"/>
  <c r="AU131" i="16"/>
  <c r="AU135" i="16"/>
  <c r="AU139" i="16"/>
  <c r="AU143" i="16"/>
  <c r="AU151" i="16"/>
  <c r="AU152" i="16"/>
  <c r="AU161" i="16"/>
  <c r="AU184" i="16"/>
  <c r="AU203" i="16"/>
  <c r="AU211" i="16"/>
  <c r="AU156" i="16"/>
  <c r="AU165" i="16"/>
  <c r="AU174" i="16"/>
  <c r="AU178" i="16"/>
  <c r="AU183" i="16"/>
  <c r="AU153" i="16"/>
  <c r="AU166" i="16"/>
  <c r="AU248" i="16"/>
  <c r="AU247" i="16"/>
  <c r="AU55" i="16"/>
  <c r="AU68" i="16"/>
  <c r="AU50" i="16"/>
  <c r="AU66" i="16"/>
  <c r="AU64" i="16"/>
  <c r="AU69" i="16"/>
  <c r="AU76" i="16"/>
  <c r="AU80" i="16"/>
  <c r="AU84" i="16"/>
  <c r="AU58" i="16"/>
  <c r="AU71" i="16"/>
  <c r="AU74" i="16"/>
  <c r="AU93" i="16"/>
  <c r="AU270" i="16"/>
  <c r="AU241" i="16"/>
  <c r="AU252" i="16"/>
  <c r="AU261" i="16"/>
  <c r="AU269" i="16"/>
  <c r="AU120" i="16"/>
  <c r="AU185" i="16"/>
  <c r="AU193" i="16"/>
  <c r="AU202" i="16"/>
  <c r="AU212" i="16"/>
  <c r="AU240" i="16"/>
  <c r="AU251" i="16"/>
  <c r="AU260" i="16"/>
  <c r="AU268" i="16"/>
  <c r="AU164" i="16"/>
  <c r="AU171" i="16"/>
  <c r="AU188" i="16"/>
  <c r="AU196" i="16"/>
  <c r="AU206" i="16"/>
  <c r="AU216" i="16"/>
  <c r="AU239" i="16"/>
  <c r="AU360" i="16"/>
  <c r="AU358" i="16"/>
  <c r="AU359" i="16"/>
  <c r="AU92" i="16"/>
  <c r="AU95" i="16"/>
  <c r="AU116" i="16"/>
  <c r="AU96" i="16"/>
  <c r="AU111" i="16"/>
  <c r="AU115" i="16"/>
  <c r="AU121" i="16"/>
  <c r="AU108" i="16"/>
  <c r="AU124" i="16"/>
  <c r="AU128" i="16"/>
  <c r="AU132" i="16"/>
  <c r="AU136" i="16"/>
  <c r="AU140" i="16"/>
  <c r="AU145" i="16"/>
  <c r="AU155" i="16"/>
  <c r="AU163" i="16"/>
  <c r="AU118" i="16"/>
  <c r="AU148" i="16"/>
  <c r="AU125" i="16"/>
  <c r="AU129" i="16"/>
  <c r="AU133" i="16"/>
  <c r="AU137" i="16"/>
  <c r="AU141" i="16"/>
  <c r="AU147" i="16"/>
  <c r="AU146" i="16"/>
  <c r="AU158" i="16"/>
  <c r="AU168" i="16"/>
  <c r="AU199" i="16"/>
  <c r="AU207" i="16"/>
  <c r="AU215" i="16"/>
  <c r="AU162" i="16"/>
  <c r="AU172" i="16"/>
  <c r="AU176" i="16"/>
  <c r="AU180" i="16"/>
  <c r="AU150" i="16"/>
  <c r="AU160" i="16"/>
  <c r="AU169" i="16"/>
  <c r="AU249" i="16"/>
  <c r="AU60" i="16"/>
  <c r="AU51" i="16"/>
  <c r="AU59" i="16"/>
  <c r="AU72" i="16"/>
  <c r="AU65" i="16"/>
  <c r="AU54" i="16"/>
  <c r="AU67" i="16"/>
  <c r="AU70" i="16"/>
  <c r="AU78" i="16"/>
  <c r="AU82" i="16"/>
  <c r="AU86" i="16"/>
  <c r="AU63" i="16"/>
  <c r="AU73" i="16"/>
  <c r="AU89" i="16"/>
  <c r="AU253" i="16"/>
  <c r="AU237" i="16"/>
  <c r="AU245" i="16"/>
  <c r="AU257" i="16"/>
  <c r="AU265" i="16"/>
  <c r="AU173" i="16"/>
  <c r="AU189" i="16"/>
  <c r="AU197" i="16"/>
  <c r="AU205" i="16"/>
  <c r="AU220" i="16"/>
  <c r="AU236" i="16"/>
  <c r="AU244" i="16"/>
  <c r="AU256" i="16"/>
  <c r="AU264" i="16"/>
  <c r="AU79" i="16"/>
  <c r="AU170" i="16"/>
  <c r="AU179" i="16"/>
  <c r="AU192" i="16"/>
  <c r="AU200" i="16"/>
  <c r="AU209" i="16"/>
  <c r="AU219" i="16"/>
  <c r="AU243" i="16"/>
  <c r="AU361" i="16"/>
  <c r="AQ25" i="16" l="1"/>
  <c r="AC17" i="16" l="1"/>
  <c r="AC18" i="16"/>
  <c r="AC19" i="16"/>
  <c r="AC20" i="16"/>
  <c r="AC21" i="16"/>
  <c r="AC22" i="16"/>
  <c r="AC23" i="16"/>
  <c r="AC24" i="16"/>
  <c r="AC25" i="16"/>
  <c r="AC26" i="16"/>
  <c r="AC27" i="16"/>
  <c r="AC28" i="16"/>
  <c r="AC29" i="16"/>
  <c r="AC30" i="16"/>
  <c r="AC31" i="16"/>
  <c r="AC32" i="16"/>
  <c r="AC33" i="16"/>
  <c r="AC34" i="16"/>
  <c r="AC35" i="16"/>
  <c r="AC36" i="16"/>
  <c r="AC37" i="16"/>
  <c r="AC38" i="16"/>
  <c r="AC39" i="16"/>
  <c r="AC40" i="16"/>
  <c r="AC41" i="16"/>
  <c r="AC42" i="16"/>
  <c r="AC43" i="16"/>
  <c r="AC44" i="16"/>
  <c r="AC45" i="16"/>
  <c r="AC46" i="16"/>
  <c r="AC15" i="16"/>
  <c r="AC16" i="16"/>
  <c r="AC14" i="16"/>
  <c r="J46" i="16" l="1"/>
  <c r="J45" i="16"/>
  <c r="J44" i="16"/>
  <c r="J43" i="16"/>
  <c r="J42" i="16"/>
  <c r="J41" i="16"/>
  <c r="J40" i="16"/>
  <c r="J39" i="16"/>
  <c r="J38" i="16"/>
  <c r="J37" i="16"/>
  <c r="J36" i="16"/>
  <c r="J35" i="16"/>
  <c r="J34" i="16"/>
  <c r="J33" i="16"/>
  <c r="J32" i="16"/>
  <c r="J31" i="16"/>
  <c r="J30" i="16"/>
  <c r="J29" i="16"/>
  <c r="J28" i="16"/>
  <c r="J27" i="16"/>
  <c r="J26" i="16"/>
  <c r="J25" i="16"/>
  <c r="J24" i="16"/>
  <c r="J23" i="16"/>
  <c r="J22" i="16"/>
  <c r="J21" i="16"/>
  <c r="J20" i="16"/>
  <c r="J19" i="16"/>
  <c r="J18" i="16"/>
  <c r="J17" i="16"/>
  <c r="J16" i="16"/>
  <c r="J15" i="16"/>
  <c r="J14" i="16"/>
  <c r="J13" i="16"/>
  <c r="J12" i="16"/>
  <c r="Q11" i="16" l="1"/>
  <c r="R11" i="16"/>
  <c r="U11" i="16"/>
  <c r="C14" i="15" l="1"/>
  <c r="D6" i="15" s="1"/>
  <c r="F9" i="23" l="1"/>
  <c r="F24" i="23"/>
  <c r="F16" i="23"/>
  <c r="E13" i="22" l="1"/>
  <c r="D13" i="15" l="1"/>
  <c r="AQ46" i="16" l="1"/>
  <c r="AT46" i="16" s="1"/>
  <c r="AQ45" i="16"/>
  <c r="AT45" i="16" s="1"/>
  <c r="AQ44" i="16"/>
  <c r="AT44" i="16" s="1"/>
  <c r="AQ43" i="16"/>
  <c r="AT43" i="16" s="1"/>
  <c r="AQ42" i="16"/>
  <c r="AT42" i="16" s="1"/>
  <c r="P42" i="16"/>
  <c r="AM42" i="16" s="1"/>
  <c r="P43" i="16"/>
  <c r="AM43" i="16" s="1"/>
  <c r="P44" i="16"/>
  <c r="AM44" i="16" s="1"/>
  <c r="P45" i="16"/>
  <c r="AM45" i="16" s="1"/>
  <c r="P46" i="16"/>
  <c r="AM46" i="16" s="1"/>
  <c r="AQ41" i="16"/>
  <c r="AT41" i="16" s="1"/>
  <c r="P41" i="16"/>
  <c r="AM41" i="16" s="1"/>
  <c r="AQ40" i="16"/>
  <c r="AT40" i="16" s="1"/>
  <c r="P40" i="16"/>
  <c r="AM40" i="16" s="1"/>
  <c r="M41" i="16"/>
  <c r="M42" i="16"/>
  <c r="M43" i="16"/>
  <c r="M44" i="16"/>
  <c r="M45" i="16"/>
  <c r="M46" i="16"/>
  <c r="AQ39" i="16"/>
  <c r="AT39" i="16" s="1"/>
  <c r="P39" i="16"/>
  <c r="AM39" i="16" s="1"/>
  <c r="AQ38" i="16"/>
  <c r="AT38" i="16" s="1"/>
  <c r="P38" i="16"/>
  <c r="AM38" i="16" s="1"/>
  <c r="AQ37" i="16"/>
  <c r="AT37" i="16" s="1"/>
  <c r="P37" i="16"/>
  <c r="AM37" i="16" s="1"/>
  <c r="AQ36" i="16"/>
  <c r="AT36" i="16" s="1"/>
  <c r="P36" i="16"/>
  <c r="AM36" i="16" s="1"/>
  <c r="AQ35" i="16"/>
  <c r="AT35" i="16" s="1"/>
  <c r="AQ34" i="16"/>
  <c r="AT34" i="16" s="1"/>
  <c r="M34" i="16"/>
  <c r="M35" i="16"/>
  <c r="M36" i="16"/>
  <c r="M37" i="16"/>
  <c r="M38" i="16"/>
  <c r="M39" i="16"/>
  <c r="M40" i="16"/>
  <c r="AQ33" i="16"/>
  <c r="AT33" i="16" s="1"/>
  <c r="AQ32" i="16"/>
  <c r="AT32" i="16" s="1"/>
  <c r="AQ31" i="16"/>
  <c r="AT31" i="16" s="1"/>
  <c r="AQ30" i="16"/>
  <c r="AT30" i="16" s="1"/>
  <c r="P30" i="16"/>
  <c r="AM30" i="16" s="1"/>
  <c r="P31" i="16"/>
  <c r="AM31" i="16" s="1"/>
  <c r="P32" i="16"/>
  <c r="P33" i="16"/>
  <c r="P34" i="16"/>
  <c r="AM34" i="16" s="1"/>
  <c r="P35" i="16"/>
  <c r="AM35" i="16" s="1"/>
  <c r="M30" i="16"/>
  <c r="M31" i="16"/>
  <c r="M32" i="16"/>
  <c r="M33" i="16"/>
  <c r="AQ29" i="16"/>
  <c r="AT29" i="16" s="1"/>
  <c r="AQ28" i="16"/>
  <c r="AT28" i="16" s="1"/>
  <c r="M29" i="16"/>
  <c r="AQ27" i="16"/>
  <c r="AT27" i="16" s="1"/>
  <c r="AQ26" i="16"/>
  <c r="AT26" i="16" s="1"/>
  <c r="AT25" i="16"/>
  <c r="AQ24" i="16"/>
  <c r="AT24" i="16" s="1"/>
  <c r="AL24" i="16"/>
  <c r="P24" i="16" s="1"/>
  <c r="AM24" i="16" s="1"/>
  <c r="P25" i="16"/>
  <c r="P26" i="16"/>
  <c r="AM26" i="16" s="1"/>
  <c r="P27" i="16"/>
  <c r="AM27" i="16" s="1"/>
  <c r="P28" i="16"/>
  <c r="AM28" i="16" s="1"/>
  <c r="P29" i="16"/>
  <c r="AM29" i="16" s="1"/>
  <c r="M24" i="16"/>
  <c r="M25" i="16"/>
  <c r="M26" i="16"/>
  <c r="M27" i="16"/>
  <c r="M28" i="16"/>
  <c r="AQ23" i="16"/>
  <c r="AT23" i="16" s="1"/>
  <c r="AQ22" i="16"/>
  <c r="AT22" i="16" s="1"/>
  <c r="AQ21" i="16"/>
  <c r="AT21" i="16" s="1"/>
  <c r="AQ20" i="16"/>
  <c r="AT20" i="16" s="1"/>
  <c r="M20" i="16"/>
  <c r="AQ19" i="16"/>
  <c r="AT19" i="16" s="1"/>
  <c r="AQ18" i="16"/>
  <c r="AT18" i="16" s="1"/>
  <c r="AQ17" i="16"/>
  <c r="AT17" i="16" s="1"/>
  <c r="AQ16" i="16"/>
  <c r="AT16" i="16" s="1"/>
  <c r="AQ15" i="16"/>
  <c r="AT15" i="16" s="1"/>
  <c r="AL15" i="16"/>
  <c r="P15" i="16" s="1"/>
  <c r="AL16" i="16"/>
  <c r="P16" i="16" s="1"/>
  <c r="AL17" i="16"/>
  <c r="P17" i="16" s="1"/>
  <c r="AL18" i="16"/>
  <c r="P18" i="16" s="1"/>
  <c r="AL19" i="16"/>
  <c r="P19" i="16" s="1"/>
  <c r="AL20" i="16"/>
  <c r="P20" i="16" s="1"/>
  <c r="AL21" i="16"/>
  <c r="P21" i="16" s="1"/>
  <c r="AL22" i="16"/>
  <c r="P22" i="16" s="1"/>
  <c r="AL23" i="16"/>
  <c r="P23" i="16" s="1"/>
  <c r="M15" i="16"/>
  <c r="M16" i="16"/>
  <c r="M17" i="16"/>
  <c r="M18" i="16"/>
  <c r="M19" i="16"/>
  <c r="M21" i="16"/>
  <c r="M22" i="16"/>
  <c r="M23" i="16"/>
  <c r="O33" i="16" l="1"/>
  <c r="AR33" i="16" s="1"/>
  <c r="AM33" i="16"/>
  <c r="AS33" i="16" s="1"/>
  <c r="O32" i="16"/>
  <c r="AR32" i="16" s="1"/>
  <c r="AM32" i="16"/>
  <c r="AS32" i="16" s="1"/>
  <c r="O27" i="16"/>
  <c r="AR27" i="16" s="1"/>
  <c r="AS26" i="16"/>
  <c r="O34" i="16"/>
  <c r="AR34" i="16" s="1"/>
  <c r="O37" i="16"/>
  <c r="AR37" i="16" s="1"/>
  <c r="O38" i="16"/>
  <c r="AR38" i="16" s="1"/>
  <c r="O30" i="16"/>
  <c r="AR30" i="16" s="1"/>
  <c r="O44" i="16"/>
  <c r="AR44" i="16" s="1"/>
  <c r="O39" i="16"/>
  <c r="AR39" i="16" s="1"/>
  <c r="O40" i="16"/>
  <c r="AR40" i="16" s="1"/>
  <c r="O41" i="16"/>
  <c r="AR41" i="16" s="1"/>
  <c r="O42" i="16"/>
  <c r="AR42" i="16" s="1"/>
  <c r="O24" i="16"/>
  <c r="AR24" i="16" s="1"/>
  <c r="AS36" i="16"/>
  <c r="AS30" i="16"/>
  <c r="AM16" i="16"/>
  <c r="AS16" i="16" s="1"/>
  <c r="AS24" i="16"/>
  <c r="O36" i="16"/>
  <c r="AR36" i="16" s="1"/>
  <c r="AS37" i="16"/>
  <c r="AS42" i="16"/>
  <c r="AS28" i="16"/>
  <c r="AS35" i="16"/>
  <c r="O43" i="16"/>
  <c r="AR43" i="16" s="1"/>
  <c r="O46" i="16"/>
  <c r="AR46" i="16" s="1"/>
  <c r="AS46" i="16"/>
  <c r="AS45" i="16"/>
  <c r="O45" i="16"/>
  <c r="AR45" i="16" s="1"/>
  <c r="AS44" i="16"/>
  <c r="AS43" i="16"/>
  <c r="AS41" i="16"/>
  <c r="AS40" i="16"/>
  <c r="AS39" i="16"/>
  <c r="AS38" i="16"/>
  <c r="O35" i="16"/>
  <c r="AR35" i="16" s="1"/>
  <c r="AS34" i="16"/>
  <c r="O31" i="16"/>
  <c r="AR31" i="16" s="1"/>
  <c r="AS31" i="16"/>
  <c r="O29" i="16"/>
  <c r="AR29" i="16" s="1"/>
  <c r="AS29" i="16"/>
  <c r="O28" i="16"/>
  <c r="AR28" i="16" s="1"/>
  <c r="AS27" i="16"/>
  <c r="O26" i="16"/>
  <c r="AR26" i="16" s="1"/>
  <c r="AM25" i="16"/>
  <c r="AS25" i="16" s="1"/>
  <c r="O25" i="16"/>
  <c r="AR25" i="16" s="1"/>
  <c r="AM22" i="16"/>
  <c r="AS22" i="16" s="1"/>
  <c r="O21" i="16"/>
  <c r="AR21" i="16" s="1"/>
  <c r="AM20" i="16"/>
  <c r="AS20" i="16" s="1"/>
  <c r="AM18" i="16"/>
  <c r="AS18" i="16" s="1"/>
  <c r="AM19" i="16"/>
  <c r="AS19" i="16" s="1"/>
  <c r="O19" i="16"/>
  <c r="AR19" i="16" s="1"/>
  <c r="O23" i="16"/>
  <c r="AR23" i="16" s="1"/>
  <c r="AM15" i="16"/>
  <c r="AS15" i="16" s="1"/>
  <c r="O20" i="16"/>
  <c r="AR20" i="16" s="1"/>
  <c r="O17" i="16"/>
  <c r="AR17" i="16" s="1"/>
  <c r="O15" i="16"/>
  <c r="AR15" i="16" s="1"/>
  <c r="AM21" i="16"/>
  <c r="AS21" i="16" s="1"/>
  <c r="AM17" i="16"/>
  <c r="AS17" i="16" s="1"/>
  <c r="O16" i="16"/>
  <c r="AR16" i="16" s="1"/>
  <c r="AM23" i="16"/>
  <c r="AS23" i="16" s="1"/>
  <c r="O22" i="16"/>
  <c r="AR22" i="16" s="1"/>
  <c r="O18" i="16"/>
  <c r="AR18" i="16" s="1"/>
  <c r="AU32" i="16" l="1"/>
  <c r="AU42" i="16"/>
  <c r="AU33" i="16"/>
  <c r="AU27" i="16"/>
  <c r="AU37" i="16"/>
  <c r="AU38" i="16"/>
  <c r="AU39" i="16"/>
  <c r="AU34" i="16"/>
  <c r="AU44" i="16"/>
  <c r="AU28" i="16"/>
  <c r="AU41" i="16"/>
  <c r="AU36" i="16"/>
  <c r="AU30" i="16"/>
  <c r="AU40" i="16"/>
  <c r="AU25" i="16"/>
  <c r="AU45" i="16"/>
  <c r="AU24" i="16"/>
  <c r="AU22" i="16"/>
  <c r="AU46" i="16"/>
  <c r="AU17" i="16"/>
  <c r="AU19" i="16"/>
  <c r="AU23" i="16"/>
  <c r="AU31" i="16"/>
  <c r="AU35" i="16"/>
  <c r="AU16" i="16"/>
  <c r="AU21" i="16"/>
  <c r="AU15" i="16"/>
  <c r="AU18" i="16"/>
  <c r="AU20" i="16"/>
  <c r="AU26" i="16"/>
  <c r="AU29" i="16"/>
  <c r="AU43" i="16"/>
  <c r="J28" i="18" l="1"/>
  <c r="I28" i="18"/>
  <c r="Y11" i="16" l="1"/>
  <c r="D3" i="15"/>
  <c r="E3" i="15" s="1"/>
  <c r="AQ14" i="16" l="1"/>
  <c r="AT14" i="16" s="1"/>
  <c r="AL14" i="16"/>
  <c r="P14" i="16" s="1"/>
  <c r="M14" i="16"/>
  <c r="AQ13" i="16"/>
  <c r="AT13" i="16" s="1"/>
  <c r="AL13" i="16"/>
  <c r="P13" i="16" s="1"/>
  <c r="M13" i="16"/>
  <c r="AQ12" i="16"/>
  <c r="AT12" i="16" s="1"/>
  <c r="AL12" i="16"/>
  <c r="AC12" i="16"/>
  <c r="AC11" i="16" s="1"/>
  <c r="M12" i="16"/>
  <c r="AP11" i="16"/>
  <c r="AO11" i="16"/>
  <c r="AK11" i="16"/>
  <c r="AJ11" i="16"/>
  <c r="AI11" i="16"/>
  <c r="AH11" i="16"/>
  <c r="AG11" i="16"/>
  <c r="AF11" i="16"/>
  <c r="AE11" i="16"/>
  <c r="AB11" i="16"/>
  <c r="T11" i="16"/>
  <c r="S11" i="16"/>
  <c r="AT11" i="16" l="1"/>
  <c r="P12" i="16"/>
  <c r="AL11" i="16"/>
  <c r="O13" i="16"/>
  <c r="AR13" i="16" s="1"/>
  <c r="O14" i="16"/>
  <c r="AR14" i="16" s="1"/>
  <c r="O12" i="16"/>
  <c r="AR12" i="16" s="1"/>
  <c r="AM12" i="16"/>
  <c r="AM13" i="16"/>
  <c r="AS13" i="16" s="1"/>
  <c r="AM14" i="16"/>
  <c r="AS14" i="16" s="1"/>
  <c r="AQ11" i="16"/>
  <c r="AS12" i="16" l="1"/>
  <c r="AS11" i="16" s="1"/>
  <c r="AM11" i="16"/>
  <c r="AR11" i="16"/>
  <c r="AU14" i="16"/>
  <c r="AU13" i="16"/>
  <c r="D12" i="15"/>
  <c r="D11" i="15"/>
  <c r="D10" i="15"/>
  <c r="D9" i="15"/>
  <c r="D8" i="15"/>
  <c r="D7" i="15"/>
  <c r="D5" i="15"/>
  <c r="D4" i="15"/>
  <c r="AU12" i="16" l="1"/>
  <c r="AU11" i="16"/>
  <c r="E4" i="15"/>
  <c r="E5" i="15" s="1"/>
  <c r="E6" i="15" l="1"/>
  <c r="E7" i="15" s="1"/>
  <c r="E8" i="15" s="1"/>
  <c r="E9" i="15" s="1"/>
  <c r="E10" i="15" s="1"/>
  <c r="E11" i="15" s="1"/>
  <c r="E12" i="15" s="1"/>
  <c r="E13" i="15" s="1"/>
  <c r="E9" i="10"/>
  <c r="E8" i="10"/>
  <c r="E7" i="10"/>
  <c r="E6" i="10"/>
  <c r="E5" i="10"/>
  <c r="C9" i="11" l="1"/>
  <c r="E4" i="10" l="1"/>
  <c r="E10" i="10"/>
  <c r="E11" i="10"/>
  <c r="E12" i="10"/>
  <c r="E13" i="10"/>
  <c r="E14" i="10"/>
  <c r="E15" i="10"/>
  <c r="E16" i="10"/>
  <c r="E17" i="10"/>
  <c r="E18" i="10"/>
  <c r="E19" i="10"/>
  <c r="E20" i="10"/>
  <c r="E3" i="10"/>
  <c r="AR7" i="16" l="1"/>
  <c r="AS12" i="26"/>
  <c r="AT11" i="26"/>
  <c r="AT12" i="26"/>
  <c r="AS13" i="26"/>
  <c r="AV13" i="26" s="1"/>
  <c r="AN12" i="26"/>
  <c r="AN11" i="26"/>
  <c r="AS11" i="26" l="1"/>
  <c r="AS7" i="26" s="1"/>
  <c r="AV12" i="26"/>
  <c r="AV11" i="2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Global</author>
    <author>GAPL</author>
    <author>Gapl</author>
  </authors>
  <commentList>
    <comment ref="AP1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Global:</t>
        </r>
        <r>
          <rPr>
            <sz val="9"/>
            <color indexed="81"/>
            <rFont val="Tahoma"/>
            <family val="2"/>
          </rPr>
          <t xml:space="preserve">
in put material problem  quality</t>
        </r>
      </text>
    </comment>
    <comment ref="AP27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Global:</t>
        </r>
        <r>
          <rPr>
            <sz val="9"/>
            <color indexed="81"/>
            <rFont val="Tahoma"/>
            <family val="2"/>
          </rPr>
          <t xml:space="preserve">
input materila problem quality</t>
        </r>
      </text>
    </comment>
    <comment ref="AP29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Global:</t>
        </r>
        <r>
          <rPr>
            <sz val="9"/>
            <color indexed="81"/>
            <rFont val="Tahoma"/>
            <family val="2"/>
          </rPr>
          <t xml:space="preserve">
in put material problem quality</t>
        </r>
      </text>
    </comment>
    <comment ref="AP3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Global:</t>
        </r>
        <r>
          <rPr>
            <sz val="9"/>
            <color indexed="81"/>
            <rFont val="Tahoma"/>
            <family val="2"/>
          </rPr>
          <t xml:space="preserve">
MATERIAL PROBLEM QUALITY</t>
        </r>
      </text>
    </comment>
    <comment ref="AN35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Global:</t>
        </r>
        <r>
          <rPr>
            <sz val="9"/>
            <color indexed="81"/>
            <rFont val="Tahoma"/>
            <family val="2"/>
          </rPr>
          <t xml:space="preserve">
speed loss due to new operator</t>
        </r>
      </text>
    </comment>
    <comment ref="AN39" authorId="1" shapeId="0" xr:uid="{00000000-0006-0000-0200-000006000000}">
      <text>
        <r>
          <rPr>
            <b/>
            <sz val="9"/>
            <color indexed="81"/>
            <rFont val="Tahoma"/>
            <family val="2"/>
          </rPr>
          <t>GAPL:</t>
        </r>
        <r>
          <rPr>
            <sz val="9"/>
            <color indexed="81"/>
            <rFont val="Tahoma"/>
            <family val="2"/>
          </rPr>
          <t xml:space="preserve">
1.1 THICKNESS
</t>
        </r>
      </text>
    </comment>
    <comment ref="AP4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Global:</t>
        </r>
        <r>
          <rPr>
            <sz val="9"/>
            <color indexed="81"/>
            <rFont val="Tahoma"/>
            <family val="2"/>
          </rPr>
          <t xml:space="preserve">
IN PUT MATERIAL PROBLEM</t>
        </r>
      </text>
    </comment>
    <comment ref="AP43" authorId="1" shapeId="0" xr:uid="{00000000-0006-0000-0200-000008000000}">
      <text>
        <r>
          <rPr>
            <b/>
            <sz val="9"/>
            <color indexed="81"/>
            <rFont val="Tahoma"/>
            <family val="2"/>
          </rPr>
          <t>GAPL:</t>
        </r>
        <r>
          <rPr>
            <sz val="9"/>
            <color indexed="81"/>
            <rFont val="Tahoma"/>
            <family val="2"/>
          </rPr>
          <t xml:space="preserve">
IN PUT MAREIAL PROBLEM</t>
        </r>
      </text>
    </comment>
    <comment ref="AB60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Gapl:</t>
        </r>
        <r>
          <rPr>
            <sz val="9"/>
            <color indexed="81"/>
            <rFont val="Tahoma"/>
            <family val="2"/>
          </rPr>
          <t xml:space="preserve">
Due To Rainfall</t>
        </r>
      </text>
    </comment>
    <comment ref="AH216" authorId="1" shapeId="0" xr:uid="{00000000-0006-0000-0200-00000A000000}">
      <text>
        <r>
          <rPr>
            <b/>
            <sz val="9"/>
            <color indexed="81"/>
            <rFont val="Tahoma"/>
            <family val="2"/>
          </rPr>
          <t>GAPL:</t>
        </r>
        <r>
          <rPr>
            <sz val="9"/>
            <color indexed="81"/>
            <rFont val="Tahoma"/>
            <family val="2"/>
          </rPr>
          <t xml:space="preserve">
Chai Pe Charcha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Global</author>
    <author>GAPL</author>
    <author>Gapl</author>
  </authors>
  <commentList>
    <comment ref="AQ12" authorId="0" shapeId="0" xr:uid="{7EF54B82-2ED4-447B-96A9-0D8DE35E0F42}">
      <text>
        <r>
          <rPr>
            <b/>
            <sz val="9"/>
            <color indexed="81"/>
            <rFont val="Tahoma"/>
            <family val="2"/>
          </rPr>
          <t>Global:</t>
        </r>
        <r>
          <rPr>
            <sz val="9"/>
            <color indexed="81"/>
            <rFont val="Tahoma"/>
            <family val="2"/>
          </rPr>
          <t xml:space="preserve">
in put material problem  quality</t>
        </r>
      </text>
    </comment>
    <comment ref="AQ27" authorId="0" shapeId="0" xr:uid="{8F6EC327-30C2-4172-852D-40FB0D2CB9AC}">
      <text>
        <r>
          <rPr>
            <b/>
            <sz val="9"/>
            <color indexed="81"/>
            <rFont val="Tahoma"/>
            <family val="2"/>
          </rPr>
          <t>Global:</t>
        </r>
        <r>
          <rPr>
            <sz val="9"/>
            <color indexed="81"/>
            <rFont val="Tahoma"/>
            <family val="2"/>
          </rPr>
          <t xml:space="preserve">
input materila problem quality</t>
        </r>
      </text>
    </comment>
    <comment ref="AQ29" authorId="0" shapeId="0" xr:uid="{9D5D1DF9-4A12-4E7B-BCF2-E356EEAB0AEF}">
      <text>
        <r>
          <rPr>
            <b/>
            <sz val="9"/>
            <color indexed="81"/>
            <rFont val="Tahoma"/>
            <family val="2"/>
          </rPr>
          <t>Global:</t>
        </r>
        <r>
          <rPr>
            <sz val="9"/>
            <color indexed="81"/>
            <rFont val="Tahoma"/>
            <family val="2"/>
          </rPr>
          <t xml:space="preserve">
in put material problem quality</t>
        </r>
      </text>
    </comment>
    <comment ref="AQ31" authorId="0" shapeId="0" xr:uid="{BD942727-71D5-45D3-90C8-FA62527EAF2A}">
      <text>
        <r>
          <rPr>
            <b/>
            <sz val="9"/>
            <color indexed="81"/>
            <rFont val="Tahoma"/>
            <family val="2"/>
          </rPr>
          <t>Global:</t>
        </r>
        <r>
          <rPr>
            <sz val="9"/>
            <color indexed="81"/>
            <rFont val="Tahoma"/>
            <family val="2"/>
          </rPr>
          <t xml:space="preserve">
MATERIAL PROBLEM QUALITY</t>
        </r>
      </text>
    </comment>
    <comment ref="AO35" authorId="0" shapeId="0" xr:uid="{7702B86D-88F6-452A-8C18-D055B2ACFF90}">
      <text>
        <r>
          <rPr>
            <b/>
            <sz val="9"/>
            <color indexed="81"/>
            <rFont val="Tahoma"/>
            <family val="2"/>
          </rPr>
          <t>Global:</t>
        </r>
        <r>
          <rPr>
            <sz val="9"/>
            <color indexed="81"/>
            <rFont val="Tahoma"/>
            <family val="2"/>
          </rPr>
          <t xml:space="preserve">
speed loss due to new operator</t>
        </r>
      </text>
    </comment>
    <comment ref="AO39" authorId="1" shapeId="0" xr:uid="{8AAD0087-1FF2-4711-9BDB-569A27933E17}">
      <text>
        <r>
          <rPr>
            <b/>
            <sz val="9"/>
            <color indexed="81"/>
            <rFont val="Tahoma"/>
            <family val="2"/>
          </rPr>
          <t>GAPL:</t>
        </r>
        <r>
          <rPr>
            <sz val="9"/>
            <color indexed="81"/>
            <rFont val="Tahoma"/>
            <family val="2"/>
          </rPr>
          <t xml:space="preserve">
1.1 THICKNESS
</t>
        </r>
      </text>
    </comment>
    <comment ref="AQ41" authorId="0" shapeId="0" xr:uid="{A173CE13-6090-4C1C-BB1A-43C723B36B47}">
      <text>
        <r>
          <rPr>
            <b/>
            <sz val="9"/>
            <color indexed="81"/>
            <rFont val="Tahoma"/>
            <family val="2"/>
          </rPr>
          <t>Global:</t>
        </r>
        <r>
          <rPr>
            <sz val="9"/>
            <color indexed="81"/>
            <rFont val="Tahoma"/>
            <family val="2"/>
          </rPr>
          <t xml:space="preserve">
IN PUT MATERIAL PROBLEM</t>
        </r>
      </text>
    </comment>
    <comment ref="AQ43" authorId="1" shapeId="0" xr:uid="{A45DC033-D422-4C06-BDBA-68525E832E4E}">
      <text>
        <r>
          <rPr>
            <b/>
            <sz val="9"/>
            <color indexed="81"/>
            <rFont val="Tahoma"/>
            <family val="2"/>
          </rPr>
          <t>GAPL:</t>
        </r>
        <r>
          <rPr>
            <sz val="9"/>
            <color indexed="81"/>
            <rFont val="Tahoma"/>
            <family val="2"/>
          </rPr>
          <t xml:space="preserve">
IN PUT MAREIAL PROBLEM</t>
        </r>
      </text>
    </comment>
    <comment ref="AC60" authorId="2" shapeId="0" xr:uid="{48503086-D14A-481C-AD45-2C952AD741E9}">
      <text>
        <r>
          <rPr>
            <b/>
            <sz val="9"/>
            <color indexed="81"/>
            <rFont val="Tahoma"/>
            <family val="2"/>
          </rPr>
          <t>Gapl:</t>
        </r>
        <r>
          <rPr>
            <sz val="9"/>
            <color indexed="81"/>
            <rFont val="Tahoma"/>
            <family val="2"/>
          </rPr>
          <t xml:space="preserve">
Due To Rainfall</t>
        </r>
      </text>
    </comment>
    <comment ref="AI216" authorId="1" shapeId="0" xr:uid="{17C2040C-73A6-419C-9367-50110E503698}">
      <text>
        <r>
          <rPr>
            <b/>
            <sz val="9"/>
            <color indexed="81"/>
            <rFont val="Tahoma"/>
            <family val="2"/>
          </rPr>
          <t>GAPL:</t>
        </r>
        <r>
          <rPr>
            <sz val="9"/>
            <color indexed="81"/>
            <rFont val="Tahoma"/>
            <family val="2"/>
          </rPr>
          <t xml:space="preserve">
Chai Pe Charcha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Global</author>
  </authors>
  <commentList>
    <comment ref="L24" authorId="0" shapeId="0" xr:uid="{9DE35074-ADF4-4CF2-B8CC-A52E2FF0AB23}">
      <text>
        <r>
          <rPr>
            <b/>
            <sz val="9"/>
            <color indexed="81"/>
            <rFont val="Tahoma"/>
            <family val="2"/>
          </rPr>
          <t>Global:</t>
        </r>
        <r>
          <rPr>
            <sz val="9"/>
            <color indexed="81"/>
            <rFont val="Tahoma"/>
            <family val="2"/>
          </rPr>
          <t xml:space="preserve">
in put material problem  quality</t>
        </r>
      </text>
    </comment>
  </commentList>
</comments>
</file>

<file path=xl/sharedStrings.xml><?xml version="1.0" encoding="utf-8"?>
<sst xmlns="http://schemas.openxmlformats.org/spreadsheetml/2006/main" count="4785" uniqueCount="262">
  <si>
    <t>Produced Qty</t>
  </si>
  <si>
    <t>OVERALL EQUIPMENT EFFICIENCY (%)</t>
  </si>
  <si>
    <t>A x P x Q = OEE</t>
  </si>
  <si>
    <t>Machine Break Down</t>
  </si>
  <si>
    <t>No Material</t>
  </si>
  <si>
    <t>Quality Factor</t>
  </si>
  <si>
    <t>Availability Factor</t>
  </si>
  <si>
    <t>Target Qty</t>
  </si>
  <si>
    <t>Cycle Time</t>
  </si>
  <si>
    <t>No Power</t>
  </si>
  <si>
    <t>Performance Factor</t>
  </si>
  <si>
    <t>No Operator</t>
  </si>
  <si>
    <t>Produced Quantity</t>
  </si>
  <si>
    <t xml:space="preserve">Target Quantity </t>
  </si>
  <si>
    <t>Total Loss</t>
  </si>
  <si>
    <t>(P) Performance (%)</t>
  </si>
  <si>
    <t>Material/Heat Code :</t>
  </si>
  <si>
    <t>Hourly Target :</t>
  </si>
  <si>
    <t>Route Card Number</t>
  </si>
  <si>
    <t>Inspection</t>
  </si>
  <si>
    <t xml:space="preserve">    Available Time (minutes)  </t>
  </si>
  <si>
    <t>A</t>
  </si>
  <si>
    <t>P</t>
  </si>
  <si>
    <t>Q</t>
  </si>
  <si>
    <t>OEE=AxPxQ</t>
  </si>
  <si>
    <t>GLOBAL ALUMINIUM PVT. LTD.</t>
  </si>
  <si>
    <t>Date</t>
  </si>
  <si>
    <t>Machine Name/
Machine No.</t>
  </si>
  <si>
    <t>Part Name/
Section No.</t>
  </si>
  <si>
    <t>Customer Name</t>
  </si>
  <si>
    <t>Area/
Shed</t>
  </si>
  <si>
    <t>Overall Equipment Effectiveness (OEE)</t>
  </si>
  <si>
    <t>Shift
(A/B)</t>
  </si>
  <si>
    <t>Hourly Target</t>
  </si>
  <si>
    <t>Machine Start Time/
Shift Start</t>
  </si>
  <si>
    <t>Machine Shut down Time/
Shift End</t>
  </si>
  <si>
    <t>Total Ok Qty.</t>
  </si>
  <si>
    <t>Rework  Qty.</t>
  </si>
  <si>
    <t xml:space="preserve"> Reject Qty.</t>
  </si>
  <si>
    <t xml:space="preserve">Ok Qty            </t>
  </si>
  <si>
    <t>Development Trial</t>
  </si>
  <si>
    <t>Tool Change</t>
  </si>
  <si>
    <t>Tool 
Problem</t>
  </si>
  <si>
    <t>Cycle Time
(Sec)</t>
  </si>
  <si>
    <t>Formate No.: GAPL/MS/OEE/01</t>
  </si>
  <si>
    <t>Rev. No.: 00</t>
  </si>
  <si>
    <t>Rev. Date.: 20.05.2024</t>
  </si>
  <si>
    <t>(Q) Quality (%)</t>
  </si>
  <si>
    <t xml:space="preserve">Available Time - Loss Time (Min.)       </t>
  </si>
  <si>
    <t>G</t>
  </si>
  <si>
    <t>OPERATION NAME AND NO</t>
  </si>
  <si>
    <t>B</t>
  </si>
  <si>
    <t>100T</t>
  </si>
  <si>
    <t>CAM SLOT</t>
  </si>
  <si>
    <t>Material Movement</t>
  </si>
  <si>
    <t xml:space="preserve">(A)  Availability of Machine (%) </t>
  </si>
  <si>
    <t>Unplanned Down Time</t>
  </si>
  <si>
    <t>Planned Time</t>
  </si>
  <si>
    <t>Machine 
PM</t>
  </si>
  <si>
    <t>Dept.
Training</t>
  </si>
  <si>
    <t>Dinner/
Lunch</t>
  </si>
  <si>
    <t>5 'S'
Time</t>
  </si>
  <si>
    <t>Machine Setup Time</t>
  </si>
  <si>
    <t>Tool Broken</t>
  </si>
  <si>
    <t>Total
Time</t>
  </si>
  <si>
    <t>No Plan for Production</t>
  </si>
  <si>
    <t>Net Actual Machine Run Time in (Min)</t>
  </si>
  <si>
    <t>CUTTING</t>
  </si>
  <si>
    <t>OEE</t>
  </si>
  <si>
    <t>DATE</t>
  </si>
  <si>
    <t>2.07.2024</t>
  </si>
  <si>
    <t>Column1</t>
  </si>
  <si>
    <t>3.07.2024</t>
  </si>
  <si>
    <t>1.08.2024</t>
  </si>
  <si>
    <t>DAILY OEE TREND AUG-24 (01-08-2024 )</t>
  </si>
  <si>
    <t>OEE TREND JULY 2024</t>
  </si>
  <si>
    <t>Availability</t>
  </si>
  <si>
    <t>Performance</t>
  </si>
  <si>
    <t>Quality</t>
  </si>
  <si>
    <t>8.07.2024</t>
  </si>
  <si>
    <t>4.07.2024</t>
  </si>
  <si>
    <t>5.07.2024</t>
  </si>
  <si>
    <t>6.07.2024</t>
  </si>
  <si>
    <t>7.07.2024</t>
  </si>
  <si>
    <t>M/C Handover</t>
  </si>
  <si>
    <t xml:space="preserve">Note: Dinner/Lunch-30Min +  + 1s 2s 10 Min + mc handover 30 Min  = Total 70 Min
Available Time of 8.5 Hours Shift including above loss = (510-70 ) = 440 Min </t>
  </si>
  <si>
    <t>150T</t>
  </si>
  <si>
    <t>Webasto-L</t>
  </si>
  <si>
    <t>250T</t>
  </si>
  <si>
    <t>200T-2</t>
  </si>
  <si>
    <t>Reasons</t>
  </si>
  <si>
    <t>Time(min)</t>
  </si>
  <si>
    <t>%</t>
  </si>
  <si>
    <t>Pareto</t>
  </si>
  <si>
    <t>SC-1</t>
  </si>
  <si>
    <t>EMPLOYEE ID</t>
  </si>
  <si>
    <t>EMPLOYEE NAME</t>
  </si>
  <si>
    <t>LOCATION</t>
  </si>
  <si>
    <t>DEPARTMENT</t>
  </si>
  <si>
    <t>DOJ</t>
  </si>
  <si>
    <t>Chandan Yadav </t>
  </si>
  <si>
    <t>Unit2</t>
  </si>
  <si>
    <t>Machine Shop</t>
  </si>
  <si>
    <t>SUNIL PASWAN  </t>
  </si>
  <si>
    <t>Machine Shop - SPM</t>
  </si>
  <si>
    <t>Ashish Kumar Pradhan  </t>
  </si>
  <si>
    <t>Jaiprakash Pandey  </t>
  </si>
  <si>
    <t>Pramod Kumar Rao  </t>
  </si>
  <si>
    <t>Raju Kumar Rao  </t>
  </si>
  <si>
    <t>Palakonda Jammaraju  </t>
  </si>
  <si>
    <t>Jayprakash Narayan Mishra</t>
  </si>
  <si>
    <t>Chinmaya Nanda Pradhan</t>
  </si>
  <si>
    <t>Subhajit   Mallik</t>
  </si>
  <si>
    <t>Sangram Kesharee Sahu</t>
  </si>
  <si>
    <t>Soubhagya  Pradhan</t>
  </si>
  <si>
    <t>Niranjan  Biswal</t>
  </si>
  <si>
    <t>REMARK</t>
  </si>
  <si>
    <t>CNC VMC</t>
  </si>
  <si>
    <t>WITHOUT INFORMATION</t>
  </si>
  <si>
    <t>LEAVE</t>
  </si>
  <si>
    <t>RESIGNED</t>
  </si>
  <si>
    <t>DOUBLE CUTTING</t>
  </si>
  <si>
    <t>100T-2</t>
  </si>
  <si>
    <t xml:space="preserve">Other </t>
  </si>
  <si>
    <t>200T-1</t>
  </si>
  <si>
    <t>Webasto-R</t>
  </si>
  <si>
    <t>OP -10</t>
  </si>
  <si>
    <t>5T-6</t>
  </si>
  <si>
    <t>80T-4</t>
  </si>
  <si>
    <t>Shift Time</t>
  </si>
  <si>
    <t>Shift time in min</t>
  </si>
  <si>
    <t>Actual Run time in (Min)</t>
  </si>
  <si>
    <t xml:space="preserve">   </t>
  </si>
  <si>
    <t>Co Date</t>
  </si>
  <si>
    <t>Co No</t>
  </si>
  <si>
    <t>Press</t>
  </si>
  <si>
    <t>Section</t>
  </si>
  <si>
    <t>Order C/L</t>
  </si>
  <si>
    <t>Finish</t>
  </si>
  <si>
    <t>Alloy / Temper</t>
  </si>
  <si>
    <t>Order (Pcs)</t>
  </si>
  <si>
    <t>Balance Dispatch (kg)</t>
  </si>
  <si>
    <t>Status</t>
  </si>
  <si>
    <t>CO24Y-04566</t>
  </si>
  <si>
    <t>P7</t>
  </si>
  <si>
    <t>DORMAKABA INDIA PRIVATE LIMITED</t>
  </si>
  <si>
    <t>6060 -T6</t>
  </si>
  <si>
    <t>Fabrication</t>
  </si>
  <si>
    <t>CO24Y-04762</t>
  </si>
  <si>
    <t>CO24Y-05138</t>
  </si>
  <si>
    <t>P8</t>
  </si>
  <si>
    <t>Extrusion</t>
  </si>
  <si>
    <t>CO24Y-05320</t>
  </si>
  <si>
    <t>Ageing</t>
  </si>
  <si>
    <t>CO24Y-05135</t>
  </si>
  <si>
    <t>CO24Y-05415</t>
  </si>
  <si>
    <t>Anodizing</t>
  </si>
  <si>
    <t>CO24Y-05398</t>
  </si>
  <si>
    <t>FG</t>
  </si>
  <si>
    <t>CO24Y-05449</t>
  </si>
  <si>
    <t>CO24Y-05479</t>
  </si>
  <si>
    <t>CO24Y-05370</t>
  </si>
  <si>
    <t>CO24Y-05680</t>
  </si>
  <si>
    <t>QC</t>
  </si>
  <si>
    <t>CO24Y-05681</t>
  </si>
  <si>
    <t>CO24Y-05683</t>
  </si>
  <si>
    <t>CO24Y-05685</t>
  </si>
  <si>
    <t>TOTAL</t>
  </si>
  <si>
    <t xml:space="preserve">Material problem </t>
  </si>
  <si>
    <t>OP -20</t>
  </si>
  <si>
    <t>80T-3</t>
  </si>
  <si>
    <t>No air pressure</t>
  </si>
  <si>
    <t>5T-9</t>
  </si>
  <si>
    <t>EMP-ID</t>
  </si>
  <si>
    <t>Webasto</t>
  </si>
  <si>
    <t>NUMBER</t>
  </si>
  <si>
    <t>LANCING</t>
  </si>
  <si>
    <t>Disposal of Assets</t>
  </si>
  <si>
    <t>To ensure assets are disposed for competitive prices and disposals are authorized</t>
  </si>
  <si>
    <t>1. Competitive quotation not obtained resulting in inappropriate purchase decisions</t>
  </si>
  <si>
    <t>2. To ensure that Asset disposals are approved / authorized</t>
  </si>
  <si>
    <t>1. Assets to be scrapped and disposed off is identified by Plant maintenance department at Plant level and reviewed by Plant Head and CEO.</t>
  </si>
  <si>
    <t>2. Once approvals are obtained procurement HOD obtains minimum three quotations from the buyers and selects the buyer who offers highest price.</t>
  </si>
  <si>
    <t>3. Approvals are obtained from user department and MD before assets are demarcated from the department and then sold to approved vendors as per agreed rates.</t>
  </si>
  <si>
    <t>4. Manager - Finance will examine the supporting documentation to verify that the disposal is accurately reflected in the books and profit/loss is recognized appropriately and updates the FAR which is reviewed and approved by DGM Finance.</t>
  </si>
  <si>
    <t>Disposal  date</t>
  </si>
  <si>
    <t>Operator Error (Manual Punching)</t>
  </si>
  <si>
    <r>
      <t>Why:</t>
    </r>
    <r>
      <rPr>
        <sz val="10"/>
        <color rgb="FF000000"/>
        <rFont val="Times New Roman"/>
        <family val="1"/>
      </rPr>
      <t xml:space="preserve"> Operator misread the job drawing or work instruction.</t>
    </r>
  </si>
  <si>
    <r>
      <t>Root Cause:</t>
    </r>
    <r>
      <rPr>
        <sz val="10"/>
        <color rgb="FF000000"/>
        <rFont val="Times New Roman"/>
        <family val="1"/>
      </rPr>
      <t xml:space="preserve"> Lack of training or improper supervision; unclear or outdated job card.</t>
    </r>
  </si>
  <si>
    <t>✅ 2. Program Error (CNC/PLC-controlled punching)</t>
  </si>
  <si>
    <r>
      <t>Why:</t>
    </r>
    <r>
      <rPr>
        <sz val="10"/>
        <color rgb="FF000000"/>
        <rFont val="Times New Roman"/>
        <family val="1"/>
      </rPr>
      <t xml:space="preserve"> NC program or auto-punch sequence contains extra punch commands.</t>
    </r>
  </si>
  <si>
    <r>
      <t>Root Cause:</t>
    </r>
    <r>
      <rPr>
        <sz val="10"/>
        <color rgb="FF000000"/>
        <rFont val="Times New Roman"/>
        <family val="1"/>
      </rPr>
      <t xml:space="preserve"> Incorrect toolpath generated by CAM software or wrong revision uploaded to machine.</t>
    </r>
  </si>
  <si>
    <t>✅ 3. Duplicate Clamping or Jig Misalignment</t>
  </si>
  <si>
    <r>
      <t>Why:</t>
    </r>
    <r>
      <rPr>
        <sz val="10"/>
        <color rgb="FF000000"/>
        <rFont val="Times New Roman"/>
        <family val="1"/>
      </rPr>
      <t xml:space="preserve"> Part was loaded twice or incorrectly positioned, causing punch to repeat in unintended area.</t>
    </r>
  </si>
  <si>
    <r>
      <t>Root Cause:</t>
    </r>
    <r>
      <rPr>
        <sz val="10"/>
        <color rgb="FF000000"/>
        <rFont val="Times New Roman"/>
        <family val="1"/>
      </rPr>
      <t xml:space="preserve"> Worn-out or faulty jig/fixture; no poke-yoke in setup.</t>
    </r>
  </si>
  <si>
    <t>✅ 4. Wrong Drawing/Revision Used</t>
  </si>
  <si>
    <r>
      <t>Why:</t>
    </r>
    <r>
      <rPr>
        <sz val="10"/>
        <color rgb="FF000000"/>
        <rFont val="Times New Roman"/>
        <family val="1"/>
      </rPr>
      <t xml:space="preserve"> Old or incorrect version of drawing used for punching operation.</t>
    </r>
  </si>
  <si>
    <r>
      <t>Root Cause:</t>
    </r>
    <r>
      <rPr>
        <sz val="10"/>
        <color rgb="FF000000"/>
        <rFont val="Times New Roman"/>
        <family val="1"/>
      </rPr>
      <t xml:space="preserve"> Poor document control or communication gap between planning and shopfloor.</t>
    </r>
  </si>
  <si>
    <t>✅ 5. Machine Malfunction</t>
  </si>
  <si>
    <r>
      <t>Why:</t>
    </r>
    <r>
      <rPr>
        <sz val="10"/>
        <color rgb="FF000000"/>
        <rFont val="Times New Roman"/>
        <family val="1"/>
      </rPr>
      <t xml:space="preserve"> Punch head repeated the operation due to a mechanical or sensor fault.</t>
    </r>
  </si>
  <si>
    <r>
      <t>Root Cause:</t>
    </r>
    <r>
      <rPr>
        <sz val="10"/>
        <color rgb="FF000000"/>
        <rFont val="Times New Roman"/>
        <family val="1"/>
      </rPr>
      <t xml:space="preserve"> Stuck actuator, feedback signal error, or PLC malfunction.</t>
    </r>
  </si>
  <si>
    <t>✅ 6. No Final Inspection Before Next Process</t>
  </si>
  <si>
    <r>
      <t>Why:</t>
    </r>
    <r>
      <rPr>
        <sz val="10"/>
        <color rgb="FF000000"/>
        <rFont val="Times New Roman"/>
        <family val="1"/>
      </rPr>
      <t xml:space="preserve"> Defect went unnoticed and moved forward in the line.</t>
    </r>
  </si>
  <si>
    <r>
      <t>Root Cause:</t>
    </r>
    <r>
      <rPr>
        <sz val="10"/>
        <color rgb="FF000000"/>
        <rFont val="Times New Roman"/>
        <family val="1"/>
      </rPr>
      <t xml:space="preserve"> Missing in-process inspection or lack of standard checklist.</t>
    </r>
  </si>
  <si>
    <t>🎯 Corrective Actions</t>
  </si>
  <si>
    <t>Retrain operators on job-specific punching steps.</t>
  </si>
  <si>
    <t>Verify and lock latest drawing revisions.</t>
  </si>
  <si>
    <t>Implement program verification step before operation.</t>
  </si>
  <si>
    <t>Calibrate and maintain punching equipment regularly.</t>
  </si>
  <si>
    <t>Add visual punch count guides or foolproofing (e.g., punch-counter sensors).</t>
  </si>
  <si>
    <r>
      <t xml:space="preserve">Train operators for </t>
    </r>
    <r>
      <rPr>
        <b/>
        <sz val="10"/>
        <color rgb="FF000000"/>
        <rFont val="Times New Roman"/>
        <family val="1"/>
      </rPr>
      <t>manual chamfering skill</t>
    </r>
  </si>
  <si>
    <r>
      <t xml:space="preserve">Provide </t>
    </r>
    <r>
      <rPr>
        <b/>
        <sz val="10"/>
        <color rgb="FF000000"/>
        <rFont val="Times New Roman"/>
        <family val="1"/>
      </rPr>
      <t>proper tools and jigs</t>
    </r>
  </si>
  <si>
    <r>
      <t xml:space="preserve">Use </t>
    </r>
    <r>
      <rPr>
        <b/>
        <sz val="10"/>
        <color rgb="FF000000"/>
        <rFont val="Times New Roman"/>
        <family val="1"/>
      </rPr>
      <t>chamfer templates</t>
    </r>
    <r>
      <rPr>
        <sz val="10"/>
        <color rgb="FF000000"/>
        <rFont val="Times New Roman"/>
        <family val="1"/>
      </rPr>
      <t xml:space="preserve"> or </t>
    </r>
    <r>
      <rPr>
        <b/>
        <sz val="10"/>
        <color rgb="FF000000"/>
        <rFont val="Times New Roman"/>
        <family val="1"/>
      </rPr>
      <t>visual aid</t>
    </r>
    <r>
      <rPr>
        <sz val="10"/>
        <color rgb="FF000000"/>
        <rFont val="Times New Roman"/>
        <family val="1"/>
      </rPr>
      <t xml:space="preserve"> for consistency</t>
    </r>
  </si>
  <si>
    <r>
      <t xml:space="preserve">Include chamfer in </t>
    </r>
    <r>
      <rPr>
        <b/>
        <sz val="10"/>
        <color rgb="FF000000"/>
        <rFont val="Times New Roman"/>
        <family val="1"/>
      </rPr>
      <t>in-process inspection checklist</t>
    </r>
  </si>
  <si>
    <r>
      <t xml:space="preserve">Add clear </t>
    </r>
    <r>
      <rPr>
        <b/>
        <sz val="10"/>
        <color rgb="FF000000"/>
        <rFont val="Times New Roman"/>
        <family val="1"/>
      </rPr>
      <t>WI/SOP for manual chamfering</t>
    </r>
  </si>
  <si>
    <t>OP-10</t>
  </si>
  <si>
    <t>OEE TREND JULY 2025</t>
  </si>
  <si>
    <t>CNC</t>
  </si>
  <si>
    <t>GCS</t>
  </si>
  <si>
    <t>WEBASTO</t>
  </si>
  <si>
    <t>DEPT</t>
  </si>
  <si>
    <t>NO.</t>
  </si>
  <si>
    <t>CEO SIR</t>
  </si>
  <si>
    <t>DILPI SIR</t>
  </si>
  <si>
    <t>VIJENDRA SIR</t>
  </si>
  <si>
    <t>IT ADMIN</t>
  </si>
  <si>
    <t>HR ADMIN</t>
  </si>
  <si>
    <t>SECURITY GATE - 1</t>
  </si>
  <si>
    <t>SECURITY GATE - 2</t>
  </si>
  <si>
    <t>STORE GROUND</t>
  </si>
  <si>
    <t>PCD TEAM</t>
  </si>
  <si>
    <t>ELEC &amp; MAIN</t>
  </si>
  <si>
    <t>OLD TOOL ROOM</t>
  </si>
  <si>
    <t>QUALITY D SHED</t>
  </si>
  <si>
    <t xml:space="preserve">CONFRENCE ROOM </t>
  </si>
  <si>
    <t>MAIN STORE</t>
  </si>
  <si>
    <t>ANODIZING</t>
  </si>
  <si>
    <t>PLANNING D SHED</t>
  </si>
  <si>
    <t>RAVINDRA BAISHALA</t>
  </si>
  <si>
    <t>EXPORT PACKING</t>
  </si>
  <si>
    <t>ISWAR / CIVIL</t>
  </si>
  <si>
    <t>P-11 SURESH</t>
  </si>
  <si>
    <t>M/C SHOPE / E - SHED</t>
  </si>
  <si>
    <t>M/C SHOP NPD</t>
  </si>
  <si>
    <t>POWDER COATING</t>
  </si>
  <si>
    <t>IT B- SHED</t>
  </si>
  <si>
    <t>DESIGN</t>
  </si>
  <si>
    <t>PACKING C-SHED</t>
  </si>
  <si>
    <t>RAKESH SIR</t>
  </si>
  <si>
    <t>FOUNDARY</t>
  </si>
  <si>
    <t>PACKING &amp; BILLING</t>
  </si>
  <si>
    <t>MACHINE SHOP SHED - G</t>
  </si>
  <si>
    <t xml:space="preserve">  </t>
  </si>
  <si>
    <t>``</t>
  </si>
  <si>
    <t>C</t>
  </si>
  <si>
    <t>Machine Run time in (Min)</t>
  </si>
  <si>
    <t>Prod plan Run Time in (Min)</t>
  </si>
  <si>
    <t>EMP NAME</t>
  </si>
  <si>
    <r>
      <t xml:space="preserve">Note: 
Dinner/Lunch-30Min +  
+ 1s 2s 10 Min 
+ mc handover 30 Min  = 
</t>
    </r>
    <r>
      <rPr>
        <b/>
        <sz val="10"/>
        <color rgb="FF0070C0"/>
        <rFont val="Times New Roman"/>
        <family val="1"/>
      </rPr>
      <t>Total 70 Min</t>
    </r>
    <r>
      <rPr>
        <b/>
        <sz val="10"/>
        <color rgb="FF000000"/>
        <rFont val="Times New Roman"/>
        <family val="1"/>
      </rPr>
      <t xml:space="preserve">
Available Time of 8.5 Hours Shift including above loss = </t>
    </r>
    <r>
      <rPr>
        <b/>
        <sz val="10"/>
        <color rgb="FF0070C0"/>
        <rFont val="Times New Roman"/>
        <family val="1"/>
      </rPr>
      <t xml:space="preserve">(510-70 ) = </t>
    </r>
    <r>
      <rPr>
        <b/>
        <sz val="10"/>
        <color rgb="FF00B050"/>
        <rFont val="Times New Roman"/>
        <family val="1"/>
      </rPr>
      <t xml:space="preserve">440 Min </t>
    </r>
  </si>
  <si>
    <t>Overall Equipment 
Effectiveness (OEE)</t>
  </si>
  <si>
    <t>OEE=
AxPxQ</t>
  </si>
  <si>
    <t>Part Name/ Section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</si>
</sst>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hh]:mm"/>
    <numFmt numFmtId="165" formatCode="d/mm/yy;@"/>
    <numFmt numFmtId="166" formatCode="0.0%"/>
  </numFmts>
  <fonts count="47" x14ac:knownFonts="1">
    <font>
      <sz val="10"/>
      <color rgb="FF000000"/>
      <name val="Times New Roman"/>
      <charset val="204"/>
    </font>
    <font>
      <sz val="10"/>
      <color rgb="FF231F20"/>
      <name val="Cambria"/>
      <family val="1"/>
      <scheme val="major"/>
    </font>
    <font>
      <sz val="8"/>
      <color rgb="FF231F20"/>
      <name val="Cambria"/>
      <family val="1"/>
      <scheme val="major"/>
    </font>
    <font>
      <b/>
      <sz val="8"/>
      <name val="Cambria"/>
      <family val="1"/>
      <scheme val="major"/>
    </font>
    <font>
      <b/>
      <sz val="8"/>
      <color rgb="FF231F20"/>
      <name val="Cambria"/>
      <family val="1"/>
      <scheme val="major"/>
    </font>
    <font>
      <b/>
      <sz val="10"/>
      <color rgb="FF231F20"/>
      <name val="Cambria"/>
      <family val="1"/>
      <scheme val="major"/>
    </font>
    <font>
      <b/>
      <sz val="10"/>
      <color rgb="FF000000"/>
      <name val="Cambria"/>
      <family val="1"/>
      <scheme val="major"/>
    </font>
    <font>
      <b/>
      <sz val="9"/>
      <color rgb="FF231F20"/>
      <name val="Cambria"/>
      <family val="1"/>
      <scheme val="maj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6"/>
      <color rgb="FF231F20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libri"/>
      <family val="2"/>
      <scheme val="minor"/>
    </font>
    <font>
      <b/>
      <sz val="24"/>
      <color rgb="FF231F2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2"/>
      <color rgb="FF222222"/>
      <name val="Times New Roman"/>
      <family val="1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sz val="10"/>
      <color rgb="FF000000"/>
      <name val="Tahoma"/>
      <family val="2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3.5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6"/>
      <color rgb="FF000000"/>
      <name val="Times New Roman"/>
      <family val="1"/>
    </font>
    <font>
      <sz val="8"/>
      <name val="Times New Roman"/>
      <family val="1"/>
    </font>
    <font>
      <b/>
      <sz val="11"/>
      <color rgb="FF231F20"/>
      <name val="Cambria"/>
      <family val="1"/>
      <scheme val="major"/>
    </font>
    <font>
      <b/>
      <sz val="12"/>
      <color rgb="FF231F20"/>
      <name val="Cambria"/>
      <family val="1"/>
      <scheme val="major"/>
    </font>
    <font>
      <b/>
      <sz val="14"/>
      <color rgb="FF231F20"/>
      <name val="Cambria"/>
      <family val="1"/>
      <scheme val="major"/>
    </font>
    <font>
      <b/>
      <sz val="14"/>
      <name val="Cambria"/>
      <family val="1"/>
      <scheme val="major"/>
    </font>
    <font>
      <b/>
      <sz val="16"/>
      <name val="Cambria"/>
      <family val="1"/>
      <scheme val="major"/>
    </font>
    <font>
      <b/>
      <sz val="16"/>
      <color rgb="FF000000"/>
      <name val="Cambria"/>
      <family val="1"/>
      <scheme val="major"/>
    </font>
    <font>
      <b/>
      <sz val="10"/>
      <color rgb="FF00B050"/>
      <name val="Times New Roman"/>
      <family val="1"/>
    </font>
    <font>
      <b/>
      <sz val="10"/>
      <color rgb="FF0070C0"/>
      <name val="Times New Roman"/>
      <family val="1"/>
    </font>
    <font>
      <b/>
      <sz val="12"/>
      <name val="Cambria"/>
      <family val="1"/>
      <scheme val="major"/>
    </font>
    <font>
      <b/>
      <sz val="12"/>
      <color rgb="FF000000"/>
      <name val="Cambria"/>
      <family val="1"/>
      <scheme val="major"/>
    </font>
    <font>
      <b/>
      <sz val="11"/>
      <color rgb="FF000000"/>
      <name val="Cambria"/>
      <family val="1"/>
      <scheme val="major"/>
    </font>
    <font>
      <b/>
      <sz val="9"/>
      <color rgb="FF000000"/>
      <name val="Cambria"/>
      <family val="1"/>
      <scheme val="major"/>
    </font>
    <font>
      <b/>
      <sz val="9"/>
      <name val="Cambria"/>
      <family val="1"/>
      <scheme val="maj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23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top"/>
    </xf>
    <xf numFmtId="0" fontId="4" fillId="12" borderId="8" xfId="0" applyFont="1" applyFill="1" applyBorder="1" applyAlignment="1">
      <alignment horizontal="center" vertical="center" wrapText="1"/>
    </xf>
    <xf numFmtId="0" fontId="0" fillId="12" borderId="0" xfId="0" applyFill="1" applyAlignment="1">
      <alignment horizontal="center" vertical="center"/>
    </xf>
    <xf numFmtId="0" fontId="4" fillId="13" borderId="8" xfId="0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0" fillId="5" borderId="0" xfId="0" applyFill="1" applyAlignment="1">
      <alignment horizontal="left" vertical="top"/>
    </xf>
    <xf numFmtId="0" fontId="0" fillId="11" borderId="0" xfId="0" applyFill="1" applyAlignment="1">
      <alignment horizontal="left" vertical="top"/>
    </xf>
    <xf numFmtId="0" fontId="0" fillId="7" borderId="0" xfId="0" applyFill="1" applyAlignment="1">
      <alignment horizontal="left" vertical="top"/>
    </xf>
    <xf numFmtId="0" fontId="0" fillId="14" borderId="8" xfId="0" applyFill="1" applyBorder="1" applyAlignment="1">
      <alignment horizontal="center" vertical="top"/>
    </xf>
    <xf numFmtId="0" fontId="0" fillId="14" borderId="0" xfId="0" applyFill="1" applyAlignment="1">
      <alignment horizontal="left" vertical="top"/>
    </xf>
    <xf numFmtId="0" fontId="0" fillId="15" borderId="0" xfId="0" applyFill="1" applyAlignment="1">
      <alignment horizontal="left" vertical="top"/>
    </xf>
    <xf numFmtId="0" fontId="5" fillId="11" borderId="8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 applyProtection="1">
      <alignment horizontal="center" vertical="center" wrapText="1"/>
      <protection locked="0"/>
    </xf>
    <xf numFmtId="0" fontId="9" fillId="0" borderId="8" xfId="0" applyFont="1" applyBorder="1" applyAlignment="1" applyProtection="1">
      <alignment horizontal="center" vertical="center" wrapText="1"/>
      <protection locked="0"/>
    </xf>
    <xf numFmtId="0" fontId="9" fillId="8" borderId="8" xfId="0" applyFont="1" applyFill="1" applyBorder="1" applyAlignment="1" applyProtection="1">
      <alignment horizontal="center" vertical="center" wrapText="1"/>
      <protection locked="0"/>
    </xf>
    <xf numFmtId="0" fontId="9" fillId="10" borderId="8" xfId="0" applyFont="1" applyFill="1" applyBorder="1" applyAlignment="1" applyProtection="1">
      <alignment horizontal="center" vertical="center" wrapText="1"/>
      <protection locked="0"/>
    </xf>
    <xf numFmtId="0" fontId="0" fillId="2" borderId="8" xfId="0" applyFill="1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0" fillId="8" borderId="8" xfId="0" applyFill="1" applyBorder="1" applyAlignment="1" applyProtection="1">
      <alignment horizontal="center" vertical="center" wrapText="1"/>
      <protection locked="0"/>
    </xf>
    <xf numFmtId="0" fontId="0" fillId="10" borderId="8" xfId="0" applyFill="1" applyBorder="1" applyAlignment="1" applyProtection="1">
      <alignment horizontal="center" vertical="center" wrapText="1"/>
      <protection locked="0"/>
    </xf>
    <xf numFmtId="0" fontId="0" fillId="2" borderId="8" xfId="0" applyFill="1" applyBorder="1" applyAlignment="1" applyProtection="1">
      <alignment horizontal="center" vertical="top" wrapText="1"/>
      <protection locked="0"/>
    </xf>
    <xf numFmtId="0" fontId="0" fillId="0" borderId="8" xfId="0" applyBorder="1" applyAlignment="1" applyProtection="1">
      <alignment horizontal="center" vertical="top" wrapText="1"/>
      <protection locked="0"/>
    </xf>
    <xf numFmtId="0" fontId="9" fillId="0" borderId="8" xfId="0" applyFont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/>
    </xf>
    <xf numFmtId="1" fontId="1" fillId="2" borderId="8" xfId="0" applyNumberFormat="1" applyFont="1" applyFill="1" applyBorder="1" applyAlignment="1">
      <alignment horizontal="center" vertical="center" shrinkToFit="1"/>
    </xf>
    <xf numFmtId="1" fontId="9" fillId="2" borderId="8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 applyProtection="1">
      <alignment horizontal="center" vertical="center" shrinkToFit="1"/>
      <protection locked="0"/>
    </xf>
    <xf numFmtId="20" fontId="9" fillId="2" borderId="8" xfId="0" applyNumberFormat="1" applyFont="1" applyFill="1" applyBorder="1" applyAlignment="1" applyProtection="1">
      <alignment horizontal="center" vertical="center"/>
      <protection locked="0"/>
    </xf>
    <xf numFmtId="164" fontId="13" fillId="2" borderId="8" xfId="0" applyNumberFormat="1" applyFont="1" applyFill="1" applyBorder="1" applyAlignment="1">
      <alignment horizontal="center" vertical="center"/>
    </xf>
    <xf numFmtId="14" fontId="2" fillId="2" borderId="8" xfId="0" applyNumberFormat="1" applyFont="1" applyFill="1" applyBorder="1" applyAlignment="1" applyProtection="1">
      <alignment horizontal="center" vertical="center" shrinkToFit="1"/>
      <protection locked="0"/>
    </xf>
    <xf numFmtId="0" fontId="7" fillId="2" borderId="8" xfId="0" applyFont="1" applyFill="1" applyBorder="1" applyAlignment="1" applyProtection="1">
      <alignment horizontal="center" vertical="center" wrapText="1"/>
      <protection locked="0"/>
    </xf>
    <xf numFmtId="20" fontId="7" fillId="2" borderId="8" xfId="0" applyNumberFormat="1" applyFont="1" applyFill="1" applyBorder="1" applyAlignment="1" applyProtection="1">
      <alignment horizontal="center" vertical="center" wrapText="1"/>
      <protection locked="0"/>
    </xf>
    <xf numFmtId="1" fontId="13" fillId="2" borderId="8" xfId="0" applyNumberFormat="1" applyFont="1" applyFill="1" applyBorder="1" applyAlignment="1">
      <alignment horizontal="center" vertical="center"/>
    </xf>
    <xf numFmtId="9" fontId="9" fillId="0" borderId="8" xfId="1" applyFont="1" applyFill="1" applyBorder="1" applyAlignment="1" applyProtection="1">
      <alignment horizontal="center" vertical="center" wrapText="1"/>
    </xf>
    <xf numFmtId="9" fontId="0" fillId="0" borderId="8" xfId="1" applyFont="1" applyFill="1" applyBorder="1" applyAlignment="1" applyProtection="1">
      <alignment horizontal="center" vertical="center" wrapText="1"/>
    </xf>
    <xf numFmtId="9" fontId="5" fillId="7" borderId="13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top"/>
    </xf>
    <xf numFmtId="9" fontId="0" fillId="0" borderId="0" xfId="1" applyFont="1" applyFill="1" applyBorder="1" applyAlignment="1">
      <alignment horizontal="left" vertical="top"/>
    </xf>
    <xf numFmtId="9" fontId="0" fillId="0" borderId="0" xfId="0" applyNumberFormat="1" applyAlignment="1">
      <alignment horizontal="left" vertical="top"/>
    </xf>
    <xf numFmtId="10" fontId="0" fillId="0" borderId="0" xfId="0" applyNumberFormat="1" applyAlignment="1">
      <alignment horizontal="left" vertical="top"/>
    </xf>
    <xf numFmtId="0" fontId="18" fillId="0" borderId="0" xfId="0" applyFont="1" applyAlignment="1">
      <alignment horizontal="left" vertical="top"/>
    </xf>
    <xf numFmtId="165" fontId="1" fillId="8" borderId="8" xfId="0" applyNumberFormat="1" applyFont="1" applyFill="1" applyBorder="1" applyAlignment="1" applyProtection="1">
      <alignment horizontal="center" vertical="center" shrinkToFit="1"/>
      <protection locked="0"/>
    </xf>
    <xf numFmtId="0" fontId="19" fillId="0" borderId="0" xfId="0" applyFont="1" applyAlignment="1">
      <alignment horizontal="left" vertical="top"/>
    </xf>
    <xf numFmtId="14" fontId="1" fillId="2" borderId="8" xfId="0" applyNumberFormat="1" applyFont="1" applyFill="1" applyBorder="1" applyAlignment="1" applyProtection="1">
      <alignment horizontal="center" vertical="center" shrinkToFit="1"/>
      <protection locked="0"/>
    </xf>
    <xf numFmtId="1" fontId="1" fillId="2" borderId="8" xfId="0" applyNumberFormat="1" applyFont="1" applyFill="1" applyBorder="1" applyAlignment="1" applyProtection="1">
      <alignment horizontal="center" vertical="center" shrinkToFit="1"/>
      <protection locked="0"/>
    </xf>
    <xf numFmtId="0" fontId="5" fillId="2" borderId="8" xfId="0" applyFont="1" applyFill="1" applyBorder="1" applyAlignment="1">
      <alignment vertical="center" wrapText="1"/>
    </xf>
    <xf numFmtId="0" fontId="20" fillId="2" borderId="8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9" fontId="0" fillId="2" borderId="8" xfId="2" applyFont="1" applyFill="1" applyBorder="1" applyAlignment="1">
      <alignment horizontal="center"/>
    </xf>
    <xf numFmtId="9" fontId="0" fillId="2" borderId="8" xfId="0" applyNumberForma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16" borderId="8" xfId="0" applyFont="1" applyFill="1" applyBorder="1" applyAlignment="1">
      <alignment horizontal="center" vertical="center" wrapText="1"/>
    </xf>
    <xf numFmtId="0" fontId="12" fillId="17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22" fillId="10" borderId="8" xfId="0" applyFont="1" applyFill="1" applyBorder="1" applyAlignment="1">
      <alignment horizontal="left" wrapText="1"/>
    </xf>
    <xf numFmtId="0" fontId="22" fillId="0" borderId="8" xfId="0" applyFont="1" applyBorder="1" applyAlignment="1">
      <alignment horizontal="left" wrapText="1"/>
    </xf>
    <xf numFmtId="15" fontId="22" fillId="0" borderId="8" xfId="0" applyNumberFormat="1" applyFont="1" applyBorder="1" applyAlignment="1">
      <alignment horizontal="left" wrapText="1"/>
    </xf>
    <xf numFmtId="0" fontId="9" fillId="0" borderId="8" xfId="0" applyFont="1" applyBorder="1" applyAlignment="1">
      <alignment horizontal="left" vertical="top"/>
    </xf>
    <xf numFmtId="0" fontId="9" fillId="8" borderId="8" xfId="0" applyFont="1" applyFill="1" applyBorder="1" applyAlignment="1">
      <alignment horizontal="center" vertical="center"/>
    </xf>
    <xf numFmtId="0" fontId="0" fillId="8" borderId="8" xfId="0" applyFill="1" applyBorder="1" applyAlignment="1">
      <alignment horizontal="left" vertical="top"/>
    </xf>
    <xf numFmtId="0" fontId="21" fillId="0" borderId="8" xfId="0" applyFont="1" applyBorder="1" applyAlignment="1">
      <alignment horizontal="center" vertical="center" wrapText="1"/>
    </xf>
    <xf numFmtId="0" fontId="23" fillId="0" borderId="0" xfId="0" applyFont="1" applyAlignment="1">
      <alignment horizontal="left" vertical="top"/>
    </xf>
    <xf numFmtId="0" fontId="24" fillId="19" borderId="8" xfId="0" applyFont="1" applyFill="1" applyBorder="1" applyAlignment="1">
      <alignment horizontal="center" vertical="center" wrapText="1"/>
    </xf>
    <xf numFmtId="0" fontId="24" fillId="19" borderId="7" xfId="0" applyFont="1" applyFill="1" applyBorder="1" applyAlignment="1">
      <alignment horizontal="center" vertical="center" wrapText="1"/>
    </xf>
    <xf numFmtId="0" fontId="24" fillId="20" borderId="7" xfId="0" applyFont="1" applyFill="1" applyBorder="1" applyAlignment="1">
      <alignment horizontal="center" vertical="center" wrapText="1"/>
    </xf>
    <xf numFmtId="0" fontId="25" fillId="8" borderId="7" xfId="0" applyFont="1" applyFill="1" applyBorder="1" applyAlignment="1">
      <alignment horizontal="center" vertical="center" wrapText="1"/>
    </xf>
    <xf numFmtId="15" fontId="22" fillId="18" borderId="13" xfId="0" applyNumberFormat="1" applyFont="1" applyFill="1" applyBorder="1" applyAlignment="1">
      <alignment horizontal="center" vertical="center" wrapText="1"/>
    </xf>
    <xf numFmtId="0" fontId="22" fillId="18" borderId="10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14" fontId="1" fillId="8" borderId="8" xfId="0" applyNumberFormat="1" applyFont="1" applyFill="1" applyBorder="1" applyAlignment="1" applyProtection="1">
      <alignment horizontal="center" vertical="center" shrinkToFit="1"/>
      <protection locked="0"/>
    </xf>
    <xf numFmtId="14" fontId="1" fillId="9" borderId="8" xfId="0" applyNumberFormat="1" applyFont="1" applyFill="1" applyBorder="1" applyAlignment="1" applyProtection="1">
      <alignment horizontal="center" vertical="center" shrinkToFit="1"/>
      <protection locked="0"/>
    </xf>
    <xf numFmtId="14" fontId="1" fillId="7" borderId="8" xfId="0" applyNumberFormat="1" applyFont="1" applyFill="1" applyBorder="1" applyAlignment="1" applyProtection="1">
      <alignment horizontal="center" vertical="center" shrinkToFit="1"/>
      <protection locked="0"/>
    </xf>
    <xf numFmtId="14" fontId="1" fillId="15" borderId="8" xfId="0" applyNumberFormat="1" applyFont="1" applyFill="1" applyBorder="1" applyAlignment="1" applyProtection="1">
      <alignment horizontal="center" vertical="center" shrinkToFit="1"/>
      <protection locked="0"/>
    </xf>
    <xf numFmtId="14" fontId="1" fillId="14" borderId="8" xfId="0" applyNumberFormat="1" applyFont="1" applyFill="1" applyBorder="1" applyAlignment="1" applyProtection="1">
      <alignment horizontal="center" vertical="center" shrinkToFit="1"/>
      <protection locked="0"/>
    </xf>
    <xf numFmtId="165" fontId="1" fillId="7" borderId="8" xfId="0" applyNumberFormat="1" applyFont="1" applyFill="1" applyBorder="1" applyAlignment="1" applyProtection="1">
      <alignment horizontal="center" vertical="center" shrinkToFit="1"/>
      <protection locked="0"/>
    </xf>
    <xf numFmtId="0" fontId="0" fillId="0" borderId="8" xfId="0" applyBorder="1" applyAlignment="1">
      <alignment horizontal="left" vertical="top"/>
    </xf>
    <xf numFmtId="0" fontId="0" fillId="13" borderId="8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4" borderId="8" xfId="0" applyFill="1" applyBorder="1" applyAlignment="1">
      <alignment horizontal="left" vertical="top"/>
    </xf>
    <xf numFmtId="14" fontId="1" fillId="21" borderId="8" xfId="0" applyNumberFormat="1" applyFont="1" applyFill="1" applyBorder="1" applyAlignment="1" applyProtection="1">
      <alignment horizontal="center" vertical="center" shrinkToFit="1"/>
      <protection locked="0"/>
    </xf>
    <xf numFmtId="14" fontId="1" fillId="4" borderId="8" xfId="0" applyNumberFormat="1" applyFont="1" applyFill="1" applyBorder="1" applyAlignment="1" applyProtection="1">
      <alignment horizontal="center" vertical="center" shrinkToFit="1"/>
      <protection locked="0"/>
    </xf>
    <xf numFmtId="14" fontId="1" fillId="16" borderId="8" xfId="0" applyNumberFormat="1" applyFont="1" applyFill="1" applyBorder="1" applyAlignment="1" applyProtection="1">
      <alignment horizontal="center" vertical="center" shrinkToFit="1"/>
      <protection locked="0"/>
    </xf>
    <xf numFmtId="0" fontId="0" fillId="18" borderId="20" xfId="0" applyFill="1" applyBorder="1" applyAlignment="1">
      <alignment horizontal="left" vertical="top" wrapText="1"/>
    </xf>
    <xf numFmtId="0" fontId="0" fillId="18" borderId="21" xfId="0" applyFill="1" applyBorder="1" applyAlignment="1">
      <alignment horizontal="left" vertical="top" wrapText="1"/>
    </xf>
    <xf numFmtId="0" fontId="26" fillId="18" borderId="19" xfId="0" applyFont="1" applyFill="1" applyBorder="1" applyAlignment="1">
      <alignment horizontal="left" vertical="top" wrapText="1"/>
    </xf>
    <xf numFmtId="0" fontId="26" fillId="18" borderId="20" xfId="0" applyFont="1" applyFill="1" applyBorder="1" applyAlignment="1">
      <alignment horizontal="left" vertical="top" wrapText="1"/>
    </xf>
    <xf numFmtId="0" fontId="26" fillId="18" borderId="21" xfId="0" applyFont="1" applyFill="1" applyBorder="1" applyAlignment="1">
      <alignment horizontal="left" vertical="top" wrapText="1"/>
    </xf>
    <xf numFmtId="0" fontId="27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28" fillId="0" borderId="0" xfId="0" applyFont="1" applyAlignment="1">
      <alignment horizontal="left" vertical="center" indent="1"/>
    </xf>
    <xf numFmtId="0" fontId="29" fillId="0" borderId="0" xfId="0" applyFont="1" applyAlignment="1">
      <alignment horizontal="left" vertical="center"/>
    </xf>
    <xf numFmtId="0" fontId="0" fillId="0" borderId="0" xfId="0" applyAlignment="1">
      <alignment horizontal="center" vertical="top"/>
    </xf>
    <xf numFmtId="0" fontId="30" fillId="0" borderId="8" xfId="0" applyFont="1" applyBorder="1" applyAlignment="1">
      <alignment horizontal="center" vertical="top"/>
    </xf>
    <xf numFmtId="0" fontId="31" fillId="0" borderId="8" xfId="0" applyFont="1" applyBorder="1" applyAlignment="1">
      <alignment horizontal="center" vertical="top"/>
    </xf>
    <xf numFmtId="0" fontId="32" fillId="0" borderId="22" xfId="0" applyFont="1" applyBorder="1" applyAlignment="1">
      <alignment horizontal="left" vertical="top"/>
    </xf>
    <xf numFmtId="0" fontId="20" fillId="2" borderId="7" xfId="0" applyFont="1" applyFill="1" applyBorder="1" applyAlignment="1">
      <alignment horizontal="center"/>
    </xf>
    <xf numFmtId="10" fontId="5" fillId="7" borderId="13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left" vertical="top"/>
    </xf>
    <xf numFmtId="14" fontId="1" fillId="22" borderId="8" xfId="0" applyNumberFormat="1" applyFont="1" applyFill="1" applyBorder="1" applyAlignment="1" applyProtection="1">
      <alignment horizontal="center" vertical="center" shrinkToFit="1"/>
      <protection locked="0"/>
    </xf>
    <xf numFmtId="14" fontId="1" fillId="6" borderId="8" xfId="0" applyNumberFormat="1" applyFont="1" applyFill="1" applyBorder="1" applyAlignment="1" applyProtection="1">
      <alignment horizontal="center" vertical="center" shrinkToFit="1"/>
      <protection locked="0"/>
    </xf>
    <xf numFmtId="165" fontId="1" fillId="14" borderId="8" xfId="0" applyNumberFormat="1" applyFont="1" applyFill="1" applyBorder="1" applyAlignment="1" applyProtection="1">
      <alignment horizontal="center" vertical="center" shrinkToFit="1"/>
      <protection locked="0"/>
    </xf>
    <xf numFmtId="0" fontId="35" fillId="4" borderId="8" xfId="0" applyFont="1" applyFill="1" applyBorder="1" applyAlignment="1">
      <alignment horizontal="center" vertical="center" wrapText="1"/>
    </xf>
    <xf numFmtId="0" fontId="36" fillId="4" borderId="8" xfId="0" applyFont="1" applyFill="1" applyBorder="1" applyAlignment="1">
      <alignment horizontal="center" vertical="center" wrapText="1"/>
    </xf>
    <xf numFmtId="0" fontId="36" fillId="4" borderId="13" xfId="0" applyFont="1" applyFill="1" applyBorder="1" applyAlignment="1">
      <alignment horizontal="center" vertical="center" wrapText="1"/>
    </xf>
    <xf numFmtId="0" fontId="35" fillId="16" borderId="8" xfId="0" applyFont="1" applyFill="1" applyBorder="1" applyAlignment="1">
      <alignment horizontal="center" vertical="center" wrapText="1"/>
    </xf>
    <xf numFmtId="0" fontId="35" fillId="11" borderId="8" xfId="0" applyFont="1" applyFill="1" applyBorder="1" applyAlignment="1">
      <alignment horizontal="center" vertical="center" wrapText="1"/>
    </xf>
    <xf numFmtId="0" fontId="35" fillId="16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left" vertical="center" wrapText="1"/>
    </xf>
    <xf numFmtId="0" fontId="8" fillId="3" borderId="14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8" fillId="3" borderId="15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3" borderId="10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wrapText="1"/>
    </xf>
    <xf numFmtId="0" fontId="6" fillId="3" borderId="6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top" wrapText="1"/>
    </xf>
    <xf numFmtId="0" fontId="6" fillId="3" borderId="6" xfId="0" applyFont="1" applyFill="1" applyBorder="1" applyAlignment="1">
      <alignment horizontal="center" vertical="top" wrapText="1"/>
    </xf>
    <xf numFmtId="0" fontId="6" fillId="3" borderId="7" xfId="0" applyFont="1" applyFill="1" applyBorder="1" applyAlignment="1">
      <alignment horizontal="center" vertical="top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166" fontId="6" fillId="3" borderId="8" xfId="0" applyNumberFormat="1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5" fillId="16" borderId="8" xfId="0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17" borderId="8" xfId="0" applyFont="1" applyFill="1" applyBorder="1" applyAlignment="1">
      <alignment horizontal="center" vertical="center" wrapText="1"/>
    </xf>
    <xf numFmtId="0" fontId="12" fillId="17" borderId="8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 wrapText="1"/>
    </xf>
    <xf numFmtId="0" fontId="39" fillId="7" borderId="8" xfId="0" applyFont="1" applyFill="1" applyBorder="1" applyAlignment="1">
      <alignment horizontal="center" vertical="center" wrapText="1"/>
    </xf>
    <xf numFmtId="0" fontId="36" fillId="4" borderId="11" xfId="0" applyFont="1" applyFill="1" applyBorder="1" applyAlignment="1">
      <alignment horizontal="center" vertical="center" wrapText="1"/>
    </xf>
    <xf numFmtId="0" fontId="36" fillId="4" borderId="12" xfId="0" applyFont="1" applyFill="1" applyBorder="1" applyAlignment="1">
      <alignment horizontal="center" vertical="center" wrapText="1"/>
    </xf>
    <xf numFmtId="0" fontId="36" fillId="4" borderId="13" xfId="0" applyFont="1" applyFill="1" applyBorder="1" applyAlignment="1">
      <alignment horizontal="center" vertical="center" wrapText="1"/>
    </xf>
    <xf numFmtId="0" fontId="38" fillId="6" borderId="8" xfId="0" applyFont="1" applyFill="1" applyBorder="1" applyAlignment="1">
      <alignment horizontal="center" vertical="center" wrapText="1"/>
    </xf>
    <xf numFmtId="0" fontId="39" fillId="7" borderId="8" xfId="0" applyFont="1" applyFill="1" applyBorder="1" applyAlignment="1">
      <alignment horizontal="center" vertical="center"/>
    </xf>
    <xf numFmtId="0" fontId="35" fillId="16" borderId="8" xfId="0" applyFont="1" applyFill="1" applyBorder="1" applyAlignment="1">
      <alignment horizontal="center" vertical="center" wrapText="1"/>
    </xf>
    <xf numFmtId="0" fontId="35" fillId="11" borderId="5" xfId="0" applyFont="1" applyFill="1" applyBorder="1" applyAlignment="1">
      <alignment horizontal="center" vertical="center" wrapText="1"/>
    </xf>
    <xf numFmtId="0" fontId="35" fillId="11" borderId="6" xfId="0" applyFont="1" applyFill="1" applyBorder="1" applyAlignment="1">
      <alignment horizontal="center" vertical="center" wrapText="1"/>
    </xf>
    <xf numFmtId="0" fontId="36" fillId="17" borderId="8" xfId="0" applyFont="1" applyFill="1" applyBorder="1" applyAlignment="1">
      <alignment horizontal="center" vertical="center" wrapText="1"/>
    </xf>
    <xf numFmtId="0" fontId="37" fillId="17" borderId="8" xfId="0" applyFont="1" applyFill="1" applyBorder="1" applyAlignment="1">
      <alignment horizontal="center" vertical="center" wrapText="1"/>
    </xf>
    <xf numFmtId="0" fontId="36" fillId="6" borderId="8" xfId="0" applyFont="1" applyFill="1" applyBorder="1" applyAlignment="1">
      <alignment horizontal="center" vertical="center" wrapText="1"/>
    </xf>
    <xf numFmtId="0" fontId="36" fillId="4" borderId="8" xfId="0" applyFont="1" applyFill="1" applyBorder="1" applyAlignment="1">
      <alignment horizontal="center" vertical="center" wrapText="1"/>
    </xf>
    <xf numFmtId="0" fontId="38" fillId="17" borderId="8" xfId="0" applyFont="1" applyFill="1" applyBorder="1" applyAlignment="1">
      <alignment horizontal="center" vertical="center" wrapText="1"/>
    </xf>
    <xf numFmtId="0" fontId="34" fillId="4" borderId="11" xfId="0" applyFont="1" applyFill="1" applyBorder="1" applyAlignment="1">
      <alignment horizontal="center" vertical="center" wrapText="1"/>
    </xf>
    <xf numFmtId="0" fontId="34" fillId="4" borderId="12" xfId="0" applyFont="1" applyFill="1" applyBorder="1" applyAlignment="1">
      <alignment horizontal="center" vertical="center" wrapText="1"/>
    </xf>
    <xf numFmtId="0" fontId="34" fillId="4" borderId="13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/>
    </xf>
    <xf numFmtId="0" fontId="9" fillId="0" borderId="8" xfId="0" applyFont="1" applyBorder="1" applyAlignment="1">
      <alignment horizontal="center" vertical="top"/>
    </xf>
    <xf numFmtId="0" fontId="26" fillId="18" borderId="19" xfId="0" applyFont="1" applyFill="1" applyBorder="1" applyAlignment="1">
      <alignment horizontal="left" vertical="top"/>
    </xf>
    <xf numFmtId="0" fontId="26" fillId="18" borderId="20" xfId="0" applyFont="1" applyFill="1" applyBorder="1" applyAlignment="1">
      <alignment horizontal="left" vertical="top"/>
    </xf>
    <xf numFmtId="0" fontId="26" fillId="18" borderId="21" xfId="0" applyFont="1" applyFill="1" applyBorder="1" applyAlignment="1">
      <alignment horizontal="left" vertical="top"/>
    </xf>
    <xf numFmtId="0" fontId="26" fillId="18" borderId="16" xfId="0" applyFont="1" applyFill="1" applyBorder="1" applyAlignment="1">
      <alignment horizontal="left" vertical="top"/>
    </xf>
    <xf numFmtId="0" fontId="26" fillId="18" borderId="17" xfId="0" applyFont="1" applyFill="1" applyBorder="1" applyAlignment="1">
      <alignment horizontal="left" vertical="top"/>
    </xf>
    <xf numFmtId="0" fontId="26" fillId="18" borderId="18" xfId="0" applyFont="1" applyFill="1" applyBorder="1" applyAlignment="1">
      <alignment horizontal="left" vertical="top"/>
    </xf>
    <xf numFmtId="0" fontId="26" fillId="18" borderId="16" xfId="0" applyFont="1" applyFill="1" applyBorder="1" applyAlignment="1">
      <alignment horizontal="left" vertical="top" wrapText="1"/>
    </xf>
    <xf numFmtId="0" fontId="26" fillId="18" borderId="17" xfId="0" applyFont="1" applyFill="1" applyBorder="1" applyAlignment="1">
      <alignment horizontal="left" vertical="top" wrapText="1"/>
    </xf>
    <xf numFmtId="0" fontId="26" fillId="18" borderId="18" xfId="0" applyFont="1" applyFill="1" applyBorder="1" applyAlignment="1">
      <alignment horizontal="left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5" fillId="4" borderId="11" xfId="0" applyFont="1" applyFill="1" applyBorder="1" applyAlignment="1">
      <alignment vertical="center" wrapText="1"/>
    </xf>
    <xf numFmtId="0" fontId="5" fillId="4" borderId="12" xfId="0" applyFont="1" applyFill="1" applyBorder="1" applyAlignment="1">
      <alignment vertical="center" wrapText="1"/>
    </xf>
    <xf numFmtId="0" fontId="5" fillId="4" borderId="13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5" fillId="4" borderId="13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42" fillId="17" borderId="8" xfId="0" applyFont="1" applyFill="1" applyBorder="1" applyAlignment="1">
      <alignment horizontal="center" vertical="center" wrapText="1"/>
    </xf>
    <xf numFmtId="0" fontId="37" fillId="6" borderId="8" xfId="0" applyFont="1" applyFill="1" applyBorder="1" applyAlignment="1">
      <alignment horizontal="center" vertical="center" wrapText="1"/>
    </xf>
    <xf numFmtId="0" fontId="43" fillId="7" borderId="8" xfId="0" applyFont="1" applyFill="1" applyBorder="1" applyAlignment="1">
      <alignment horizontal="center" vertical="center"/>
    </xf>
    <xf numFmtId="0" fontId="43" fillId="7" borderId="8" xfId="0" applyFont="1" applyFill="1" applyBorder="1" applyAlignment="1">
      <alignment horizontal="center" vertical="center" wrapText="1"/>
    </xf>
    <xf numFmtId="0" fontId="34" fillId="6" borderId="8" xfId="0" applyFont="1" applyFill="1" applyBorder="1" applyAlignment="1">
      <alignment horizontal="center" vertical="center" wrapText="1"/>
    </xf>
    <xf numFmtId="0" fontId="34" fillId="7" borderId="8" xfId="0" applyFont="1" applyFill="1" applyBorder="1" applyAlignment="1">
      <alignment horizontal="center" vertical="center" wrapText="1"/>
    </xf>
    <xf numFmtId="0" fontId="44" fillId="7" borderId="8" xfId="0" applyFont="1" applyFill="1" applyBorder="1" applyAlignment="1">
      <alignment horizontal="center" vertical="center" wrapText="1"/>
    </xf>
    <xf numFmtId="0" fontId="5" fillId="16" borderId="8" xfId="0" applyFont="1" applyFill="1" applyBorder="1" applyAlignment="1">
      <alignment horizontal="center" vertical="center"/>
    </xf>
    <xf numFmtId="0" fontId="7" fillId="17" borderId="8" xfId="0" applyFont="1" applyFill="1" applyBorder="1" applyAlignment="1">
      <alignment horizontal="center" vertical="center" wrapText="1"/>
    </xf>
    <xf numFmtId="0" fontId="46" fillId="17" borderId="8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vertical="center" wrapText="1"/>
    </xf>
    <xf numFmtId="0" fontId="4" fillId="4" borderId="11" xfId="0" applyFont="1" applyFill="1" applyBorder="1" applyAlignment="1">
      <alignment vertical="center" wrapText="1"/>
    </xf>
    <xf numFmtId="0" fontId="4" fillId="4" borderId="12" xfId="0" applyFont="1" applyFill="1" applyBorder="1" applyAlignment="1">
      <alignment vertical="center" wrapText="1"/>
    </xf>
    <xf numFmtId="0" fontId="4" fillId="4" borderId="13" xfId="0" applyFont="1" applyFill="1" applyBorder="1" applyAlignment="1">
      <alignment vertical="center" wrapText="1"/>
    </xf>
    <xf numFmtId="0" fontId="45" fillId="3" borderId="5" xfId="0" applyFont="1" applyFill="1" applyBorder="1" applyAlignment="1">
      <alignment horizontal="center" vertical="top" wrapText="1"/>
    </xf>
    <xf numFmtId="0" fontId="45" fillId="3" borderId="6" xfId="0" applyFont="1" applyFill="1" applyBorder="1" applyAlignment="1">
      <alignment horizontal="center" vertical="top" wrapText="1"/>
    </xf>
  </cellXfs>
  <cellStyles count="3">
    <cellStyle name="Normal" xfId="0" builtinId="0"/>
    <cellStyle name="Percent" xfId="1" builtinId="5"/>
    <cellStyle name="Percent 2" xfId="2" xr:uid="{00000000-0005-0000-0000-000002000000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13" formatCode="0%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13" formatCode="0%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13" formatCode="0%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13" formatCode="0%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13" formatCode="0%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DAILY</a:t>
            </a:r>
            <a:r>
              <a:rPr lang="en-US" sz="1800" b="1" baseline="0"/>
              <a:t> OEE TREND AUG-2024(07-08-2024)</a:t>
            </a:r>
            <a:endParaRPr lang="en-US" sz="1800" b="1"/>
          </a:p>
        </c:rich>
      </c:tx>
      <c:layout>
        <c:manualLayout>
          <c:xMode val="edge"/>
          <c:yMode val="edge"/>
          <c:x val="0.25117490844617874"/>
          <c:y val="5.43478260869565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875943604394584E-2"/>
          <c:y val="0.17423913043478262"/>
          <c:w val="0.90960831223530692"/>
          <c:h val="0.74170917494008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Sheet2!$C$5</c:f>
              <c:strCache>
                <c:ptCount val="1"/>
                <c:pt idx="0">
                  <c:v>Column1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Sheet2!$B$6:$B$9</c:f>
              <c:strCache>
                <c:ptCount val="4"/>
                <c:pt idx="0">
                  <c:v>Availability</c:v>
                </c:pt>
                <c:pt idx="1">
                  <c:v>Performance</c:v>
                </c:pt>
                <c:pt idx="2">
                  <c:v>Quality</c:v>
                </c:pt>
                <c:pt idx="3">
                  <c:v>OEE</c:v>
                </c:pt>
              </c:strCache>
            </c:strRef>
          </c:cat>
          <c:val>
            <c:numRef>
              <c:f>Sheet2!$C$6:$C$9</c:f>
              <c:numCache>
                <c:formatCode>0%</c:formatCode>
                <c:ptCount val="4"/>
                <c:pt idx="0">
                  <c:v>0.99</c:v>
                </c:pt>
                <c:pt idx="1">
                  <c:v>0.78</c:v>
                </c:pt>
                <c:pt idx="2">
                  <c:v>0.99</c:v>
                </c:pt>
                <c:pt idx="3">
                  <c:v>0.76447799999999999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2F-48AC-88FE-28C38FC2A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4701128"/>
        <c:axId val="454713280"/>
      </c:barChart>
      <c:catAx>
        <c:axId val="454701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713280"/>
        <c:crosses val="autoZero"/>
        <c:auto val="1"/>
        <c:lblAlgn val="ctr"/>
        <c:lblOffset val="100"/>
        <c:noMultiLvlLbl val="0"/>
      </c:catAx>
      <c:valAx>
        <c:axId val="45471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701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Webasto OEE-77.6%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'pareto '!$C$2</c:f>
              <c:strCache>
                <c:ptCount val="1"/>
                <c:pt idx="0">
                  <c:v>Time(min)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'pareto '!$B$3:$B$13</c:f>
              <c:strCache>
                <c:ptCount val="11"/>
                <c:pt idx="0">
                  <c:v>Material problem </c:v>
                </c:pt>
                <c:pt idx="1">
                  <c:v>No Material</c:v>
                </c:pt>
                <c:pt idx="2">
                  <c:v>Material Movement</c:v>
                </c:pt>
                <c:pt idx="3">
                  <c:v>Machine Break Down</c:v>
                </c:pt>
                <c:pt idx="4">
                  <c:v>Tool Broken</c:v>
                </c:pt>
                <c:pt idx="5">
                  <c:v>Tool Change</c:v>
                </c:pt>
                <c:pt idx="6">
                  <c:v>Tool 
Problem</c:v>
                </c:pt>
                <c:pt idx="7">
                  <c:v>No Operator</c:v>
                </c:pt>
                <c:pt idx="8">
                  <c:v>No Power</c:v>
                </c:pt>
                <c:pt idx="9">
                  <c:v>Inspection</c:v>
                </c:pt>
                <c:pt idx="10">
                  <c:v>No air pressure</c:v>
                </c:pt>
              </c:strCache>
            </c:strRef>
          </c:cat>
          <c:val>
            <c:numRef>
              <c:f>'pareto '!$C$3:$C$13</c:f>
              <c:numCache>
                <c:formatCode>General</c:formatCode>
                <c:ptCount val="11"/>
                <c:pt idx="0">
                  <c:v>90</c:v>
                </c:pt>
                <c:pt idx="1">
                  <c:v>80</c:v>
                </c:pt>
                <c:pt idx="2">
                  <c:v>40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97-41AE-9CF9-279717C7B182}"/>
            </c:ext>
          </c:extLst>
        </c:ser>
        <c:ser>
          <c:idx val="1"/>
          <c:order val="1"/>
          <c:tx>
            <c:strRef>
              <c:f>'pareto '!$D$2</c:f>
              <c:strCache>
                <c:ptCount val="1"/>
                <c:pt idx="0">
                  <c:v>%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'pareto '!$B$3:$B$13</c:f>
              <c:strCache>
                <c:ptCount val="11"/>
                <c:pt idx="0">
                  <c:v>Material problem </c:v>
                </c:pt>
                <c:pt idx="1">
                  <c:v>No Material</c:v>
                </c:pt>
                <c:pt idx="2">
                  <c:v>Material Movement</c:v>
                </c:pt>
                <c:pt idx="3">
                  <c:v>Machine Break Down</c:v>
                </c:pt>
                <c:pt idx="4">
                  <c:v>Tool Broken</c:v>
                </c:pt>
                <c:pt idx="5">
                  <c:v>Tool Change</c:v>
                </c:pt>
                <c:pt idx="6">
                  <c:v>Tool 
Problem</c:v>
                </c:pt>
                <c:pt idx="7">
                  <c:v>No Operator</c:v>
                </c:pt>
                <c:pt idx="8">
                  <c:v>No Power</c:v>
                </c:pt>
                <c:pt idx="9">
                  <c:v>Inspection</c:v>
                </c:pt>
                <c:pt idx="10">
                  <c:v>No air pressure</c:v>
                </c:pt>
              </c:strCache>
            </c:strRef>
          </c:cat>
          <c:val>
            <c:numRef>
              <c:f>'pareto '!$D$3:$D$13</c:f>
              <c:numCache>
                <c:formatCode>0%</c:formatCode>
                <c:ptCount val="11"/>
                <c:pt idx="0">
                  <c:v>0.42857142857142855</c:v>
                </c:pt>
                <c:pt idx="1">
                  <c:v>0.38095238095238093</c:v>
                </c:pt>
                <c:pt idx="2">
                  <c:v>0.19047619047619047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97-41AE-9CF9-279717C7B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4705440"/>
        <c:axId val="454716024"/>
      </c:barChart>
      <c:lineChart>
        <c:grouping val="standard"/>
        <c:varyColors val="0"/>
        <c:ser>
          <c:idx val="2"/>
          <c:order val="2"/>
          <c:tx>
            <c:strRef>
              <c:f>'pareto '!$E$2</c:f>
              <c:strCache>
                <c:ptCount val="1"/>
                <c:pt idx="0">
                  <c:v>Pareto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'pareto '!$B$3:$B$13</c:f>
              <c:strCache>
                <c:ptCount val="11"/>
                <c:pt idx="0">
                  <c:v>Material problem </c:v>
                </c:pt>
                <c:pt idx="1">
                  <c:v>No Material</c:v>
                </c:pt>
                <c:pt idx="2">
                  <c:v>Material Movement</c:v>
                </c:pt>
                <c:pt idx="3">
                  <c:v>Machine Break Down</c:v>
                </c:pt>
                <c:pt idx="4">
                  <c:v>Tool Broken</c:v>
                </c:pt>
                <c:pt idx="5">
                  <c:v>Tool Change</c:v>
                </c:pt>
                <c:pt idx="6">
                  <c:v>Tool 
Problem</c:v>
                </c:pt>
                <c:pt idx="7">
                  <c:v>No Operator</c:v>
                </c:pt>
                <c:pt idx="8">
                  <c:v>No Power</c:v>
                </c:pt>
                <c:pt idx="9">
                  <c:v>Inspection</c:v>
                </c:pt>
                <c:pt idx="10">
                  <c:v>No air pressure</c:v>
                </c:pt>
              </c:strCache>
            </c:strRef>
          </c:cat>
          <c:val>
            <c:numRef>
              <c:f>'pareto '!$E$3:$E$13</c:f>
              <c:numCache>
                <c:formatCode>0%</c:formatCode>
                <c:ptCount val="11"/>
                <c:pt idx="0">
                  <c:v>0.42857142857142855</c:v>
                </c:pt>
                <c:pt idx="1">
                  <c:v>0.80952380952380953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97-41AE-9CF9-279717C7B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932952"/>
        <c:axId val="390931776"/>
      </c:lineChart>
      <c:catAx>
        <c:axId val="45470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716024"/>
        <c:crosses val="autoZero"/>
        <c:auto val="1"/>
        <c:lblAlgn val="ctr"/>
        <c:lblOffset val="100"/>
        <c:noMultiLvlLbl val="0"/>
      </c:catAx>
      <c:valAx>
        <c:axId val="45471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705440"/>
        <c:crosses val="autoZero"/>
        <c:crossBetween val="between"/>
      </c:valAx>
      <c:valAx>
        <c:axId val="390931776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932952"/>
        <c:crosses val="max"/>
        <c:crossBetween val="between"/>
      </c:valAx>
      <c:catAx>
        <c:axId val="3909329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909317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 WEBASTO OEE</a:t>
            </a:r>
            <a:r>
              <a:rPr lang="en-US" sz="2000" b="1" baseline="0"/>
              <a:t> TREND MONTH OF JULY 2025   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75402208228464E-2"/>
          <c:y val="0.13442677275485385"/>
          <c:w val="0.87232174103237092"/>
          <c:h val="0.714568475219483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Sheet9!$E$9</c:f>
              <c:strCache>
                <c:ptCount val="1"/>
                <c:pt idx="0">
                  <c:v>Column1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Sheet9!$D$10:$D$13</c:f>
              <c:strCache>
                <c:ptCount val="4"/>
                <c:pt idx="0">
                  <c:v>Availability</c:v>
                </c:pt>
                <c:pt idx="1">
                  <c:v>Performance</c:v>
                </c:pt>
                <c:pt idx="2">
                  <c:v>Quality</c:v>
                </c:pt>
                <c:pt idx="3">
                  <c:v>OEE</c:v>
                </c:pt>
              </c:strCache>
            </c:strRef>
          </c:cat>
          <c:val>
            <c:numRef>
              <c:f>Sheet9!$E$10:$E$13</c:f>
              <c:numCache>
                <c:formatCode>0%</c:formatCode>
                <c:ptCount val="4"/>
                <c:pt idx="0">
                  <c:v>0.99</c:v>
                </c:pt>
                <c:pt idx="1">
                  <c:v>0.72</c:v>
                </c:pt>
                <c:pt idx="2">
                  <c:v>0.99</c:v>
                </c:pt>
                <c:pt idx="3" formatCode="0.0%">
                  <c:v>0.70567199999999997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1-435A-B0B8-A9D546514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0934520"/>
        <c:axId val="390935304"/>
      </c:barChart>
      <c:catAx>
        <c:axId val="390934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935304"/>
        <c:crosses val="autoZero"/>
        <c:auto val="1"/>
        <c:lblAlgn val="ctr"/>
        <c:lblOffset val="100"/>
        <c:noMultiLvlLbl val="0"/>
      </c:catAx>
      <c:valAx>
        <c:axId val="390935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934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Sheet1!$A$3:$A$9</c:f>
              <c:strCache>
                <c:ptCount val="7"/>
                <c:pt idx="0">
                  <c:v>1.08.2024</c:v>
                </c:pt>
                <c:pt idx="1">
                  <c:v>2.07.2024</c:v>
                </c:pt>
                <c:pt idx="2">
                  <c:v>3.07.2024</c:v>
                </c:pt>
                <c:pt idx="3">
                  <c:v>4.07.2024</c:v>
                </c:pt>
                <c:pt idx="4">
                  <c:v>5.07.2024</c:v>
                </c:pt>
                <c:pt idx="5">
                  <c:v>6.07.2024</c:v>
                </c:pt>
                <c:pt idx="6">
                  <c:v>7.07.2024</c:v>
                </c:pt>
              </c:strCache>
            </c:strRef>
          </c:cat>
          <c:val>
            <c:numRef>
              <c:f>Sheet1!$B$3:$B$9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0.99</c:v>
                </c:pt>
                <c:pt idx="3">
                  <c:v>1</c:v>
                </c:pt>
                <c:pt idx="4">
                  <c:v>0.99</c:v>
                </c:pt>
                <c:pt idx="5">
                  <c:v>1</c:v>
                </c:pt>
                <c:pt idx="6">
                  <c:v>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D-467B-9EED-14F078AF1B21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P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Sheet1!$A$3:$A$9</c:f>
              <c:strCache>
                <c:ptCount val="7"/>
                <c:pt idx="0">
                  <c:v>1.08.2024</c:v>
                </c:pt>
                <c:pt idx="1">
                  <c:v>2.07.2024</c:v>
                </c:pt>
                <c:pt idx="2">
                  <c:v>3.07.2024</c:v>
                </c:pt>
                <c:pt idx="3">
                  <c:v>4.07.2024</c:v>
                </c:pt>
                <c:pt idx="4">
                  <c:v>5.07.2024</c:v>
                </c:pt>
                <c:pt idx="5">
                  <c:v>6.07.2024</c:v>
                </c:pt>
                <c:pt idx="6">
                  <c:v>7.07.2024</c:v>
                </c:pt>
              </c:strCache>
            </c:strRef>
          </c:cat>
          <c:val>
            <c:numRef>
              <c:f>Sheet1!$C$3:$C$9</c:f>
              <c:numCache>
                <c:formatCode>0%</c:formatCode>
                <c:ptCount val="7"/>
                <c:pt idx="0">
                  <c:v>0.81</c:v>
                </c:pt>
                <c:pt idx="1">
                  <c:v>0.79</c:v>
                </c:pt>
                <c:pt idx="2">
                  <c:v>0.77</c:v>
                </c:pt>
                <c:pt idx="3">
                  <c:v>0.8</c:v>
                </c:pt>
                <c:pt idx="4">
                  <c:v>0.82</c:v>
                </c:pt>
                <c:pt idx="5">
                  <c:v>0.8</c:v>
                </c:pt>
                <c:pt idx="6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ED-467B-9EED-14F078AF1B21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Q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Sheet1!$A$3:$A$9</c:f>
              <c:strCache>
                <c:ptCount val="7"/>
                <c:pt idx="0">
                  <c:v>1.08.2024</c:v>
                </c:pt>
                <c:pt idx="1">
                  <c:v>2.07.2024</c:v>
                </c:pt>
                <c:pt idx="2">
                  <c:v>3.07.2024</c:v>
                </c:pt>
                <c:pt idx="3">
                  <c:v>4.07.2024</c:v>
                </c:pt>
                <c:pt idx="4">
                  <c:v>5.07.2024</c:v>
                </c:pt>
                <c:pt idx="5">
                  <c:v>6.07.2024</c:v>
                </c:pt>
                <c:pt idx="6">
                  <c:v>7.07.2024</c:v>
                </c:pt>
              </c:strCache>
            </c:strRef>
          </c:cat>
          <c:val>
            <c:numRef>
              <c:f>Sheet1!$D$3:$D$9</c:f>
              <c:numCache>
                <c:formatCode>0%</c:formatCode>
                <c:ptCount val="7"/>
                <c:pt idx="0">
                  <c:v>0.99</c:v>
                </c:pt>
                <c:pt idx="1">
                  <c:v>0.98</c:v>
                </c:pt>
                <c:pt idx="2">
                  <c:v>0.98</c:v>
                </c:pt>
                <c:pt idx="3">
                  <c:v>0.99</c:v>
                </c:pt>
                <c:pt idx="4">
                  <c:v>0.99</c:v>
                </c:pt>
                <c:pt idx="5">
                  <c:v>0.99</c:v>
                </c:pt>
                <c:pt idx="6">
                  <c:v>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ED-467B-9EED-14F078AF1B21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OEE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Sheet1!$A$3:$A$9</c:f>
              <c:strCache>
                <c:ptCount val="7"/>
                <c:pt idx="0">
                  <c:v>1.08.2024</c:v>
                </c:pt>
                <c:pt idx="1">
                  <c:v>2.07.2024</c:v>
                </c:pt>
                <c:pt idx="2">
                  <c:v>3.07.2024</c:v>
                </c:pt>
                <c:pt idx="3">
                  <c:v>4.07.2024</c:v>
                </c:pt>
                <c:pt idx="4">
                  <c:v>5.07.2024</c:v>
                </c:pt>
                <c:pt idx="5">
                  <c:v>6.07.2024</c:v>
                </c:pt>
                <c:pt idx="6">
                  <c:v>7.07.2024</c:v>
                </c:pt>
              </c:strCache>
            </c:strRef>
          </c:cat>
          <c:val>
            <c:numRef>
              <c:f>Sheet1!$E$3:$E$9</c:f>
              <c:numCache>
                <c:formatCode>0.00%</c:formatCode>
                <c:ptCount val="7"/>
                <c:pt idx="0">
                  <c:v>0.80190000000000006</c:v>
                </c:pt>
                <c:pt idx="1">
                  <c:v>0.7742</c:v>
                </c:pt>
                <c:pt idx="2">
                  <c:v>0.747054</c:v>
                </c:pt>
                <c:pt idx="3">
                  <c:v>0.79200000000000004</c:v>
                </c:pt>
                <c:pt idx="4">
                  <c:v>0.80368200000000001</c:v>
                </c:pt>
                <c:pt idx="5">
                  <c:v>0.79200000000000004</c:v>
                </c:pt>
                <c:pt idx="6">
                  <c:v>0.74487599999999998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ED-467B-9EED-14F078AF1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2034128"/>
        <c:axId val="332034520"/>
      </c:barChart>
      <c:catAx>
        <c:axId val="3320341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32034520"/>
        <c:crosses val="autoZero"/>
        <c:auto val="1"/>
        <c:lblAlgn val="ctr"/>
        <c:lblOffset val="100"/>
        <c:noMultiLvlLbl val="0"/>
      </c:catAx>
      <c:valAx>
        <c:axId val="33203452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320341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142875</xdr:rowOff>
    </xdr:from>
    <xdr:to>
      <xdr:col>16</xdr:col>
      <xdr:colOff>104775</xdr:colOff>
      <xdr:row>31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6E5B1A-4768-4DB9-BF94-7DA6704E6A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</xdr:colOff>
      <xdr:row>1</xdr:row>
      <xdr:rowOff>125730</xdr:rowOff>
    </xdr:from>
    <xdr:to>
      <xdr:col>15</xdr:col>
      <xdr:colOff>238125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102419</xdr:colOff>
      <xdr:row>0</xdr:row>
      <xdr:rowOff>71692</xdr:rowOff>
    </xdr:from>
    <xdr:to>
      <xdr:col>1</xdr:col>
      <xdr:colOff>624757</xdr:colOff>
      <xdr:row>2</xdr:row>
      <xdr:rowOff>116502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23" t="21268" r="10354" b="19978"/>
        <a:stretch/>
      </xdr:blipFill>
      <xdr:spPr>
        <a:xfrm>
          <a:off x="102419" y="71692"/>
          <a:ext cx="1255763" cy="7306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102419</xdr:colOff>
      <xdr:row>0</xdr:row>
      <xdr:rowOff>71692</xdr:rowOff>
    </xdr:from>
    <xdr:to>
      <xdr:col>1</xdr:col>
      <xdr:colOff>624757</xdr:colOff>
      <xdr:row>2</xdr:row>
      <xdr:rowOff>116502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B488CB-8C43-48F0-961B-62A7ABA5C0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23" t="21268" r="10354" b="19978"/>
        <a:stretch/>
      </xdr:blipFill>
      <xdr:spPr>
        <a:xfrm>
          <a:off x="102419" y="71692"/>
          <a:ext cx="1398638" cy="72299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198120</xdr:colOff>
      <xdr:row>23</xdr:row>
      <xdr:rowOff>106680</xdr:rowOff>
    </xdr:from>
    <xdr:to>
      <xdr:col>9</xdr:col>
      <xdr:colOff>335280</xdr:colOff>
      <xdr:row>31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F232C9-18FE-17E9-66C5-3377E97F4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6520" y="3962400"/>
          <a:ext cx="3375660" cy="1310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2</xdr:row>
      <xdr:rowOff>142875</xdr:rowOff>
    </xdr:from>
    <xdr:to>
      <xdr:col>21</xdr:col>
      <xdr:colOff>47625</xdr:colOff>
      <xdr:row>27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679A41-D8EE-411F-A4B0-55A839ECA9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219074</xdr:colOff>
      <xdr:row>5</xdr:row>
      <xdr:rowOff>57151</xdr:rowOff>
    </xdr:from>
    <xdr:to>
      <xdr:col>22</xdr:col>
      <xdr:colOff>209550</xdr:colOff>
      <xdr:row>32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B5:C9" totalsRowShown="0">
  <autoFilter ref="B5:C9" xr:uid="{00000000-0009-0000-0100-000003000000}"/>
  <tableColumns count="2">
    <tableColumn id="1" xr3:uid="{00000000-0010-0000-0000-000001000000}" name="OEE TREND JULY 2024" dataDxfId="16"/>
    <tableColumn id="2" xr3:uid="{00000000-0010-0000-0000-000002000000}" name="Column1" dataDxfId="1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33" displayName="Table33" ref="D9:E13" totalsRowShown="0">
  <autoFilter ref="D9:E13" xr:uid="{00000000-0009-0000-0100-000001000000}"/>
  <tableColumns count="2">
    <tableColumn id="1" xr3:uid="{00000000-0010-0000-0100-000001000000}" name="OEE TREND JULY 2025" dataDxfId="14"/>
    <tableColumn id="2" xr3:uid="{00000000-0010-0000-0100-000002000000}" name="Column1" dataDxfId="1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336" displayName="Table336" ref="E12:F16" totalsRowShown="0">
  <autoFilter ref="E12:F16" xr:uid="{00000000-0009-0000-0100-000005000000}"/>
  <tableColumns count="2">
    <tableColumn id="1" xr3:uid="{00000000-0010-0000-0200-000001000000}" name="OEE TREND JULY 2025" dataDxfId="12"/>
    <tableColumn id="2" xr3:uid="{00000000-0010-0000-0200-000002000000}" name="Column1" dataDxfId="1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3367" displayName="Table3367" ref="E20:F24" totalsRowShown="0">
  <autoFilter ref="E20:F24" xr:uid="{00000000-0009-0000-0100-000006000000}"/>
  <tableColumns count="2">
    <tableColumn id="1" xr3:uid="{00000000-0010-0000-0300-000001000000}" name="OEE TREND JULY 2025" dataDxfId="10"/>
    <tableColumn id="2" xr3:uid="{00000000-0010-0000-0300-000002000000}" name="Column1" dataDxfId="9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338" displayName="Table338" ref="E5:F9" totalsRowShown="0">
  <autoFilter ref="E5:F9" xr:uid="{00000000-0009-0000-0100-000007000000}"/>
  <tableColumns count="2">
    <tableColumn id="1" xr3:uid="{00000000-0010-0000-0400-000001000000}" name="OEE TREND JULY 2025" dataDxfId="8"/>
    <tableColumn id="2" xr3:uid="{00000000-0010-0000-0400-000002000000}" name="Column1" dataDxfId="7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Table2" displayName="Table2" ref="A2:E9" totalsRowShown="0" headerRowDxfId="6">
  <autoFilter ref="A2:E9" xr:uid="{00000000-0009-0000-0100-000002000000}"/>
  <tableColumns count="5">
    <tableColumn id="1" xr3:uid="{00000000-0010-0000-0500-000001000000}" name="DATE" dataDxfId="5"/>
    <tableColumn id="2" xr3:uid="{00000000-0010-0000-0500-000002000000}" name="A"/>
    <tableColumn id="3" xr3:uid="{00000000-0010-0000-0500-000003000000}" name="P"/>
    <tableColumn id="4" xr3:uid="{00000000-0010-0000-0500-000004000000}" name="Q"/>
    <tableColumn id="5" xr3:uid="{00000000-0010-0000-0500-000005000000}" name="OEE" dataDxfId="4">
      <calculatedColumnFormula>B3*C3*D3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opLeftCell="A7" workbookViewId="0">
      <selection activeCell="C9" sqref="C9"/>
    </sheetView>
  </sheetViews>
  <sheetFormatPr defaultRowHeight="13.2" x14ac:dyDescent="0.25"/>
  <cols>
    <col min="2" max="2" width="12.109375" customWidth="1"/>
    <col min="3" max="3" width="10.44140625" bestFit="1" customWidth="1"/>
  </cols>
  <sheetData>
    <row r="1" spans="1:3" ht="19.5" customHeight="1" x14ac:dyDescent="0.25">
      <c r="A1" t="s">
        <v>74</v>
      </c>
    </row>
    <row r="5" spans="1:3" x14ac:dyDescent="0.25">
      <c r="B5" s="40" t="s">
        <v>75</v>
      </c>
      <c r="C5" t="s">
        <v>71</v>
      </c>
    </row>
    <row r="6" spans="1:3" ht="15.6" x14ac:dyDescent="0.25">
      <c r="B6" s="44" t="s">
        <v>76</v>
      </c>
      <c r="C6" s="42">
        <v>0.99</v>
      </c>
    </row>
    <row r="7" spans="1:3" x14ac:dyDescent="0.25">
      <c r="B7" s="40" t="s">
        <v>77</v>
      </c>
      <c r="C7" s="42">
        <v>0.78</v>
      </c>
    </row>
    <row r="8" spans="1:3" x14ac:dyDescent="0.25">
      <c r="B8" s="40" t="s">
        <v>78</v>
      </c>
      <c r="C8" s="42">
        <v>0.99</v>
      </c>
    </row>
    <row r="9" spans="1:3" x14ac:dyDescent="0.25">
      <c r="B9" s="40" t="s">
        <v>68</v>
      </c>
      <c r="C9" s="42">
        <f>C6*C7*C8</f>
        <v>0.76447799999999999</v>
      </c>
    </row>
  </sheetData>
  <pageMargins left="0.7" right="0.7" top="0.75" bottom="0.75" header="0.3" footer="0.3"/>
  <pageSetup scale="95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4"/>
  <sheetViews>
    <sheetView zoomScale="115" zoomScaleNormal="115" workbookViewId="0">
      <selection activeCell="B16" sqref="B16"/>
    </sheetView>
  </sheetViews>
  <sheetFormatPr defaultRowHeight="13.2" x14ac:dyDescent="0.25"/>
  <cols>
    <col min="2" max="2" width="19.109375" customWidth="1"/>
    <col min="3" max="3" width="15" customWidth="1"/>
    <col min="4" max="4" width="12" customWidth="1"/>
    <col min="5" max="5" width="13.6640625" customWidth="1"/>
    <col min="6" max="6" width="9.33203125" customWidth="1"/>
  </cols>
  <sheetData>
    <row r="2" spans="2:5" ht="18" x14ac:dyDescent="0.35">
      <c r="B2" s="104" t="s">
        <v>90</v>
      </c>
      <c r="C2" s="50" t="s">
        <v>91</v>
      </c>
      <c r="D2" s="50" t="s">
        <v>92</v>
      </c>
      <c r="E2" s="50" t="s">
        <v>93</v>
      </c>
    </row>
    <row r="3" spans="2:5" x14ac:dyDescent="0.25">
      <c r="B3" s="59" t="s">
        <v>168</v>
      </c>
      <c r="C3" s="51">
        <v>90</v>
      </c>
      <c r="D3" s="52">
        <f>+C3/C14</f>
        <v>0.42857142857142855</v>
      </c>
      <c r="E3" s="53">
        <f>+D3</f>
        <v>0.42857142857142855</v>
      </c>
    </row>
    <row r="4" spans="2:5" x14ac:dyDescent="0.25">
      <c r="B4" s="59" t="s">
        <v>4</v>
      </c>
      <c r="C4" s="51">
        <v>80</v>
      </c>
      <c r="D4" s="52">
        <f>+C4/C14</f>
        <v>0.38095238095238093</v>
      </c>
      <c r="E4" s="53">
        <f>+E3+D4</f>
        <v>0.80952380952380953</v>
      </c>
    </row>
    <row r="5" spans="2:5" x14ac:dyDescent="0.25">
      <c r="B5" s="59" t="s">
        <v>54</v>
      </c>
      <c r="C5" s="51">
        <v>40</v>
      </c>
      <c r="D5" s="52">
        <f>+C5/C14</f>
        <v>0.19047619047619047</v>
      </c>
      <c r="E5" s="53">
        <f>+E4+D5</f>
        <v>1</v>
      </c>
    </row>
    <row r="6" spans="2:5" ht="26.4" x14ac:dyDescent="0.25">
      <c r="B6" s="59" t="s">
        <v>3</v>
      </c>
      <c r="C6" s="51">
        <v>0</v>
      </c>
      <c r="D6" s="52">
        <f>+C6/C14</f>
        <v>0</v>
      </c>
      <c r="E6" s="53">
        <f t="shared" ref="E6:E13" si="0">+E5+D6</f>
        <v>1</v>
      </c>
    </row>
    <row r="7" spans="2:5" x14ac:dyDescent="0.25">
      <c r="B7" s="59" t="s">
        <v>63</v>
      </c>
      <c r="C7" s="51">
        <v>0</v>
      </c>
      <c r="D7" s="52">
        <f>+C7/C14</f>
        <v>0</v>
      </c>
      <c r="E7" s="53">
        <f>+E6+D7</f>
        <v>1</v>
      </c>
    </row>
    <row r="8" spans="2:5" x14ac:dyDescent="0.25">
      <c r="B8" s="59" t="s">
        <v>41</v>
      </c>
      <c r="C8" s="51">
        <v>0</v>
      </c>
      <c r="D8" s="52">
        <f>+C8/C14</f>
        <v>0</v>
      </c>
      <c r="E8" s="53">
        <f t="shared" si="0"/>
        <v>1</v>
      </c>
    </row>
    <row r="9" spans="2:5" ht="27" customHeight="1" x14ac:dyDescent="0.25">
      <c r="B9" s="59" t="s">
        <v>42</v>
      </c>
      <c r="C9" s="51">
        <v>0</v>
      </c>
      <c r="D9" s="52">
        <f>+C9/C14</f>
        <v>0</v>
      </c>
      <c r="E9" s="53">
        <f t="shared" si="0"/>
        <v>1</v>
      </c>
    </row>
    <row r="10" spans="2:5" x14ac:dyDescent="0.25">
      <c r="B10" s="59" t="s">
        <v>11</v>
      </c>
      <c r="C10" s="51">
        <v>0</v>
      </c>
      <c r="D10" s="52">
        <f>+C10/C14</f>
        <v>0</v>
      </c>
      <c r="E10" s="53">
        <f>+E9+D10</f>
        <v>1</v>
      </c>
    </row>
    <row r="11" spans="2:5" x14ac:dyDescent="0.25">
      <c r="B11" s="59" t="s">
        <v>9</v>
      </c>
      <c r="C11" s="51">
        <v>0</v>
      </c>
      <c r="D11" s="52">
        <f>+C11/C14</f>
        <v>0</v>
      </c>
      <c r="E11" s="53">
        <f>+E10+D11</f>
        <v>1</v>
      </c>
    </row>
    <row r="12" spans="2:5" x14ac:dyDescent="0.25">
      <c r="B12" s="59" t="s">
        <v>19</v>
      </c>
      <c r="C12" s="51">
        <v>0</v>
      </c>
      <c r="D12" s="52">
        <f>+C12/C14</f>
        <v>0</v>
      </c>
      <c r="E12" s="53">
        <f t="shared" si="0"/>
        <v>1</v>
      </c>
    </row>
    <row r="13" spans="2:5" x14ac:dyDescent="0.25">
      <c r="B13" s="59" t="s">
        <v>171</v>
      </c>
      <c r="C13" s="51">
        <v>0</v>
      </c>
      <c r="D13" s="52">
        <f>C13/C14</f>
        <v>0</v>
      </c>
      <c r="E13" s="53">
        <f t="shared" si="0"/>
        <v>1</v>
      </c>
    </row>
    <row r="14" spans="2:5" x14ac:dyDescent="0.25">
      <c r="B14" s="49" t="s">
        <v>14</v>
      </c>
      <c r="C14" s="54">
        <f>SUM(C3:C13)</f>
        <v>210</v>
      </c>
      <c r="D14" s="52"/>
      <c r="E14" s="5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W595"/>
  <sheetViews>
    <sheetView zoomScale="90" zoomScaleNormal="90" zoomScaleSheetLayoutView="82" workbookViewId="0">
      <pane xSplit="10" ySplit="11" topLeftCell="K12" activePane="bottomRight" state="frozen"/>
      <selection pane="topRight" activeCell="K1" sqref="K1"/>
      <selection pane="bottomLeft" activeCell="A12" sqref="A12"/>
      <selection pane="bottomRight" activeCell="AM11" sqref="AM11"/>
    </sheetView>
  </sheetViews>
  <sheetFormatPr defaultRowHeight="13.2" x14ac:dyDescent="0.25"/>
  <cols>
    <col min="1" max="3" width="12.77734375" customWidth="1"/>
    <col min="4" max="6" width="13.109375" customWidth="1"/>
    <col min="7" max="7" width="13.109375" style="2" customWidth="1"/>
    <col min="8" max="8" width="13.109375" customWidth="1"/>
    <col min="9" max="9" width="13.109375" style="2" customWidth="1"/>
    <col min="10" max="10" width="13.109375" style="7" customWidth="1"/>
    <col min="11" max="11" width="16.6640625" style="2" customWidth="1"/>
    <col min="12" max="12" width="14.33203125" style="2" customWidth="1"/>
    <col min="13" max="16" width="13.109375" style="5" customWidth="1"/>
    <col min="17" max="17" width="10" style="12" customWidth="1"/>
    <col min="18" max="18" width="10.44140625" customWidth="1"/>
    <col min="19" max="19" width="10" customWidth="1"/>
    <col min="20" max="20" width="11.77734375" bestFit="1" customWidth="1"/>
    <col min="21" max="21" width="10" customWidth="1"/>
    <col min="22" max="22" width="10.44140625" bestFit="1" customWidth="1"/>
    <col min="23" max="23" width="10" style="10" customWidth="1"/>
    <col min="24" max="24" width="10" style="13" customWidth="1"/>
    <col min="25" max="28" width="10" customWidth="1"/>
    <col min="29" max="31" width="10" style="8" customWidth="1"/>
    <col min="32" max="32" width="10" customWidth="1"/>
    <col min="33" max="33" width="12.44140625" style="8" bestFit="1" customWidth="1"/>
    <col min="34" max="38" width="10" style="8" customWidth="1"/>
    <col min="39" max="39" width="11.77734375" style="9" customWidth="1"/>
    <col min="40" max="40" width="11.77734375" customWidth="1"/>
    <col min="41" max="43" width="10.109375" customWidth="1"/>
    <col min="44" max="46" width="11.33203125" customWidth="1"/>
    <col min="47" max="47" width="15.109375" customWidth="1"/>
  </cols>
  <sheetData>
    <row r="1" spans="1:47" ht="31.5" customHeight="1" x14ac:dyDescent="0.25">
      <c r="A1" s="116"/>
      <c r="B1" s="116"/>
      <c r="C1" s="117" t="s">
        <v>25</v>
      </c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9"/>
      <c r="AS1" s="123" t="s">
        <v>44</v>
      </c>
      <c r="AT1" s="123"/>
      <c r="AU1" s="123"/>
    </row>
    <row r="2" spans="1:47" ht="22.5" customHeight="1" x14ac:dyDescent="0.25">
      <c r="A2" s="116"/>
      <c r="B2" s="116"/>
      <c r="C2" s="120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2"/>
      <c r="AS2" s="123" t="s">
        <v>45</v>
      </c>
      <c r="AT2" s="123"/>
      <c r="AU2" s="123"/>
    </row>
    <row r="3" spans="1:47" ht="19.5" customHeight="1" x14ac:dyDescent="0.25">
      <c r="A3" s="116"/>
      <c r="B3" s="116"/>
      <c r="C3" s="124" t="s">
        <v>132</v>
      </c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25"/>
      <c r="AQ3" s="125"/>
      <c r="AR3" s="126"/>
      <c r="AS3" s="123" t="s">
        <v>46</v>
      </c>
      <c r="AT3" s="123"/>
      <c r="AU3" s="123"/>
    </row>
    <row r="4" spans="1:47" ht="33" hidden="1" customHeight="1" x14ac:dyDescent="0.25">
      <c r="A4" s="55" t="s">
        <v>8</v>
      </c>
      <c r="B4" s="55"/>
      <c r="C4" s="55"/>
      <c r="D4" s="55"/>
      <c r="E4" s="55"/>
      <c r="F4" s="55"/>
      <c r="G4" s="55"/>
      <c r="H4" s="55"/>
      <c r="I4" s="55"/>
      <c r="J4" s="6"/>
      <c r="K4" s="55"/>
      <c r="L4" s="55"/>
      <c r="M4" s="4"/>
      <c r="N4" s="4"/>
      <c r="O4" s="4"/>
      <c r="P4" s="4"/>
      <c r="Q4" s="11"/>
      <c r="R4" s="55"/>
      <c r="S4" s="55"/>
      <c r="T4" s="55"/>
      <c r="U4" s="55"/>
      <c r="V4" s="55"/>
      <c r="W4" s="116" t="s">
        <v>17</v>
      </c>
      <c r="X4" s="116"/>
      <c r="Y4" s="116"/>
      <c r="Z4" s="55"/>
      <c r="AA4" s="55"/>
      <c r="AB4" s="116" t="s">
        <v>18</v>
      </c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57"/>
      <c r="AO4" s="127"/>
      <c r="AP4" s="127"/>
      <c r="AQ4" s="127"/>
      <c r="AR4" s="128" t="s">
        <v>16</v>
      </c>
      <c r="AS4" s="128"/>
      <c r="AT4" s="128"/>
      <c r="AU4" s="3"/>
    </row>
    <row r="5" spans="1:47" ht="13.5" customHeight="1" x14ac:dyDescent="0.25">
      <c r="A5" s="129" t="s">
        <v>85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1"/>
      <c r="Q5" s="138" t="s">
        <v>55</v>
      </c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40" t="s">
        <v>15</v>
      </c>
      <c r="AN5" s="140"/>
      <c r="AO5" s="140" t="s">
        <v>47</v>
      </c>
      <c r="AP5" s="140"/>
      <c r="AQ5" s="140"/>
      <c r="AR5" s="140" t="s">
        <v>1</v>
      </c>
      <c r="AS5" s="140"/>
      <c r="AT5" s="140"/>
      <c r="AU5" s="140"/>
    </row>
    <row r="6" spans="1:47" x14ac:dyDescent="0.25">
      <c r="A6" s="132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141" t="s">
        <v>48</v>
      </c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1" t="s">
        <v>0</v>
      </c>
      <c r="AN6" s="143"/>
      <c r="AO6" s="141" t="s">
        <v>39</v>
      </c>
      <c r="AP6" s="142"/>
      <c r="AQ6" s="143"/>
      <c r="AR6" s="144" t="s">
        <v>2</v>
      </c>
      <c r="AS6" s="145"/>
      <c r="AT6" s="145"/>
      <c r="AU6" s="146"/>
    </row>
    <row r="7" spans="1:47" x14ac:dyDescent="0.25">
      <c r="A7" s="135"/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7"/>
      <c r="Q7" s="147" t="s">
        <v>20</v>
      </c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7" t="s">
        <v>7</v>
      </c>
      <c r="AN7" s="149"/>
      <c r="AO7" s="147" t="s">
        <v>0</v>
      </c>
      <c r="AP7" s="148"/>
      <c r="AQ7" s="149"/>
      <c r="AR7" s="153">
        <f>AR11*AS11*AT11</f>
        <v>0.77622884792493485</v>
      </c>
      <c r="AS7" s="153"/>
      <c r="AT7" s="153"/>
      <c r="AU7" s="153"/>
    </row>
    <row r="8" spans="1:47" x14ac:dyDescent="0.25">
      <c r="A8" s="150" t="s">
        <v>26</v>
      </c>
      <c r="B8" s="154" t="s">
        <v>30</v>
      </c>
      <c r="C8" s="154" t="s">
        <v>32</v>
      </c>
      <c r="D8" s="154" t="s">
        <v>27</v>
      </c>
      <c r="E8" s="154" t="s">
        <v>28</v>
      </c>
      <c r="F8" s="150" t="s">
        <v>50</v>
      </c>
      <c r="G8" s="154" t="s">
        <v>29</v>
      </c>
      <c r="H8" s="150" t="s">
        <v>173</v>
      </c>
      <c r="I8" s="154" t="s">
        <v>43</v>
      </c>
      <c r="J8" s="154" t="s">
        <v>33</v>
      </c>
      <c r="K8" s="154" t="s">
        <v>34</v>
      </c>
      <c r="L8" s="154" t="s">
        <v>35</v>
      </c>
      <c r="M8" s="154" t="s">
        <v>129</v>
      </c>
      <c r="N8" s="150" t="s">
        <v>130</v>
      </c>
      <c r="O8" s="150" t="s">
        <v>131</v>
      </c>
      <c r="P8" s="150" t="s">
        <v>66</v>
      </c>
      <c r="Q8" s="165" t="s">
        <v>6</v>
      </c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6"/>
      <c r="AH8" s="166"/>
      <c r="AI8" s="166"/>
      <c r="AJ8" s="166"/>
      <c r="AK8" s="166"/>
      <c r="AL8" s="166"/>
      <c r="AM8" s="164" t="s">
        <v>10</v>
      </c>
      <c r="AN8" s="164"/>
      <c r="AO8" s="159" t="s">
        <v>5</v>
      </c>
      <c r="AP8" s="159"/>
      <c r="AQ8" s="159"/>
      <c r="AR8" s="155" t="s">
        <v>31</v>
      </c>
      <c r="AS8" s="155"/>
      <c r="AT8" s="155"/>
      <c r="AU8" s="155"/>
    </row>
    <row r="9" spans="1:47" x14ac:dyDescent="0.25">
      <c r="A9" s="151"/>
      <c r="B9" s="154"/>
      <c r="C9" s="154"/>
      <c r="D9" s="154"/>
      <c r="E9" s="154"/>
      <c r="F9" s="151"/>
      <c r="G9" s="154"/>
      <c r="H9" s="151"/>
      <c r="I9" s="154"/>
      <c r="J9" s="154"/>
      <c r="K9" s="154"/>
      <c r="L9" s="154"/>
      <c r="M9" s="154"/>
      <c r="N9" s="151"/>
      <c r="O9" s="151"/>
      <c r="P9" s="151"/>
      <c r="Q9" s="156" t="s">
        <v>56</v>
      </c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157" t="s">
        <v>57</v>
      </c>
      <c r="AE9" s="158"/>
      <c r="AF9" s="158"/>
      <c r="AG9" s="158"/>
      <c r="AH9" s="158"/>
      <c r="AI9" s="158"/>
      <c r="AJ9" s="158"/>
      <c r="AK9" s="158"/>
      <c r="AL9" s="158"/>
      <c r="AM9" s="163" t="s">
        <v>13</v>
      </c>
      <c r="AN9" s="163" t="s">
        <v>12</v>
      </c>
      <c r="AO9" s="161" t="s">
        <v>37</v>
      </c>
      <c r="AP9" s="161" t="s">
        <v>38</v>
      </c>
      <c r="AQ9" s="161" t="s">
        <v>36</v>
      </c>
      <c r="AR9" s="162" t="s">
        <v>21</v>
      </c>
      <c r="AS9" s="162" t="s">
        <v>22</v>
      </c>
      <c r="AT9" s="162" t="s">
        <v>23</v>
      </c>
      <c r="AU9" s="160" t="s">
        <v>24</v>
      </c>
    </row>
    <row r="10" spans="1:47" ht="39.6" x14ac:dyDescent="0.25">
      <c r="A10" s="151"/>
      <c r="B10" s="154"/>
      <c r="C10" s="154"/>
      <c r="D10" s="154"/>
      <c r="E10" s="154"/>
      <c r="F10" s="152"/>
      <c r="G10" s="154"/>
      <c r="H10" s="152"/>
      <c r="I10" s="154"/>
      <c r="J10" s="154"/>
      <c r="K10" s="154"/>
      <c r="L10" s="154"/>
      <c r="M10" s="154"/>
      <c r="N10" s="152"/>
      <c r="O10" s="152"/>
      <c r="P10" s="152"/>
      <c r="Q10" s="59" t="s">
        <v>3</v>
      </c>
      <c r="R10" s="59" t="s">
        <v>63</v>
      </c>
      <c r="S10" s="59" t="s">
        <v>41</v>
      </c>
      <c r="T10" s="59" t="s">
        <v>54</v>
      </c>
      <c r="U10" s="59" t="s">
        <v>42</v>
      </c>
      <c r="V10" s="59" t="s">
        <v>11</v>
      </c>
      <c r="W10" s="59" t="s">
        <v>4</v>
      </c>
      <c r="X10" s="59" t="s">
        <v>9</v>
      </c>
      <c r="Y10" s="59" t="s">
        <v>19</v>
      </c>
      <c r="Z10" s="59" t="s">
        <v>171</v>
      </c>
      <c r="AA10" s="59" t="s">
        <v>168</v>
      </c>
      <c r="AB10" s="59" t="s">
        <v>123</v>
      </c>
      <c r="AC10" s="59" t="s">
        <v>14</v>
      </c>
      <c r="AD10" s="14" t="s">
        <v>58</v>
      </c>
      <c r="AE10" s="14" t="s">
        <v>62</v>
      </c>
      <c r="AF10" s="56" t="s">
        <v>40</v>
      </c>
      <c r="AG10" s="14" t="s">
        <v>65</v>
      </c>
      <c r="AH10" s="14" t="s">
        <v>59</v>
      </c>
      <c r="AI10" s="14" t="s">
        <v>84</v>
      </c>
      <c r="AJ10" s="14" t="s">
        <v>61</v>
      </c>
      <c r="AK10" s="14" t="s">
        <v>60</v>
      </c>
      <c r="AL10" s="14" t="s">
        <v>64</v>
      </c>
      <c r="AM10" s="164"/>
      <c r="AN10" s="164"/>
      <c r="AO10" s="161"/>
      <c r="AP10" s="161"/>
      <c r="AQ10" s="161"/>
      <c r="AR10" s="162"/>
      <c r="AS10" s="162"/>
      <c r="AT10" s="162"/>
      <c r="AU10" s="160"/>
    </row>
    <row r="11" spans="1:47" ht="25.8" customHeight="1" x14ac:dyDescent="0.25">
      <c r="A11" s="152"/>
      <c r="B11" s="56"/>
      <c r="C11" s="56"/>
      <c r="D11" s="56"/>
      <c r="E11" s="56"/>
      <c r="F11" s="58"/>
      <c r="G11" s="56"/>
      <c r="H11" s="56"/>
      <c r="I11" s="56"/>
      <c r="J11" s="56"/>
      <c r="K11" s="56"/>
      <c r="L11" s="56"/>
      <c r="M11" s="56"/>
      <c r="N11" s="58"/>
      <c r="O11" s="58"/>
      <c r="P11" s="58"/>
      <c r="Q11" s="59">
        <f>SUBTOTAL(9,Q12:Q392)</f>
        <v>0</v>
      </c>
      <c r="R11" s="59">
        <f>SUBTOTAL(9,R12:R392)</f>
        <v>0</v>
      </c>
      <c r="S11" s="59">
        <f>SUBTOTAL(9,S12:S575)</f>
        <v>0</v>
      </c>
      <c r="T11" s="59">
        <f>SUBTOTAL(9,T12:T575)</f>
        <v>40</v>
      </c>
      <c r="U11" s="59">
        <f>SUBTOTAL(9,U12:U493)</f>
        <v>0</v>
      </c>
      <c r="V11" s="59">
        <f>SUBTOTAL(9,V12:V436)</f>
        <v>0</v>
      </c>
      <c r="W11" s="59">
        <f>SUBTOTAL(9,W12:W436)</f>
        <v>80</v>
      </c>
      <c r="X11" s="59">
        <f>SUBTOTAL(9,X12:X436)</f>
        <v>0</v>
      </c>
      <c r="Y11" s="59">
        <f>SUBTOTAL(9,Y12:Y575)</f>
        <v>0</v>
      </c>
      <c r="Z11" s="59">
        <f>SUBTOTAL(9,Z12:Z436)</f>
        <v>0</v>
      </c>
      <c r="AA11" s="59">
        <f>SUBTOTAL(9,AA12:AA436)</f>
        <v>90</v>
      </c>
      <c r="AB11" s="59">
        <f>SUBTOTAL(9,AB12:AB575)</f>
        <v>0</v>
      </c>
      <c r="AC11" s="59">
        <f>SUBTOTAL(9,AC12:AC436)</f>
        <v>210</v>
      </c>
      <c r="AD11" s="14">
        <f>SUBTOTAL(9,AD12:AD436)</f>
        <v>190</v>
      </c>
      <c r="AE11" s="14">
        <f t="shared" ref="AE11:AK11" si="0">SUBTOTAL(9,AE12:AE575)</f>
        <v>0</v>
      </c>
      <c r="AF11" s="14">
        <f t="shared" si="0"/>
        <v>0</v>
      </c>
      <c r="AG11" s="14">
        <f t="shared" si="0"/>
        <v>45390</v>
      </c>
      <c r="AH11" s="14">
        <f t="shared" si="0"/>
        <v>180</v>
      </c>
      <c r="AI11" s="14">
        <f t="shared" si="0"/>
        <v>12740</v>
      </c>
      <c r="AJ11" s="14">
        <f t="shared" si="0"/>
        <v>4260</v>
      </c>
      <c r="AK11" s="14">
        <f t="shared" si="0"/>
        <v>12710</v>
      </c>
      <c r="AL11" s="14">
        <f>SUBTOTAL(9,AL12:AL436)</f>
        <v>75180</v>
      </c>
      <c r="AM11" s="60">
        <f>SUBTOTAL(9,AM12:AM436)</f>
        <v>318102.5376254181</v>
      </c>
      <c r="AN11" s="60">
        <f>SUBTOTAL(9,AN12:AN436)</f>
        <v>250515</v>
      </c>
      <c r="AO11" s="61">
        <f>SUBTOTAL(9,AO12:AO575)</f>
        <v>0</v>
      </c>
      <c r="AP11" s="61">
        <f>SUBTOTAL(9,AP12:AP575)</f>
        <v>1137</v>
      </c>
      <c r="AQ11" s="61">
        <f>SUBTOTAL(9,AQ12:AQ575)</f>
        <v>249378</v>
      </c>
      <c r="AR11" s="39">
        <f>SUBTOTAL(1,AR12:AR436)</f>
        <v>0.99834797246097529</v>
      </c>
      <c r="AS11" s="39">
        <f>SUBTOTAL(1,AS12:AS436)</f>
        <v>0.78040619034121206</v>
      </c>
      <c r="AT11" s="39">
        <f>SUBTOTAL(1,AT12:AT436)</f>
        <v>0.99629312397407566</v>
      </c>
      <c r="AU11" s="105">
        <f>SUBTOTAL(1,AU12:AU436)</f>
        <v>0.77626961146504969</v>
      </c>
    </row>
    <row r="12" spans="1:47" s="1" customFormat="1" ht="21" customHeight="1" x14ac:dyDescent="0.25">
      <c r="A12" s="109">
        <v>46025</v>
      </c>
      <c r="B12" s="47" t="s">
        <v>49</v>
      </c>
      <c r="C12" s="108" t="s">
        <v>21</v>
      </c>
      <c r="D12" s="47" t="s">
        <v>124</v>
      </c>
      <c r="E12" s="48">
        <v>98992</v>
      </c>
      <c r="F12" s="48" t="s">
        <v>215</v>
      </c>
      <c r="G12" s="48" t="s">
        <v>125</v>
      </c>
      <c r="H12" s="30">
        <v>15036</v>
      </c>
      <c r="I12" s="30">
        <v>32</v>
      </c>
      <c r="J12" s="28">
        <f t="shared" ref="J12:J16" si="1">3600/I12</f>
        <v>112.5</v>
      </c>
      <c r="K12" s="31">
        <v>0.25</v>
      </c>
      <c r="L12" s="31">
        <v>0.60416666666666663</v>
      </c>
      <c r="M12" s="32">
        <f t="shared" ref="M12:M56" si="2">IF(L12&gt;K12,L12-K12,1+L12-K12)</f>
        <v>0.35416666666666663</v>
      </c>
      <c r="N12" s="36">
        <v>510</v>
      </c>
      <c r="O12" s="36">
        <f>P12-AC12</f>
        <v>320</v>
      </c>
      <c r="P12" s="36">
        <f t="shared" ref="P12:P74" si="3">N12-AL12</f>
        <v>320</v>
      </c>
      <c r="Q12" s="15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5">
        <v>0</v>
      </c>
      <c r="X12" s="15">
        <v>0</v>
      </c>
      <c r="Y12" s="16">
        <v>0</v>
      </c>
      <c r="Z12" s="16">
        <v>0</v>
      </c>
      <c r="AA12" s="16">
        <v>0</v>
      </c>
      <c r="AB12" s="16">
        <v>0</v>
      </c>
      <c r="AC12" s="15">
        <f t="shared" ref="AC12:AC112" si="4">SUM(Q12:AB12)</f>
        <v>0</v>
      </c>
      <c r="AD12" s="15">
        <v>0</v>
      </c>
      <c r="AE12" s="15">
        <v>0</v>
      </c>
      <c r="AF12" s="16">
        <v>0</v>
      </c>
      <c r="AG12" s="15">
        <v>120</v>
      </c>
      <c r="AH12" s="15">
        <v>0</v>
      </c>
      <c r="AI12" s="15">
        <v>30</v>
      </c>
      <c r="AJ12" s="15">
        <v>10</v>
      </c>
      <c r="AK12" s="15">
        <v>30</v>
      </c>
      <c r="AL12" s="15">
        <f t="shared" ref="AL12:AL140" si="5">SUM(AD12:AK12)</f>
        <v>190</v>
      </c>
      <c r="AM12" s="29">
        <f t="shared" ref="AM12:AM74" si="6">P12*(J12/60)</f>
        <v>600</v>
      </c>
      <c r="AN12" s="15">
        <v>483</v>
      </c>
      <c r="AO12" s="17">
        <v>0</v>
      </c>
      <c r="AP12" s="18">
        <v>1</v>
      </c>
      <c r="AQ12" s="26">
        <f t="shared" ref="AQ12:AQ19" si="7">AN12-(AP12+AO12)</f>
        <v>482</v>
      </c>
      <c r="AR12" s="37">
        <f>O12/P12</f>
        <v>1</v>
      </c>
      <c r="AS12" s="38">
        <f>AN12/AM12</f>
        <v>0.80500000000000005</v>
      </c>
      <c r="AT12" s="38">
        <f>AQ12/AN12</f>
        <v>0.99792960662525876</v>
      </c>
      <c r="AU12" s="27">
        <f>AR12*AS12*AT12</f>
        <v>0.80333333333333334</v>
      </c>
    </row>
    <row r="13" spans="1:47" s="1" customFormat="1" ht="21" customHeight="1" x14ac:dyDescent="0.25">
      <c r="A13" s="109">
        <v>46025</v>
      </c>
      <c r="B13" s="47" t="s">
        <v>49</v>
      </c>
      <c r="C13" s="108" t="s">
        <v>21</v>
      </c>
      <c r="D13" s="47" t="s">
        <v>122</v>
      </c>
      <c r="E13" s="48">
        <v>98992</v>
      </c>
      <c r="F13" s="48" t="s">
        <v>169</v>
      </c>
      <c r="G13" s="48" t="s">
        <v>125</v>
      </c>
      <c r="H13" s="30">
        <v>14972</v>
      </c>
      <c r="I13" s="30">
        <v>32</v>
      </c>
      <c r="J13" s="28">
        <f t="shared" si="1"/>
        <v>112.5</v>
      </c>
      <c r="K13" s="31">
        <v>0.25</v>
      </c>
      <c r="L13" s="31">
        <v>0.60416666666666663</v>
      </c>
      <c r="M13" s="32">
        <f t="shared" si="2"/>
        <v>0.35416666666666663</v>
      </c>
      <c r="N13" s="36">
        <v>510</v>
      </c>
      <c r="O13" s="36">
        <f t="shared" ref="O13:O139" si="8">P13-AC13</f>
        <v>320</v>
      </c>
      <c r="P13" s="36">
        <f t="shared" si="3"/>
        <v>320</v>
      </c>
      <c r="Q13" s="15">
        <v>0</v>
      </c>
      <c r="R13" s="20">
        <v>0</v>
      </c>
      <c r="S13" s="16">
        <v>0</v>
      </c>
      <c r="T13" s="16">
        <v>0</v>
      </c>
      <c r="U13" s="20">
        <v>0</v>
      </c>
      <c r="V13" s="20">
        <v>0</v>
      </c>
      <c r="W13" s="19">
        <v>0</v>
      </c>
      <c r="X13" s="19">
        <v>0</v>
      </c>
      <c r="Y13" s="20">
        <v>0</v>
      </c>
      <c r="Z13" s="16">
        <v>0</v>
      </c>
      <c r="AA13" s="20">
        <v>0</v>
      </c>
      <c r="AB13" s="20">
        <v>0</v>
      </c>
      <c r="AC13" s="15">
        <f t="shared" si="4"/>
        <v>0</v>
      </c>
      <c r="AD13" s="15">
        <v>0</v>
      </c>
      <c r="AE13" s="19">
        <v>0</v>
      </c>
      <c r="AF13" s="20">
        <v>0</v>
      </c>
      <c r="AG13" s="15">
        <v>120</v>
      </c>
      <c r="AH13" s="15">
        <v>0</v>
      </c>
      <c r="AI13" s="15">
        <v>30</v>
      </c>
      <c r="AJ13" s="15">
        <v>10</v>
      </c>
      <c r="AK13" s="15">
        <v>30</v>
      </c>
      <c r="AL13" s="15">
        <f t="shared" si="5"/>
        <v>190</v>
      </c>
      <c r="AM13" s="29">
        <f t="shared" si="6"/>
        <v>600</v>
      </c>
      <c r="AN13" s="19">
        <v>470</v>
      </c>
      <c r="AO13" s="21">
        <v>0</v>
      </c>
      <c r="AP13" s="22">
        <v>0</v>
      </c>
      <c r="AQ13" s="26">
        <f t="shared" si="7"/>
        <v>470</v>
      </c>
      <c r="AR13" s="37">
        <f>O13/P13</f>
        <v>1</v>
      </c>
      <c r="AS13" s="38">
        <f>AN13/AM13</f>
        <v>0.78333333333333333</v>
      </c>
      <c r="AT13" s="38">
        <f>AQ13/AN13</f>
        <v>1</v>
      </c>
      <c r="AU13" s="27">
        <f>AR13*AS13*AT13</f>
        <v>0.78333333333333333</v>
      </c>
    </row>
    <row r="14" spans="1:47" s="1" customFormat="1" ht="21" customHeight="1" x14ac:dyDescent="0.25">
      <c r="A14" s="109">
        <v>46025</v>
      </c>
      <c r="B14" s="47" t="s">
        <v>49</v>
      </c>
      <c r="C14" s="108" t="s">
        <v>21</v>
      </c>
      <c r="D14" s="47" t="s">
        <v>128</v>
      </c>
      <c r="E14" s="48">
        <v>98992</v>
      </c>
      <c r="F14" s="48" t="s">
        <v>53</v>
      </c>
      <c r="G14" s="48" t="s">
        <v>125</v>
      </c>
      <c r="H14" s="30">
        <v>15671</v>
      </c>
      <c r="I14" s="30">
        <v>32</v>
      </c>
      <c r="J14" s="28">
        <f t="shared" si="1"/>
        <v>112.5</v>
      </c>
      <c r="K14" s="31">
        <v>0.25</v>
      </c>
      <c r="L14" s="31">
        <v>0.60416666666666663</v>
      </c>
      <c r="M14" s="32">
        <f t="shared" si="2"/>
        <v>0.35416666666666663</v>
      </c>
      <c r="N14" s="36">
        <v>510</v>
      </c>
      <c r="O14" s="36">
        <f t="shared" si="8"/>
        <v>440</v>
      </c>
      <c r="P14" s="36">
        <f t="shared" si="3"/>
        <v>440</v>
      </c>
      <c r="Q14" s="15">
        <v>0</v>
      </c>
      <c r="R14" s="20">
        <v>0</v>
      </c>
      <c r="S14" s="16">
        <v>0</v>
      </c>
      <c r="T14" s="16">
        <v>0</v>
      </c>
      <c r="U14" s="20">
        <v>0</v>
      </c>
      <c r="V14" s="20">
        <v>0</v>
      </c>
      <c r="W14" s="19">
        <v>0</v>
      </c>
      <c r="X14" s="19">
        <v>0</v>
      </c>
      <c r="Y14" s="20">
        <v>0</v>
      </c>
      <c r="Z14" s="16">
        <v>0</v>
      </c>
      <c r="AA14" s="20">
        <v>0</v>
      </c>
      <c r="AB14" s="20">
        <v>0</v>
      </c>
      <c r="AC14" s="15">
        <f t="shared" si="4"/>
        <v>0</v>
      </c>
      <c r="AD14" s="15">
        <v>0</v>
      </c>
      <c r="AE14" s="19">
        <v>0</v>
      </c>
      <c r="AF14" s="20">
        <v>0</v>
      </c>
      <c r="AG14" s="15">
        <v>0</v>
      </c>
      <c r="AH14" s="15">
        <v>0</v>
      </c>
      <c r="AI14" s="15">
        <v>30</v>
      </c>
      <c r="AJ14" s="15">
        <v>10</v>
      </c>
      <c r="AK14" s="15">
        <v>30</v>
      </c>
      <c r="AL14" s="15">
        <f t="shared" si="5"/>
        <v>70</v>
      </c>
      <c r="AM14" s="29">
        <f t="shared" si="6"/>
        <v>825</v>
      </c>
      <c r="AN14" s="19">
        <v>611</v>
      </c>
      <c r="AO14" s="21">
        <v>0</v>
      </c>
      <c r="AP14" s="22">
        <v>0</v>
      </c>
      <c r="AQ14" s="26">
        <f t="shared" si="7"/>
        <v>611</v>
      </c>
      <c r="AR14" s="37">
        <f>O14/P14</f>
        <v>1</v>
      </c>
      <c r="AS14" s="38">
        <f>AN14/AM14</f>
        <v>0.7406060606060606</v>
      </c>
      <c r="AT14" s="38">
        <f>AQ14/AN14</f>
        <v>1</v>
      </c>
      <c r="AU14" s="27">
        <f>AR14*AS14*AT14</f>
        <v>0.7406060606060606</v>
      </c>
    </row>
    <row r="15" spans="1:47" s="1" customFormat="1" ht="21" customHeight="1" x14ac:dyDescent="0.25">
      <c r="A15" s="109">
        <v>46025</v>
      </c>
      <c r="B15" s="47" t="s">
        <v>49</v>
      </c>
      <c r="C15" s="108" t="s">
        <v>21</v>
      </c>
      <c r="D15" s="47" t="s">
        <v>170</v>
      </c>
      <c r="E15" s="48">
        <v>98992</v>
      </c>
      <c r="F15" s="48" t="s">
        <v>176</v>
      </c>
      <c r="G15" s="48" t="s">
        <v>125</v>
      </c>
      <c r="H15" s="30">
        <v>15773</v>
      </c>
      <c r="I15" s="30">
        <v>20</v>
      </c>
      <c r="J15" s="28">
        <f t="shared" si="1"/>
        <v>180</v>
      </c>
      <c r="K15" s="31">
        <v>0.25</v>
      </c>
      <c r="L15" s="31">
        <v>0.60416666666666663</v>
      </c>
      <c r="M15" s="32">
        <f t="shared" si="2"/>
        <v>0.35416666666666663</v>
      </c>
      <c r="N15" s="36">
        <v>510</v>
      </c>
      <c r="O15" s="36">
        <f t="shared" si="8"/>
        <v>440</v>
      </c>
      <c r="P15" s="36">
        <f t="shared" si="3"/>
        <v>440</v>
      </c>
      <c r="Q15" s="15">
        <v>0</v>
      </c>
      <c r="R15" s="20">
        <v>0</v>
      </c>
      <c r="S15" s="16">
        <v>0</v>
      </c>
      <c r="T15" s="16">
        <v>0</v>
      </c>
      <c r="U15" s="20">
        <v>0</v>
      </c>
      <c r="V15" s="20">
        <v>0</v>
      </c>
      <c r="W15" s="19">
        <v>0</v>
      </c>
      <c r="X15" s="19">
        <v>0</v>
      </c>
      <c r="Y15" s="20">
        <v>0</v>
      </c>
      <c r="Z15" s="16">
        <v>0</v>
      </c>
      <c r="AA15" s="20">
        <v>0</v>
      </c>
      <c r="AB15" s="20">
        <v>0</v>
      </c>
      <c r="AC15" s="15">
        <f t="shared" si="4"/>
        <v>0</v>
      </c>
      <c r="AD15" s="15">
        <v>0</v>
      </c>
      <c r="AE15" s="19">
        <v>0</v>
      </c>
      <c r="AF15" s="20">
        <v>0</v>
      </c>
      <c r="AG15" s="15">
        <v>0</v>
      </c>
      <c r="AH15" s="15">
        <v>0</v>
      </c>
      <c r="AI15" s="15">
        <v>30</v>
      </c>
      <c r="AJ15" s="15">
        <v>10</v>
      </c>
      <c r="AK15" s="15">
        <v>30</v>
      </c>
      <c r="AL15" s="15">
        <f t="shared" si="5"/>
        <v>70</v>
      </c>
      <c r="AM15" s="29">
        <f t="shared" si="6"/>
        <v>1320</v>
      </c>
      <c r="AN15" s="19">
        <v>720</v>
      </c>
      <c r="AO15" s="21">
        <v>0</v>
      </c>
      <c r="AP15" s="22">
        <v>0</v>
      </c>
      <c r="AQ15" s="26">
        <f t="shared" si="7"/>
        <v>720</v>
      </c>
      <c r="AR15" s="37">
        <f t="shared" ref="AR15:AR39" si="9">O15/P15</f>
        <v>1</v>
      </c>
      <c r="AS15" s="38">
        <f t="shared" ref="AS15:AS76" si="10">AN15/AM15</f>
        <v>0.54545454545454541</v>
      </c>
      <c r="AT15" s="38">
        <f t="shared" ref="AT15:AT76" si="11">AQ15/AN15</f>
        <v>1</v>
      </c>
      <c r="AU15" s="27">
        <f t="shared" ref="AU15:AU76" si="12">AR15*AS15*AT15</f>
        <v>0.54545454545454541</v>
      </c>
    </row>
    <row r="16" spans="1:47" s="1" customFormat="1" ht="21" customHeight="1" x14ac:dyDescent="0.25">
      <c r="A16" s="109">
        <v>46025</v>
      </c>
      <c r="B16" s="47" t="s">
        <v>49</v>
      </c>
      <c r="C16" s="108" t="s">
        <v>21</v>
      </c>
      <c r="D16" s="47" t="s">
        <v>127</v>
      </c>
      <c r="E16" s="48">
        <v>98992</v>
      </c>
      <c r="F16" s="48" t="s">
        <v>175</v>
      </c>
      <c r="G16" s="48" t="s">
        <v>125</v>
      </c>
      <c r="H16" s="30">
        <v>16143</v>
      </c>
      <c r="I16" s="30">
        <v>20</v>
      </c>
      <c r="J16" s="28">
        <f t="shared" si="1"/>
        <v>180</v>
      </c>
      <c r="K16" s="31">
        <v>0.25</v>
      </c>
      <c r="L16" s="31">
        <v>0.60416666666666663</v>
      </c>
      <c r="M16" s="32">
        <f t="shared" si="2"/>
        <v>0.35416666666666663</v>
      </c>
      <c r="N16" s="36">
        <v>510</v>
      </c>
      <c r="O16" s="36">
        <f t="shared" si="8"/>
        <v>220</v>
      </c>
      <c r="P16" s="36">
        <f t="shared" si="3"/>
        <v>220</v>
      </c>
      <c r="Q16" s="15">
        <v>0</v>
      </c>
      <c r="R16" s="20">
        <v>0</v>
      </c>
      <c r="S16" s="16">
        <v>0</v>
      </c>
      <c r="T16" s="16">
        <v>0</v>
      </c>
      <c r="U16" s="20">
        <v>0</v>
      </c>
      <c r="V16" s="20">
        <v>0</v>
      </c>
      <c r="W16" s="19">
        <v>0</v>
      </c>
      <c r="X16" s="19">
        <v>0</v>
      </c>
      <c r="Y16" s="20">
        <v>0</v>
      </c>
      <c r="Z16" s="16">
        <v>0</v>
      </c>
      <c r="AA16" s="20">
        <v>0</v>
      </c>
      <c r="AB16" s="20">
        <v>0</v>
      </c>
      <c r="AC16" s="15">
        <f t="shared" si="4"/>
        <v>0</v>
      </c>
      <c r="AD16" s="15">
        <v>0</v>
      </c>
      <c r="AE16" s="19">
        <v>0</v>
      </c>
      <c r="AF16" s="20">
        <v>0</v>
      </c>
      <c r="AG16" s="15">
        <v>220</v>
      </c>
      <c r="AH16" s="15">
        <v>0</v>
      </c>
      <c r="AI16" s="15">
        <v>30</v>
      </c>
      <c r="AJ16" s="15">
        <v>10</v>
      </c>
      <c r="AK16" s="15">
        <v>30</v>
      </c>
      <c r="AL16" s="15">
        <f t="shared" si="5"/>
        <v>290</v>
      </c>
      <c r="AM16" s="29">
        <f t="shared" si="6"/>
        <v>660</v>
      </c>
      <c r="AN16" s="19">
        <v>650</v>
      </c>
      <c r="AO16" s="21">
        <v>0</v>
      </c>
      <c r="AP16" s="22">
        <v>0</v>
      </c>
      <c r="AQ16" s="26">
        <f t="shared" si="7"/>
        <v>650</v>
      </c>
      <c r="AR16" s="37">
        <f t="shared" si="9"/>
        <v>1</v>
      </c>
      <c r="AS16" s="38">
        <f t="shared" si="10"/>
        <v>0.98484848484848486</v>
      </c>
      <c r="AT16" s="38">
        <f t="shared" si="11"/>
        <v>1</v>
      </c>
      <c r="AU16" s="27">
        <f t="shared" si="12"/>
        <v>0.98484848484848486</v>
      </c>
    </row>
    <row r="17" spans="1:47" s="1" customFormat="1" ht="21" customHeight="1" x14ac:dyDescent="0.25">
      <c r="A17" s="109">
        <v>46025</v>
      </c>
      <c r="B17" s="47" t="s">
        <v>49</v>
      </c>
      <c r="C17" s="108" t="s">
        <v>51</v>
      </c>
      <c r="D17" s="47" t="s">
        <v>128</v>
      </c>
      <c r="E17" s="48">
        <v>98992</v>
      </c>
      <c r="F17" s="48" t="s">
        <v>53</v>
      </c>
      <c r="G17" s="48" t="s">
        <v>125</v>
      </c>
      <c r="H17" s="30">
        <v>15618</v>
      </c>
      <c r="I17" s="30">
        <v>32</v>
      </c>
      <c r="J17" s="28">
        <f t="shared" ref="J17:J21" si="13">3600/I17</f>
        <v>112.5</v>
      </c>
      <c r="K17" s="31">
        <v>0.58333333333333337</v>
      </c>
      <c r="L17" s="31">
        <v>0.9375</v>
      </c>
      <c r="M17" s="32">
        <f t="shared" si="2"/>
        <v>0.35416666666666663</v>
      </c>
      <c r="N17" s="36">
        <v>510</v>
      </c>
      <c r="O17" s="36">
        <f t="shared" si="8"/>
        <v>120</v>
      </c>
      <c r="P17" s="36">
        <f t="shared" si="3"/>
        <v>120</v>
      </c>
      <c r="Q17" s="15">
        <v>0</v>
      </c>
      <c r="R17" s="20">
        <v>0</v>
      </c>
      <c r="S17" s="16">
        <v>0</v>
      </c>
      <c r="T17" s="16">
        <v>0</v>
      </c>
      <c r="U17" s="20">
        <v>0</v>
      </c>
      <c r="V17" s="20">
        <v>0</v>
      </c>
      <c r="W17" s="19">
        <v>0</v>
      </c>
      <c r="X17" s="19">
        <v>0</v>
      </c>
      <c r="Y17" s="20">
        <v>0</v>
      </c>
      <c r="Z17" s="16">
        <v>0</v>
      </c>
      <c r="AA17" s="20">
        <v>0</v>
      </c>
      <c r="AB17" s="20">
        <v>0</v>
      </c>
      <c r="AC17" s="15">
        <f t="shared" si="4"/>
        <v>0</v>
      </c>
      <c r="AD17" s="15">
        <v>0</v>
      </c>
      <c r="AE17" s="19">
        <v>0</v>
      </c>
      <c r="AF17" s="20">
        <v>0</v>
      </c>
      <c r="AG17" s="15">
        <v>320</v>
      </c>
      <c r="AH17" s="15">
        <v>0</v>
      </c>
      <c r="AI17" s="15">
        <v>30</v>
      </c>
      <c r="AJ17" s="15">
        <v>10</v>
      </c>
      <c r="AK17" s="15">
        <v>30</v>
      </c>
      <c r="AL17" s="15">
        <f t="shared" si="5"/>
        <v>390</v>
      </c>
      <c r="AM17" s="29">
        <f t="shared" si="6"/>
        <v>225</v>
      </c>
      <c r="AN17" s="19">
        <v>180</v>
      </c>
      <c r="AO17" s="21">
        <v>0</v>
      </c>
      <c r="AP17" s="22">
        <v>0</v>
      </c>
      <c r="AQ17" s="26">
        <f t="shared" si="7"/>
        <v>180</v>
      </c>
      <c r="AR17" s="37">
        <f t="shared" si="9"/>
        <v>1</v>
      </c>
      <c r="AS17" s="38">
        <f t="shared" si="10"/>
        <v>0.8</v>
      </c>
      <c r="AT17" s="38">
        <f t="shared" si="11"/>
        <v>1</v>
      </c>
      <c r="AU17" s="27">
        <f t="shared" si="12"/>
        <v>0.8</v>
      </c>
    </row>
    <row r="18" spans="1:47" s="1" customFormat="1" ht="21" customHeight="1" x14ac:dyDescent="0.25">
      <c r="A18" s="109">
        <v>46025</v>
      </c>
      <c r="B18" s="47" t="s">
        <v>49</v>
      </c>
      <c r="C18" s="108" t="s">
        <v>51</v>
      </c>
      <c r="D18" s="47" t="s">
        <v>170</v>
      </c>
      <c r="E18" s="48">
        <v>98992</v>
      </c>
      <c r="F18" s="48" t="s">
        <v>176</v>
      </c>
      <c r="G18" s="48" t="s">
        <v>125</v>
      </c>
      <c r="H18" s="30">
        <v>15751</v>
      </c>
      <c r="I18" s="30">
        <v>20</v>
      </c>
      <c r="J18" s="28">
        <f t="shared" si="13"/>
        <v>180</v>
      </c>
      <c r="K18" s="31">
        <v>0.58333333333333337</v>
      </c>
      <c r="L18" s="31">
        <v>0.9375</v>
      </c>
      <c r="M18" s="32">
        <f t="shared" si="2"/>
        <v>0.35416666666666663</v>
      </c>
      <c r="N18" s="36">
        <v>510</v>
      </c>
      <c r="O18" s="36">
        <f t="shared" si="8"/>
        <v>120</v>
      </c>
      <c r="P18" s="36">
        <f t="shared" si="3"/>
        <v>120</v>
      </c>
      <c r="Q18" s="15">
        <v>0</v>
      </c>
      <c r="R18" s="20">
        <v>0</v>
      </c>
      <c r="S18" s="16">
        <v>0</v>
      </c>
      <c r="T18" s="16">
        <v>0</v>
      </c>
      <c r="U18" s="20">
        <v>0</v>
      </c>
      <c r="V18" s="20">
        <v>0</v>
      </c>
      <c r="W18" s="19">
        <v>0</v>
      </c>
      <c r="X18" s="19">
        <v>0</v>
      </c>
      <c r="Y18" s="20">
        <v>0</v>
      </c>
      <c r="Z18" s="16">
        <v>0</v>
      </c>
      <c r="AA18" s="20">
        <v>0</v>
      </c>
      <c r="AB18" s="20">
        <v>0</v>
      </c>
      <c r="AC18" s="15">
        <f t="shared" si="4"/>
        <v>0</v>
      </c>
      <c r="AD18" s="15">
        <v>0</v>
      </c>
      <c r="AE18" s="19">
        <v>0</v>
      </c>
      <c r="AF18" s="20">
        <v>0</v>
      </c>
      <c r="AG18" s="15">
        <v>320</v>
      </c>
      <c r="AH18" s="15">
        <v>0</v>
      </c>
      <c r="AI18" s="15">
        <v>30</v>
      </c>
      <c r="AJ18" s="15">
        <v>10</v>
      </c>
      <c r="AK18" s="15">
        <v>30</v>
      </c>
      <c r="AL18" s="15">
        <f t="shared" si="5"/>
        <v>390</v>
      </c>
      <c r="AM18" s="29">
        <f t="shared" si="6"/>
        <v>360</v>
      </c>
      <c r="AN18" s="19">
        <v>276</v>
      </c>
      <c r="AO18" s="21">
        <v>0</v>
      </c>
      <c r="AP18" s="22">
        <v>0</v>
      </c>
      <c r="AQ18" s="26">
        <f t="shared" si="7"/>
        <v>276</v>
      </c>
      <c r="AR18" s="37">
        <f t="shared" si="9"/>
        <v>1</v>
      </c>
      <c r="AS18" s="38">
        <f t="shared" si="10"/>
        <v>0.76666666666666672</v>
      </c>
      <c r="AT18" s="38">
        <f t="shared" si="11"/>
        <v>1</v>
      </c>
      <c r="AU18" s="27">
        <f t="shared" si="12"/>
        <v>0.76666666666666672</v>
      </c>
    </row>
    <row r="19" spans="1:47" s="1" customFormat="1" ht="21" customHeight="1" x14ac:dyDescent="0.25">
      <c r="A19" s="109">
        <v>46025</v>
      </c>
      <c r="B19" s="47" t="s">
        <v>49</v>
      </c>
      <c r="C19" s="108" t="s">
        <v>51</v>
      </c>
      <c r="D19" s="47" t="s">
        <v>127</v>
      </c>
      <c r="E19" s="48">
        <v>98992</v>
      </c>
      <c r="F19" s="48" t="s">
        <v>175</v>
      </c>
      <c r="G19" s="48" t="s">
        <v>125</v>
      </c>
      <c r="H19" s="30">
        <v>15851</v>
      </c>
      <c r="I19" s="30">
        <v>20</v>
      </c>
      <c r="J19" s="28">
        <f t="shared" si="13"/>
        <v>180</v>
      </c>
      <c r="K19" s="31">
        <v>0.58333333333333337</v>
      </c>
      <c r="L19" s="31">
        <v>0.9375</v>
      </c>
      <c r="M19" s="32">
        <f t="shared" si="2"/>
        <v>0.35416666666666663</v>
      </c>
      <c r="N19" s="36">
        <v>510</v>
      </c>
      <c r="O19" s="36">
        <f t="shared" si="8"/>
        <v>320</v>
      </c>
      <c r="P19" s="36">
        <f t="shared" si="3"/>
        <v>320</v>
      </c>
      <c r="Q19" s="15">
        <v>0</v>
      </c>
      <c r="R19" s="20">
        <v>0</v>
      </c>
      <c r="S19" s="16">
        <v>0</v>
      </c>
      <c r="T19" s="16">
        <v>0</v>
      </c>
      <c r="U19" s="20">
        <v>0</v>
      </c>
      <c r="V19" s="20">
        <v>0</v>
      </c>
      <c r="W19" s="19">
        <v>0</v>
      </c>
      <c r="X19" s="19">
        <v>0</v>
      </c>
      <c r="Y19" s="20">
        <v>0</v>
      </c>
      <c r="Z19" s="16">
        <v>0</v>
      </c>
      <c r="AA19" s="20">
        <v>0</v>
      </c>
      <c r="AB19" s="20">
        <v>0</v>
      </c>
      <c r="AC19" s="15">
        <f t="shared" si="4"/>
        <v>0</v>
      </c>
      <c r="AD19" s="15">
        <v>0</v>
      </c>
      <c r="AE19" s="19">
        <v>0</v>
      </c>
      <c r="AF19" s="20">
        <v>0</v>
      </c>
      <c r="AG19" s="15">
        <v>120</v>
      </c>
      <c r="AH19" s="20">
        <v>0</v>
      </c>
      <c r="AI19" s="15">
        <v>30</v>
      </c>
      <c r="AJ19" s="15">
        <v>10</v>
      </c>
      <c r="AK19" s="15">
        <v>30</v>
      </c>
      <c r="AL19" s="15">
        <f t="shared" si="5"/>
        <v>190</v>
      </c>
      <c r="AM19" s="29">
        <f t="shared" si="6"/>
        <v>960</v>
      </c>
      <c r="AN19" s="19">
        <v>724</v>
      </c>
      <c r="AO19" s="21">
        <v>0</v>
      </c>
      <c r="AP19" s="22">
        <v>0</v>
      </c>
      <c r="AQ19" s="26">
        <f t="shared" si="7"/>
        <v>724</v>
      </c>
      <c r="AR19" s="37">
        <f t="shared" si="9"/>
        <v>1</v>
      </c>
      <c r="AS19" s="38">
        <f t="shared" si="10"/>
        <v>0.75416666666666665</v>
      </c>
      <c r="AT19" s="38">
        <f t="shared" si="11"/>
        <v>1</v>
      </c>
      <c r="AU19" s="27">
        <f t="shared" si="12"/>
        <v>0.75416666666666665</v>
      </c>
    </row>
    <row r="20" spans="1:47" s="1" customFormat="1" ht="21" customHeight="1" x14ac:dyDescent="0.25">
      <c r="A20" s="109">
        <v>46025</v>
      </c>
      <c r="B20" s="47" t="s">
        <v>49</v>
      </c>
      <c r="C20" s="108" t="s">
        <v>51</v>
      </c>
      <c r="D20" s="47" t="s">
        <v>52</v>
      </c>
      <c r="E20" s="48">
        <v>98992</v>
      </c>
      <c r="F20" s="48" t="s">
        <v>53</v>
      </c>
      <c r="G20" s="48" t="s">
        <v>87</v>
      </c>
      <c r="H20" s="30">
        <v>15672</v>
      </c>
      <c r="I20" s="30">
        <v>32</v>
      </c>
      <c r="J20" s="28">
        <f t="shared" si="13"/>
        <v>112.5</v>
      </c>
      <c r="K20" s="31">
        <v>0.58333333333333337</v>
      </c>
      <c r="L20" s="31">
        <v>0.9375</v>
      </c>
      <c r="M20" s="32">
        <f t="shared" si="2"/>
        <v>0.35416666666666663</v>
      </c>
      <c r="N20" s="36">
        <v>510</v>
      </c>
      <c r="O20" s="36">
        <f t="shared" si="8"/>
        <v>220</v>
      </c>
      <c r="P20" s="36">
        <f t="shared" si="3"/>
        <v>220</v>
      </c>
      <c r="Q20" s="15">
        <v>0</v>
      </c>
      <c r="R20" s="20">
        <v>0</v>
      </c>
      <c r="S20" s="16">
        <v>0</v>
      </c>
      <c r="T20" s="16">
        <v>0</v>
      </c>
      <c r="U20" s="20">
        <v>0</v>
      </c>
      <c r="V20" s="20">
        <v>0</v>
      </c>
      <c r="W20" s="19">
        <v>0</v>
      </c>
      <c r="X20" s="19">
        <v>0</v>
      </c>
      <c r="Y20" s="20">
        <v>0</v>
      </c>
      <c r="Z20" s="16">
        <v>0</v>
      </c>
      <c r="AA20" s="20">
        <v>0</v>
      </c>
      <c r="AB20" s="20">
        <v>0</v>
      </c>
      <c r="AC20" s="15">
        <f t="shared" si="4"/>
        <v>0</v>
      </c>
      <c r="AD20" s="15">
        <v>0</v>
      </c>
      <c r="AE20" s="19">
        <v>0</v>
      </c>
      <c r="AF20" s="20">
        <v>0</v>
      </c>
      <c r="AG20" s="15">
        <v>220</v>
      </c>
      <c r="AH20" s="20">
        <v>0</v>
      </c>
      <c r="AI20" s="15">
        <v>30</v>
      </c>
      <c r="AJ20" s="15">
        <v>10</v>
      </c>
      <c r="AK20" s="15">
        <v>30</v>
      </c>
      <c r="AL20" s="15">
        <f t="shared" si="5"/>
        <v>290</v>
      </c>
      <c r="AM20" s="29">
        <f t="shared" si="6"/>
        <v>412.5</v>
      </c>
      <c r="AN20" s="19">
        <v>315</v>
      </c>
      <c r="AO20" s="21">
        <v>0</v>
      </c>
      <c r="AP20" s="22">
        <v>0</v>
      </c>
      <c r="AQ20" s="26">
        <f t="shared" ref="AQ20:AQ86" si="14">AN20-(AP20+AO20)</f>
        <v>315</v>
      </c>
      <c r="AR20" s="37">
        <f t="shared" si="9"/>
        <v>1</v>
      </c>
      <c r="AS20" s="38">
        <f t="shared" si="10"/>
        <v>0.76363636363636367</v>
      </c>
      <c r="AT20" s="38">
        <f t="shared" si="11"/>
        <v>1</v>
      </c>
      <c r="AU20" s="27">
        <f t="shared" si="12"/>
        <v>0.76363636363636367</v>
      </c>
    </row>
    <row r="21" spans="1:47" s="1" customFormat="1" ht="21" customHeight="1" x14ac:dyDescent="0.25">
      <c r="A21" s="109">
        <v>46027</v>
      </c>
      <c r="B21" s="47" t="s">
        <v>49</v>
      </c>
      <c r="C21" s="108" t="s">
        <v>21</v>
      </c>
      <c r="D21" s="47" t="s">
        <v>52</v>
      </c>
      <c r="E21" s="48">
        <v>98992</v>
      </c>
      <c r="F21" s="48" t="s">
        <v>53</v>
      </c>
      <c r="G21" s="48" t="s">
        <v>87</v>
      </c>
      <c r="H21" s="30">
        <v>15688</v>
      </c>
      <c r="I21" s="30">
        <v>32</v>
      </c>
      <c r="J21" s="28">
        <f t="shared" si="13"/>
        <v>112.5</v>
      </c>
      <c r="K21" s="31">
        <v>0.25</v>
      </c>
      <c r="L21" s="31">
        <v>0.60416666666666663</v>
      </c>
      <c r="M21" s="32">
        <f t="shared" si="2"/>
        <v>0.35416666666666663</v>
      </c>
      <c r="N21" s="36">
        <v>510</v>
      </c>
      <c r="O21" s="36">
        <f t="shared" si="8"/>
        <v>160</v>
      </c>
      <c r="P21" s="36">
        <f t="shared" si="3"/>
        <v>160</v>
      </c>
      <c r="Q21" s="15">
        <v>0</v>
      </c>
      <c r="R21" s="20">
        <v>0</v>
      </c>
      <c r="S21" s="16">
        <v>0</v>
      </c>
      <c r="T21" s="16">
        <v>0</v>
      </c>
      <c r="U21" s="20">
        <v>0</v>
      </c>
      <c r="V21" s="20">
        <v>0</v>
      </c>
      <c r="W21" s="19">
        <v>0</v>
      </c>
      <c r="X21" s="19">
        <v>0</v>
      </c>
      <c r="Y21" s="20">
        <v>0</v>
      </c>
      <c r="Z21" s="16">
        <v>0</v>
      </c>
      <c r="AA21" s="20">
        <v>0</v>
      </c>
      <c r="AB21" s="20">
        <v>0</v>
      </c>
      <c r="AC21" s="15">
        <f t="shared" si="4"/>
        <v>0</v>
      </c>
      <c r="AD21" s="15">
        <v>0</v>
      </c>
      <c r="AE21" s="19">
        <v>0</v>
      </c>
      <c r="AF21" s="20">
        <v>0</v>
      </c>
      <c r="AG21" s="15">
        <v>280</v>
      </c>
      <c r="AH21" s="15">
        <v>0</v>
      </c>
      <c r="AI21" s="15">
        <v>30</v>
      </c>
      <c r="AJ21" s="15">
        <v>10</v>
      </c>
      <c r="AK21" s="15">
        <v>30</v>
      </c>
      <c r="AL21" s="15">
        <f t="shared" si="5"/>
        <v>350</v>
      </c>
      <c r="AM21" s="29">
        <f t="shared" si="6"/>
        <v>300</v>
      </c>
      <c r="AN21" s="19">
        <v>265</v>
      </c>
      <c r="AO21" s="21">
        <v>0</v>
      </c>
      <c r="AP21" s="22">
        <v>0</v>
      </c>
      <c r="AQ21" s="26">
        <f t="shared" si="14"/>
        <v>265</v>
      </c>
      <c r="AR21" s="37">
        <f t="shared" si="9"/>
        <v>1</v>
      </c>
      <c r="AS21" s="38">
        <f t="shared" si="10"/>
        <v>0.8833333333333333</v>
      </c>
      <c r="AT21" s="38">
        <f t="shared" si="11"/>
        <v>1</v>
      </c>
      <c r="AU21" s="27">
        <f t="shared" si="12"/>
        <v>0.8833333333333333</v>
      </c>
    </row>
    <row r="22" spans="1:47" s="1" customFormat="1" ht="21" customHeight="1" x14ac:dyDescent="0.25">
      <c r="A22" s="109">
        <v>46027</v>
      </c>
      <c r="B22" s="47" t="s">
        <v>49</v>
      </c>
      <c r="C22" s="108" t="s">
        <v>21</v>
      </c>
      <c r="D22" s="47" t="s">
        <v>86</v>
      </c>
      <c r="E22" s="48">
        <v>98992</v>
      </c>
      <c r="F22" s="48" t="s">
        <v>176</v>
      </c>
      <c r="G22" s="48" t="s">
        <v>87</v>
      </c>
      <c r="H22" s="30">
        <v>15773</v>
      </c>
      <c r="I22" s="30">
        <v>20</v>
      </c>
      <c r="J22" s="28">
        <f t="shared" ref="J22:J31" si="15">3600/I22</f>
        <v>180</v>
      </c>
      <c r="K22" s="31">
        <v>0.25</v>
      </c>
      <c r="L22" s="31">
        <v>0.60416666666666663</v>
      </c>
      <c r="M22" s="32">
        <f t="shared" si="2"/>
        <v>0.35416666666666663</v>
      </c>
      <c r="N22" s="36">
        <v>510</v>
      </c>
      <c r="O22" s="36">
        <f t="shared" si="8"/>
        <v>220</v>
      </c>
      <c r="P22" s="36">
        <f t="shared" si="3"/>
        <v>220</v>
      </c>
      <c r="Q22" s="15">
        <v>0</v>
      </c>
      <c r="R22" s="20">
        <v>0</v>
      </c>
      <c r="S22" s="16">
        <v>0</v>
      </c>
      <c r="T22" s="16">
        <v>0</v>
      </c>
      <c r="U22" s="20">
        <v>0</v>
      </c>
      <c r="V22" s="20">
        <v>0</v>
      </c>
      <c r="W22" s="19">
        <v>0</v>
      </c>
      <c r="X22" s="19">
        <v>0</v>
      </c>
      <c r="Y22" s="20">
        <v>0</v>
      </c>
      <c r="Z22" s="16">
        <v>0</v>
      </c>
      <c r="AA22" s="20">
        <v>0</v>
      </c>
      <c r="AB22" s="20">
        <v>0</v>
      </c>
      <c r="AC22" s="15">
        <f t="shared" si="4"/>
        <v>0</v>
      </c>
      <c r="AD22" s="15">
        <v>0</v>
      </c>
      <c r="AE22" s="19">
        <v>0</v>
      </c>
      <c r="AF22" s="20">
        <v>0</v>
      </c>
      <c r="AG22" s="15">
        <v>220</v>
      </c>
      <c r="AH22" s="15">
        <v>0</v>
      </c>
      <c r="AI22" s="15">
        <v>30</v>
      </c>
      <c r="AJ22" s="15">
        <v>10</v>
      </c>
      <c r="AK22" s="15">
        <v>30</v>
      </c>
      <c r="AL22" s="15">
        <f t="shared" si="5"/>
        <v>290</v>
      </c>
      <c r="AM22" s="29">
        <f t="shared" si="6"/>
        <v>660</v>
      </c>
      <c r="AN22" s="19">
        <v>504</v>
      </c>
      <c r="AO22" s="21">
        <v>0</v>
      </c>
      <c r="AP22" s="22">
        <v>0</v>
      </c>
      <c r="AQ22" s="26">
        <f t="shared" si="14"/>
        <v>504</v>
      </c>
      <c r="AR22" s="37">
        <f t="shared" si="9"/>
        <v>1</v>
      </c>
      <c r="AS22" s="38">
        <f t="shared" si="10"/>
        <v>0.76363636363636367</v>
      </c>
      <c r="AT22" s="38">
        <f t="shared" si="11"/>
        <v>1</v>
      </c>
      <c r="AU22" s="27">
        <f t="shared" si="12"/>
        <v>0.76363636363636367</v>
      </c>
    </row>
    <row r="23" spans="1:47" s="1" customFormat="1" ht="21" customHeight="1" x14ac:dyDescent="0.25">
      <c r="A23" s="109">
        <v>46027</v>
      </c>
      <c r="B23" s="47" t="s">
        <v>49</v>
      </c>
      <c r="C23" s="108" t="s">
        <v>21</v>
      </c>
      <c r="D23" s="47" t="s">
        <v>89</v>
      </c>
      <c r="E23" s="48">
        <v>98992</v>
      </c>
      <c r="F23" s="48" t="s">
        <v>169</v>
      </c>
      <c r="G23" s="48" t="s">
        <v>87</v>
      </c>
      <c r="H23" s="30">
        <v>15688</v>
      </c>
      <c r="I23" s="30">
        <v>32</v>
      </c>
      <c r="J23" s="28">
        <f t="shared" si="15"/>
        <v>112.5</v>
      </c>
      <c r="K23" s="31">
        <v>0.25</v>
      </c>
      <c r="L23" s="31">
        <v>0.60416666666666663</v>
      </c>
      <c r="M23" s="32">
        <f t="shared" si="2"/>
        <v>0.35416666666666663</v>
      </c>
      <c r="N23" s="36">
        <v>510</v>
      </c>
      <c r="O23" s="36">
        <f t="shared" si="8"/>
        <v>440</v>
      </c>
      <c r="P23" s="36">
        <f t="shared" si="3"/>
        <v>440</v>
      </c>
      <c r="Q23" s="15">
        <v>0</v>
      </c>
      <c r="R23" s="20">
        <v>0</v>
      </c>
      <c r="S23" s="16">
        <v>0</v>
      </c>
      <c r="T23" s="16">
        <v>0</v>
      </c>
      <c r="U23" s="20">
        <v>0</v>
      </c>
      <c r="V23" s="20">
        <v>0</v>
      </c>
      <c r="W23" s="19">
        <v>0</v>
      </c>
      <c r="X23" s="19">
        <v>0</v>
      </c>
      <c r="Y23" s="20">
        <v>0</v>
      </c>
      <c r="Z23" s="16">
        <v>0</v>
      </c>
      <c r="AA23" s="20">
        <v>0</v>
      </c>
      <c r="AB23" s="20">
        <v>0</v>
      </c>
      <c r="AC23" s="15">
        <f t="shared" si="4"/>
        <v>0</v>
      </c>
      <c r="AD23" s="15">
        <v>0</v>
      </c>
      <c r="AE23" s="19">
        <v>0</v>
      </c>
      <c r="AF23" s="20">
        <v>0</v>
      </c>
      <c r="AG23" s="15">
        <v>0</v>
      </c>
      <c r="AH23" s="15">
        <v>0</v>
      </c>
      <c r="AI23" s="15">
        <v>30</v>
      </c>
      <c r="AJ23" s="15">
        <v>10</v>
      </c>
      <c r="AK23" s="15">
        <v>30</v>
      </c>
      <c r="AL23" s="15">
        <f t="shared" si="5"/>
        <v>70</v>
      </c>
      <c r="AM23" s="29">
        <f t="shared" si="6"/>
        <v>825</v>
      </c>
      <c r="AN23" s="19">
        <v>601</v>
      </c>
      <c r="AO23" s="21">
        <v>0</v>
      </c>
      <c r="AP23" s="22">
        <v>0</v>
      </c>
      <c r="AQ23" s="26">
        <f t="shared" si="14"/>
        <v>601</v>
      </c>
      <c r="AR23" s="37">
        <f t="shared" si="9"/>
        <v>1</v>
      </c>
      <c r="AS23" s="38">
        <f t="shared" si="10"/>
        <v>0.72848484848484851</v>
      </c>
      <c r="AT23" s="38">
        <f t="shared" si="11"/>
        <v>1</v>
      </c>
      <c r="AU23" s="27">
        <f t="shared" si="12"/>
        <v>0.72848484848484851</v>
      </c>
    </row>
    <row r="24" spans="1:47" s="1" customFormat="1" ht="21" customHeight="1" x14ac:dyDescent="0.25">
      <c r="A24" s="109">
        <v>46027</v>
      </c>
      <c r="B24" s="47" t="s">
        <v>49</v>
      </c>
      <c r="C24" s="108" t="s">
        <v>21</v>
      </c>
      <c r="D24" s="47" t="s">
        <v>89</v>
      </c>
      <c r="E24" s="48">
        <v>98992</v>
      </c>
      <c r="F24" s="48" t="s">
        <v>169</v>
      </c>
      <c r="G24" s="48" t="s">
        <v>87</v>
      </c>
      <c r="H24" s="30">
        <v>15589</v>
      </c>
      <c r="I24" s="30">
        <v>32</v>
      </c>
      <c r="J24" s="28">
        <f t="shared" si="15"/>
        <v>112.5</v>
      </c>
      <c r="K24" s="31">
        <v>0.25</v>
      </c>
      <c r="L24" s="31">
        <v>0.60416666666666663</v>
      </c>
      <c r="M24" s="32">
        <f t="shared" si="2"/>
        <v>0.35416666666666663</v>
      </c>
      <c r="N24" s="36">
        <v>510</v>
      </c>
      <c r="O24" s="36">
        <f t="shared" si="8"/>
        <v>220</v>
      </c>
      <c r="P24" s="36">
        <f t="shared" si="3"/>
        <v>220</v>
      </c>
      <c r="Q24" s="15">
        <v>0</v>
      </c>
      <c r="R24" s="20">
        <v>0</v>
      </c>
      <c r="S24" s="16">
        <v>0</v>
      </c>
      <c r="T24" s="16">
        <v>0</v>
      </c>
      <c r="U24" s="20">
        <v>0</v>
      </c>
      <c r="V24" s="20">
        <v>0</v>
      </c>
      <c r="W24" s="19">
        <v>0</v>
      </c>
      <c r="X24" s="19">
        <v>0</v>
      </c>
      <c r="Y24" s="20">
        <v>0</v>
      </c>
      <c r="Z24" s="16">
        <v>0</v>
      </c>
      <c r="AA24" s="20">
        <v>0</v>
      </c>
      <c r="AB24" s="20">
        <v>0</v>
      </c>
      <c r="AC24" s="15">
        <f t="shared" si="4"/>
        <v>0</v>
      </c>
      <c r="AD24" s="15">
        <v>0</v>
      </c>
      <c r="AE24" s="19">
        <v>0</v>
      </c>
      <c r="AF24" s="20">
        <v>0</v>
      </c>
      <c r="AG24" s="15">
        <v>220</v>
      </c>
      <c r="AH24" s="15">
        <v>0</v>
      </c>
      <c r="AI24" s="15">
        <v>30</v>
      </c>
      <c r="AJ24" s="15">
        <v>10</v>
      </c>
      <c r="AK24" s="15">
        <v>30</v>
      </c>
      <c r="AL24" s="15">
        <f t="shared" si="5"/>
        <v>290</v>
      </c>
      <c r="AM24" s="29">
        <f t="shared" si="6"/>
        <v>412.5</v>
      </c>
      <c r="AN24" s="19">
        <v>367</v>
      </c>
      <c r="AO24" s="21">
        <v>0</v>
      </c>
      <c r="AP24" s="22">
        <v>0</v>
      </c>
      <c r="AQ24" s="26">
        <f t="shared" si="14"/>
        <v>367</v>
      </c>
      <c r="AR24" s="37">
        <f t="shared" si="9"/>
        <v>1</v>
      </c>
      <c r="AS24" s="38">
        <f t="shared" si="10"/>
        <v>0.88969696969696965</v>
      </c>
      <c r="AT24" s="38">
        <f t="shared" si="11"/>
        <v>1</v>
      </c>
      <c r="AU24" s="27">
        <f t="shared" si="12"/>
        <v>0.88969696969696965</v>
      </c>
    </row>
    <row r="25" spans="1:47" s="1" customFormat="1" ht="21" customHeight="1" x14ac:dyDescent="0.25">
      <c r="A25" s="109">
        <v>46027</v>
      </c>
      <c r="B25" s="47" t="s">
        <v>49</v>
      </c>
      <c r="C25" s="108" t="s">
        <v>21</v>
      </c>
      <c r="D25" s="47" t="s">
        <v>86</v>
      </c>
      <c r="E25" s="48">
        <v>98992</v>
      </c>
      <c r="F25" s="48" t="s">
        <v>176</v>
      </c>
      <c r="G25" s="48" t="s">
        <v>87</v>
      </c>
      <c r="H25" s="30">
        <v>15773</v>
      </c>
      <c r="I25" s="30">
        <v>20</v>
      </c>
      <c r="J25" s="28">
        <f t="shared" si="15"/>
        <v>180</v>
      </c>
      <c r="K25" s="31">
        <v>0.25</v>
      </c>
      <c r="L25" s="31">
        <v>0.60416666666666663</v>
      </c>
      <c r="M25" s="32">
        <f t="shared" si="2"/>
        <v>0.35416666666666663</v>
      </c>
      <c r="N25" s="36">
        <v>510</v>
      </c>
      <c r="O25" s="36">
        <f t="shared" si="8"/>
        <v>260</v>
      </c>
      <c r="P25" s="36">
        <f t="shared" si="3"/>
        <v>260</v>
      </c>
      <c r="Q25" s="15">
        <v>0</v>
      </c>
      <c r="R25" s="20">
        <v>0</v>
      </c>
      <c r="S25" s="16">
        <v>0</v>
      </c>
      <c r="T25" s="16">
        <v>0</v>
      </c>
      <c r="U25" s="20">
        <v>0</v>
      </c>
      <c r="V25" s="20">
        <v>0</v>
      </c>
      <c r="W25" s="19">
        <v>0</v>
      </c>
      <c r="X25" s="19">
        <v>0</v>
      </c>
      <c r="Y25" s="20">
        <v>0</v>
      </c>
      <c r="Z25" s="16">
        <v>0</v>
      </c>
      <c r="AA25" s="20">
        <v>0</v>
      </c>
      <c r="AB25" s="20">
        <v>0</v>
      </c>
      <c r="AC25" s="15">
        <f t="shared" si="4"/>
        <v>0</v>
      </c>
      <c r="AD25" s="15">
        <v>0</v>
      </c>
      <c r="AE25" s="19">
        <v>0</v>
      </c>
      <c r="AF25" s="20">
        <v>0</v>
      </c>
      <c r="AG25" s="15">
        <v>180</v>
      </c>
      <c r="AH25" s="15">
        <v>0</v>
      </c>
      <c r="AI25" s="15">
        <v>30</v>
      </c>
      <c r="AJ25" s="15">
        <v>10</v>
      </c>
      <c r="AK25" s="15">
        <v>30</v>
      </c>
      <c r="AL25" s="15">
        <f t="shared" si="5"/>
        <v>250</v>
      </c>
      <c r="AM25" s="29">
        <f t="shared" si="6"/>
        <v>780</v>
      </c>
      <c r="AN25" s="19">
        <v>650</v>
      </c>
      <c r="AO25" s="21">
        <v>0</v>
      </c>
      <c r="AP25" s="22">
        <v>0</v>
      </c>
      <c r="AQ25" s="26">
        <f t="shared" si="14"/>
        <v>650</v>
      </c>
      <c r="AR25" s="37">
        <f t="shared" si="9"/>
        <v>1</v>
      </c>
      <c r="AS25" s="38">
        <f t="shared" si="10"/>
        <v>0.83333333333333337</v>
      </c>
      <c r="AT25" s="38">
        <f t="shared" si="11"/>
        <v>1</v>
      </c>
      <c r="AU25" s="27">
        <f t="shared" si="12"/>
        <v>0.83333333333333337</v>
      </c>
    </row>
    <row r="26" spans="1:47" s="1" customFormat="1" ht="21" customHeight="1" x14ac:dyDescent="0.25">
      <c r="A26" s="109">
        <v>46027</v>
      </c>
      <c r="B26" s="47" t="s">
        <v>49</v>
      </c>
      <c r="C26" s="108" t="s">
        <v>21</v>
      </c>
      <c r="D26" s="47" t="s">
        <v>124</v>
      </c>
      <c r="E26" s="48">
        <v>98992</v>
      </c>
      <c r="F26" s="48" t="s">
        <v>215</v>
      </c>
      <c r="G26" s="48" t="s">
        <v>125</v>
      </c>
      <c r="H26" s="30">
        <v>15036</v>
      </c>
      <c r="I26" s="30">
        <v>32</v>
      </c>
      <c r="J26" s="28">
        <f t="shared" si="15"/>
        <v>112.5</v>
      </c>
      <c r="K26" s="31">
        <v>0.25</v>
      </c>
      <c r="L26" s="31">
        <v>0.60416666666666663</v>
      </c>
      <c r="M26" s="32">
        <f t="shared" si="2"/>
        <v>0.35416666666666663</v>
      </c>
      <c r="N26" s="36">
        <v>510</v>
      </c>
      <c r="O26" s="36">
        <f t="shared" si="8"/>
        <v>440</v>
      </c>
      <c r="P26" s="36">
        <f t="shared" si="3"/>
        <v>440</v>
      </c>
      <c r="Q26" s="15">
        <v>0</v>
      </c>
      <c r="R26" s="20">
        <v>0</v>
      </c>
      <c r="S26" s="16">
        <v>0</v>
      </c>
      <c r="T26" s="16">
        <v>0</v>
      </c>
      <c r="U26" s="20">
        <v>0</v>
      </c>
      <c r="V26" s="20">
        <v>0</v>
      </c>
      <c r="W26" s="19">
        <v>0</v>
      </c>
      <c r="X26" s="19">
        <v>0</v>
      </c>
      <c r="Y26" s="20">
        <v>0</v>
      </c>
      <c r="Z26" s="16">
        <v>0</v>
      </c>
      <c r="AA26" s="20">
        <v>0</v>
      </c>
      <c r="AB26" s="20">
        <v>0</v>
      </c>
      <c r="AC26" s="15">
        <f t="shared" si="4"/>
        <v>0</v>
      </c>
      <c r="AD26" s="15">
        <v>0</v>
      </c>
      <c r="AE26" s="19">
        <v>0</v>
      </c>
      <c r="AF26" s="20">
        <v>0</v>
      </c>
      <c r="AG26" s="15">
        <v>0</v>
      </c>
      <c r="AH26" s="15">
        <v>0</v>
      </c>
      <c r="AI26" s="15">
        <v>30</v>
      </c>
      <c r="AJ26" s="15">
        <v>10</v>
      </c>
      <c r="AK26" s="15">
        <v>30</v>
      </c>
      <c r="AL26" s="15">
        <f t="shared" si="5"/>
        <v>70</v>
      </c>
      <c r="AM26" s="29">
        <f t="shared" si="6"/>
        <v>825</v>
      </c>
      <c r="AN26" s="19">
        <v>702</v>
      </c>
      <c r="AO26" s="21">
        <v>0</v>
      </c>
      <c r="AP26" s="22">
        <v>0</v>
      </c>
      <c r="AQ26" s="26">
        <f t="shared" si="14"/>
        <v>702</v>
      </c>
      <c r="AR26" s="37">
        <f t="shared" si="9"/>
        <v>1</v>
      </c>
      <c r="AS26" s="38">
        <f t="shared" si="10"/>
        <v>0.85090909090909095</v>
      </c>
      <c r="AT26" s="38">
        <f t="shared" si="11"/>
        <v>1</v>
      </c>
      <c r="AU26" s="27">
        <f t="shared" si="12"/>
        <v>0.85090909090909095</v>
      </c>
    </row>
    <row r="27" spans="1:47" s="1" customFormat="1" ht="21" customHeight="1" x14ac:dyDescent="0.25">
      <c r="A27" s="109">
        <v>46027</v>
      </c>
      <c r="B27" s="47" t="s">
        <v>49</v>
      </c>
      <c r="C27" s="108" t="s">
        <v>21</v>
      </c>
      <c r="D27" s="47" t="s">
        <v>122</v>
      </c>
      <c r="E27" s="48">
        <v>98992</v>
      </c>
      <c r="F27" s="48" t="s">
        <v>169</v>
      </c>
      <c r="G27" s="48" t="s">
        <v>125</v>
      </c>
      <c r="H27" s="30">
        <v>14972</v>
      </c>
      <c r="I27" s="30">
        <v>32</v>
      </c>
      <c r="J27" s="28">
        <f t="shared" si="15"/>
        <v>112.5</v>
      </c>
      <c r="K27" s="31">
        <v>0.25</v>
      </c>
      <c r="L27" s="31">
        <v>0.60416666666666663</v>
      </c>
      <c r="M27" s="32">
        <f t="shared" si="2"/>
        <v>0.35416666666666663</v>
      </c>
      <c r="N27" s="36">
        <v>510</v>
      </c>
      <c r="O27" s="36">
        <f t="shared" si="8"/>
        <v>320</v>
      </c>
      <c r="P27" s="36">
        <f t="shared" si="3"/>
        <v>320</v>
      </c>
      <c r="Q27" s="15">
        <v>0</v>
      </c>
      <c r="R27" s="20">
        <v>0</v>
      </c>
      <c r="S27" s="16">
        <v>0</v>
      </c>
      <c r="T27" s="16">
        <v>0</v>
      </c>
      <c r="U27" s="20">
        <v>0</v>
      </c>
      <c r="V27" s="20">
        <v>0</v>
      </c>
      <c r="W27" s="19">
        <v>0</v>
      </c>
      <c r="X27" s="19">
        <v>0</v>
      </c>
      <c r="Y27" s="20">
        <v>0</v>
      </c>
      <c r="Z27" s="16">
        <v>0</v>
      </c>
      <c r="AA27" s="20">
        <v>0</v>
      </c>
      <c r="AB27" s="20">
        <v>0</v>
      </c>
      <c r="AC27" s="15">
        <f t="shared" si="4"/>
        <v>0</v>
      </c>
      <c r="AD27" s="15">
        <v>0</v>
      </c>
      <c r="AE27" s="19">
        <v>0</v>
      </c>
      <c r="AF27" s="20">
        <v>0</v>
      </c>
      <c r="AG27" s="15">
        <v>120</v>
      </c>
      <c r="AH27" s="15">
        <v>0</v>
      </c>
      <c r="AI27" s="15">
        <v>30</v>
      </c>
      <c r="AJ27" s="15">
        <v>10</v>
      </c>
      <c r="AK27" s="15">
        <v>30</v>
      </c>
      <c r="AL27" s="15">
        <f t="shared" si="5"/>
        <v>190</v>
      </c>
      <c r="AM27" s="29">
        <f t="shared" si="6"/>
        <v>600</v>
      </c>
      <c r="AN27" s="19">
        <v>512</v>
      </c>
      <c r="AO27" s="21">
        <v>0</v>
      </c>
      <c r="AP27" s="22">
        <v>0</v>
      </c>
      <c r="AQ27" s="26">
        <f t="shared" si="14"/>
        <v>512</v>
      </c>
      <c r="AR27" s="37">
        <f t="shared" si="9"/>
        <v>1</v>
      </c>
      <c r="AS27" s="38">
        <f t="shared" si="10"/>
        <v>0.85333333333333339</v>
      </c>
      <c r="AT27" s="38">
        <f t="shared" si="11"/>
        <v>1</v>
      </c>
      <c r="AU27" s="27">
        <f t="shared" si="12"/>
        <v>0.85333333333333339</v>
      </c>
    </row>
    <row r="28" spans="1:47" s="1" customFormat="1" ht="21" customHeight="1" x14ac:dyDescent="0.25">
      <c r="A28" s="109">
        <v>46027</v>
      </c>
      <c r="B28" s="47" t="s">
        <v>49</v>
      </c>
      <c r="C28" s="108" t="s">
        <v>21</v>
      </c>
      <c r="D28" s="47" t="s">
        <v>128</v>
      </c>
      <c r="E28" s="48">
        <v>98992</v>
      </c>
      <c r="F28" s="48" t="s">
        <v>53</v>
      </c>
      <c r="G28" s="48" t="s">
        <v>125</v>
      </c>
      <c r="H28" s="30">
        <v>16000</v>
      </c>
      <c r="I28" s="30">
        <v>32</v>
      </c>
      <c r="J28" s="28">
        <f t="shared" si="15"/>
        <v>112.5</v>
      </c>
      <c r="K28" s="31">
        <v>0.25</v>
      </c>
      <c r="L28" s="31">
        <v>0.60416666666666663</v>
      </c>
      <c r="M28" s="32">
        <f t="shared" si="2"/>
        <v>0.35416666666666663</v>
      </c>
      <c r="N28" s="36">
        <v>510</v>
      </c>
      <c r="O28" s="36">
        <f t="shared" si="8"/>
        <v>260</v>
      </c>
      <c r="P28" s="36">
        <f t="shared" si="3"/>
        <v>260</v>
      </c>
      <c r="Q28" s="15">
        <v>0</v>
      </c>
      <c r="R28" s="20">
        <v>0</v>
      </c>
      <c r="S28" s="16">
        <v>0</v>
      </c>
      <c r="T28" s="16">
        <v>0</v>
      </c>
      <c r="U28" s="20">
        <v>0</v>
      </c>
      <c r="V28" s="20">
        <v>0</v>
      </c>
      <c r="W28" s="19">
        <v>0</v>
      </c>
      <c r="X28" s="19">
        <v>0</v>
      </c>
      <c r="Y28" s="20">
        <v>0</v>
      </c>
      <c r="Z28" s="16">
        <v>0</v>
      </c>
      <c r="AA28" s="20">
        <v>0</v>
      </c>
      <c r="AB28" s="20">
        <v>0</v>
      </c>
      <c r="AC28" s="15">
        <f t="shared" si="4"/>
        <v>0</v>
      </c>
      <c r="AD28" s="15">
        <v>0</v>
      </c>
      <c r="AE28" s="19">
        <v>0</v>
      </c>
      <c r="AF28" s="20">
        <v>0</v>
      </c>
      <c r="AG28" s="15">
        <v>180</v>
      </c>
      <c r="AH28" s="15">
        <v>0</v>
      </c>
      <c r="AI28" s="15">
        <v>30</v>
      </c>
      <c r="AJ28" s="15">
        <v>10</v>
      </c>
      <c r="AK28" s="15">
        <v>30</v>
      </c>
      <c r="AL28" s="15">
        <f t="shared" si="5"/>
        <v>250</v>
      </c>
      <c r="AM28" s="29">
        <f t="shared" si="6"/>
        <v>487.5</v>
      </c>
      <c r="AN28" s="19">
        <v>465</v>
      </c>
      <c r="AO28" s="21">
        <v>0</v>
      </c>
      <c r="AP28" s="22">
        <v>0</v>
      </c>
      <c r="AQ28" s="26">
        <f t="shared" si="14"/>
        <v>465</v>
      </c>
      <c r="AR28" s="37">
        <f t="shared" si="9"/>
        <v>1</v>
      </c>
      <c r="AS28" s="38">
        <f t="shared" si="10"/>
        <v>0.9538461538461539</v>
      </c>
      <c r="AT28" s="38">
        <f t="shared" si="11"/>
        <v>1</v>
      </c>
      <c r="AU28" s="27">
        <f t="shared" si="12"/>
        <v>0.9538461538461539</v>
      </c>
    </row>
    <row r="29" spans="1:47" s="1" customFormat="1" ht="21" customHeight="1" x14ac:dyDescent="0.25">
      <c r="A29" s="109">
        <v>46027</v>
      </c>
      <c r="B29" s="47" t="s">
        <v>49</v>
      </c>
      <c r="C29" s="108" t="s">
        <v>51</v>
      </c>
      <c r="D29" s="47" t="s">
        <v>124</v>
      </c>
      <c r="E29" s="48">
        <v>98992</v>
      </c>
      <c r="F29" s="48" t="s">
        <v>215</v>
      </c>
      <c r="G29" s="48" t="s">
        <v>125</v>
      </c>
      <c r="H29" s="30">
        <v>15114</v>
      </c>
      <c r="I29" s="30">
        <v>32</v>
      </c>
      <c r="J29" s="28">
        <f t="shared" si="15"/>
        <v>112.5</v>
      </c>
      <c r="K29" s="31">
        <v>0.25</v>
      </c>
      <c r="L29" s="31">
        <v>0.60416666666666663</v>
      </c>
      <c r="M29" s="32">
        <f t="shared" si="2"/>
        <v>0.35416666666666663</v>
      </c>
      <c r="N29" s="36">
        <v>510</v>
      </c>
      <c r="O29" s="36">
        <f t="shared" si="8"/>
        <v>380</v>
      </c>
      <c r="P29" s="36">
        <f t="shared" si="3"/>
        <v>380</v>
      </c>
      <c r="Q29" s="15">
        <v>0</v>
      </c>
      <c r="R29" s="20">
        <v>0</v>
      </c>
      <c r="S29" s="16">
        <v>0</v>
      </c>
      <c r="T29" s="16">
        <v>0</v>
      </c>
      <c r="U29" s="20">
        <v>0</v>
      </c>
      <c r="V29" s="20">
        <v>0</v>
      </c>
      <c r="W29" s="19">
        <v>0</v>
      </c>
      <c r="X29" s="19">
        <v>0</v>
      </c>
      <c r="Y29" s="20">
        <v>0</v>
      </c>
      <c r="Z29" s="16">
        <v>0</v>
      </c>
      <c r="AA29" s="20">
        <v>0</v>
      </c>
      <c r="AB29" s="20">
        <v>0</v>
      </c>
      <c r="AC29" s="15">
        <f t="shared" si="4"/>
        <v>0</v>
      </c>
      <c r="AD29" s="15">
        <v>0</v>
      </c>
      <c r="AE29" s="19">
        <v>0</v>
      </c>
      <c r="AF29" s="20">
        <v>0</v>
      </c>
      <c r="AG29" s="15">
        <v>60</v>
      </c>
      <c r="AH29" s="15">
        <v>0</v>
      </c>
      <c r="AI29" s="15">
        <v>30</v>
      </c>
      <c r="AJ29" s="15">
        <v>10</v>
      </c>
      <c r="AK29" s="15">
        <v>30</v>
      </c>
      <c r="AL29" s="15">
        <f t="shared" si="5"/>
        <v>130</v>
      </c>
      <c r="AM29" s="29">
        <f t="shared" si="6"/>
        <v>712.5</v>
      </c>
      <c r="AN29" s="19">
        <v>626</v>
      </c>
      <c r="AO29" s="21">
        <v>0</v>
      </c>
      <c r="AP29" s="22">
        <v>0</v>
      </c>
      <c r="AQ29" s="26">
        <f t="shared" si="14"/>
        <v>626</v>
      </c>
      <c r="AR29" s="37">
        <f t="shared" si="9"/>
        <v>1</v>
      </c>
      <c r="AS29" s="38">
        <f t="shared" si="10"/>
        <v>0.87859649122807015</v>
      </c>
      <c r="AT29" s="38">
        <f t="shared" si="11"/>
        <v>1</v>
      </c>
      <c r="AU29" s="27">
        <f t="shared" si="12"/>
        <v>0.87859649122807015</v>
      </c>
    </row>
    <row r="30" spans="1:47" s="1" customFormat="1" ht="21" customHeight="1" x14ac:dyDescent="0.25">
      <c r="A30" s="109">
        <v>46027</v>
      </c>
      <c r="B30" s="47" t="s">
        <v>49</v>
      </c>
      <c r="C30" s="108" t="s">
        <v>51</v>
      </c>
      <c r="D30" s="47" t="s">
        <v>122</v>
      </c>
      <c r="E30" s="48">
        <v>98992</v>
      </c>
      <c r="F30" s="48" t="s">
        <v>169</v>
      </c>
      <c r="G30" s="48" t="s">
        <v>125</v>
      </c>
      <c r="H30" s="30">
        <v>13106</v>
      </c>
      <c r="I30" s="30">
        <v>32</v>
      </c>
      <c r="J30" s="28">
        <f t="shared" si="15"/>
        <v>112.5</v>
      </c>
      <c r="K30" s="31">
        <v>0.25</v>
      </c>
      <c r="L30" s="31">
        <v>0.60416666666666663</v>
      </c>
      <c r="M30" s="32">
        <f t="shared" si="2"/>
        <v>0.35416666666666663</v>
      </c>
      <c r="N30" s="36">
        <v>510</v>
      </c>
      <c r="O30" s="36">
        <f t="shared" si="8"/>
        <v>440</v>
      </c>
      <c r="P30" s="36">
        <f t="shared" si="3"/>
        <v>440</v>
      </c>
      <c r="Q30" s="15">
        <v>0</v>
      </c>
      <c r="R30" s="20">
        <v>0</v>
      </c>
      <c r="S30" s="16">
        <v>0</v>
      </c>
      <c r="T30" s="16">
        <v>0</v>
      </c>
      <c r="U30" s="20">
        <v>0</v>
      </c>
      <c r="V30" s="20">
        <v>0</v>
      </c>
      <c r="W30" s="19">
        <v>0</v>
      </c>
      <c r="X30" s="19">
        <v>0</v>
      </c>
      <c r="Y30" s="20">
        <v>0</v>
      </c>
      <c r="Z30" s="16">
        <v>0</v>
      </c>
      <c r="AA30" s="20">
        <v>0</v>
      </c>
      <c r="AB30" s="20">
        <v>0</v>
      </c>
      <c r="AC30" s="15">
        <f t="shared" si="4"/>
        <v>0</v>
      </c>
      <c r="AD30" s="15">
        <v>0</v>
      </c>
      <c r="AE30" s="19">
        <v>0</v>
      </c>
      <c r="AF30" s="20">
        <v>0</v>
      </c>
      <c r="AG30" s="15">
        <v>0</v>
      </c>
      <c r="AH30" s="15">
        <v>0</v>
      </c>
      <c r="AI30" s="15">
        <v>30</v>
      </c>
      <c r="AJ30" s="15">
        <v>10</v>
      </c>
      <c r="AK30" s="15">
        <v>30</v>
      </c>
      <c r="AL30" s="15">
        <f t="shared" si="5"/>
        <v>70</v>
      </c>
      <c r="AM30" s="29">
        <f t="shared" si="6"/>
        <v>825</v>
      </c>
      <c r="AN30" s="19">
        <f>214+610</f>
        <v>824</v>
      </c>
      <c r="AO30" s="21">
        <v>0</v>
      </c>
      <c r="AP30" s="22">
        <v>0</v>
      </c>
      <c r="AQ30" s="26">
        <f t="shared" si="14"/>
        <v>824</v>
      </c>
      <c r="AR30" s="37">
        <f t="shared" si="9"/>
        <v>1</v>
      </c>
      <c r="AS30" s="38">
        <f t="shared" si="10"/>
        <v>0.99878787878787878</v>
      </c>
      <c r="AT30" s="38">
        <f t="shared" si="11"/>
        <v>1</v>
      </c>
      <c r="AU30" s="27">
        <f t="shared" si="12"/>
        <v>0.99878787878787878</v>
      </c>
    </row>
    <row r="31" spans="1:47" s="1" customFormat="1" ht="21" customHeight="1" x14ac:dyDescent="0.25">
      <c r="A31" s="109">
        <v>46027</v>
      </c>
      <c r="B31" s="47" t="s">
        <v>49</v>
      </c>
      <c r="C31" s="108" t="s">
        <v>51</v>
      </c>
      <c r="D31" s="47" t="s">
        <v>128</v>
      </c>
      <c r="E31" s="48">
        <v>98992</v>
      </c>
      <c r="F31" s="48" t="s">
        <v>53</v>
      </c>
      <c r="G31" s="48" t="s">
        <v>125</v>
      </c>
      <c r="H31" s="30">
        <v>15618</v>
      </c>
      <c r="I31" s="30">
        <v>32</v>
      </c>
      <c r="J31" s="28">
        <f t="shared" si="15"/>
        <v>112.5</v>
      </c>
      <c r="K31" s="31">
        <v>0.58333333333333337</v>
      </c>
      <c r="L31" s="31">
        <v>0.9375</v>
      </c>
      <c r="M31" s="32">
        <f t="shared" si="2"/>
        <v>0.35416666666666663</v>
      </c>
      <c r="N31" s="36">
        <v>510</v>
      </c>
      <c r="O31" s="36">
        <f t="shared" si="8"/>
        <v>440</v>
      </c>
      <c r="P31" s="36">
        <f t="shared" si="3"/>
        <v>440</v>
      </c>
      <c r="Q31" s="15">
        <v>0</v>
      </c>
      <c r="R31" s="20">
        <v>0</v>
      </c>
      <c r="S31" s="16">
        <v>0</v>
      </c>
      <c r="T31" s="16">
        <v>0</v>
      </c>
      <c r="U31" s="20">
        <v>0</v>
      </c>
      <c r="V31" s="20">
        <v>0</v>
      </c>
      <c r="W31" s="19">
        <v>0</v>
      </c>
      <c r="X31" s="19">
        <v>0</v>
      </c>
      <c r="Y31" s="20">
        <v>0</v>
      </c>
      <c r="Z31" s="16">
        <v>0</v>
      </c>
      <c r="AA31" s="20">
        <v>0</v>
      </c>
      <c r="AB31" s="20">
        <v>0</v>
      </c>
      <c r="AC31" s="15">
        <f t="shared" si="4"/>
        <v>0</v>
      </c>
      <c r="AD31" s="15">
        <v>0</v>
      </c>
      <c r="AE31" s="19">
        <v>0</v>
      </c>
      <c r="AF31" s="20">
        <v>0</v>
      </c>
      <c r="AG31" s="15">
        <v>0</v>
      </c>
      <c r="AH31" s="15">
        <v>0</v>
      </c>
      <c r="AI31" s="15">
        <v>30</v>
      </c>
      <c r="AJ31" s="15">
        <v>10</v>
      </c>
      <c r="AK31" s="15">
        <v>30</v>
      </c>
      <c r="AL31" s="15">
        <f t="shared" si="5"/>
        <v>70</v>
      </c>
      <c r="AM31" s="29">
        <f t="shared" si="6"/>
        <v>825</v>
      </c>
      <c r="AN31" s="19">
        <f>233+401</f>
        <v>634</v>
      </c>
      <c r="AO31" s="21">
        <v>0</v>
      </c>
      <c r="AP31" s="22">
        <v>0</v>
      </c>
      <c r="AQ31" s="26">
        <f t="shared" si="14"/>
        <v>634</v>
      </c>
      <c r="AR31" s="37">
        <f t="shared" si="9"/>
        <v>1</v>
      </c>
      <c r="AS31" s="38">
        <f t="shared" si="10"/>
        <v>0.76848484848484844</v>
      </c>
      <c r="AT31" s="38">
        <f t="shared" si="11"/>
        <v>1</v>
      </c>
      <c r="AU31" s="27">
        <f t="shared" si="12"/>
        <v>0.76848484848484844</v>
      </c>
    </row>
    <row r="32" spans="1:47" s="1" customFormat="1" ht="21" customHeight="1" x14ac:dyDescent="0.25">
      <c r="A32" s="109">
        <v>46027</v>
      </c>
      <c r="B32" s="47" t="s">
        <v>49</v>
      </c>
      <c r="C32" s="108" t="s">
        <v>51</v>
      </c>
      <c r="D32" s="47" t="s">
        <v>170</v>
      </c>
      <c r="E32" s="48">
        <v>98992</v>
      </c>
      <c r="F32" s="48" t="s">
        <v>176</v>
      </c>
      <c r="G32" s="48" t="s">
        <v>125</v>
      </c>
      <c r="H32" s="30">
        <v>15859</v>
      </c>
      <c r="I32" s="30">
        <v>20</v>
      </c>
      <c r="J32" s="28">
        <f t="shared" ref="J32:J37" si="16">3600/I32</f>
        <v>180</v>
      </c>
      <c r="K32" s="31">
        <v>0.58333333333333337</v>
      </c>
      <c r="L32" s="31">
        <v>0.9375</v>
      </c>
      <c r="M32" s="32">
        <f t="shared" si="2"/>
        <v>0.35416666666666663</v>
      </c>
      <c r="N32" s="36">
        <v>510</v>
      </c>
      <c r="O32" s="36">
        <f t="shared" si="8"/>
        <v>440</v>
      </c>
      <c r="P32" s="36">
        <f t="shared" si="3"/>
        <v>440</v>
      </c>
      <c r="Q32" s="15">
        <v>0</v>
      </c>
      <c r="R32" s="20">
        <v>0</v>
      </c>
      <c r="S32" s="16">
        <v>0</v>
      </c>
      <c r="T32" s="16">
        <v>0</v>
      </c>
      <c r="U32" s="20">
        <v>0</v>
      </c>
      <c r="V32" s="20">
        <v>0</v>
      </c>
      <c r="W32" s="19">
        <v>0</v>
      </c>
      <c r="X32" s="19">
        <v>0</v>
      </c>
      <c r="Y32" s="20">
        <v>0</v>
      </c>
      <c r="Z32" s="16">
        <v>0</v>
      </c>
      <c r="AA32" s="20">
        <v>0</v>
      </c>
      <c r="AB32" s="20">
        <v>0</v>
      </c>
      <c r="AC32" s="15">
        <f t="shared" si="4"/>
        <v>0</v>
      </c>
      <c r="AD32" s="15">
        <v>0</v>
      </c>
      <c r="AE32" s="19">
        <v>0</v>
      </c>
      <c r="AF32" s="20">
        <v>0</v>
      </c>
      <c r="AG32" s="15">
        <v>0</v>
      </c>
      <c r="AH32" s="15">
        <v>0</v>
      </c>
      <c r="AI32" s="15">
        <v>30</v>
      </c>
      <c r="AJ32" s="15">
        <v>10</v>
      </c>
      <c r="AK32" s="15">
        <v>30</v>
      </c>
      <c r="AL32" s="15">
        <f t="shared" si="5"/>
        <v>70</v>
      </c>
      <c r="AM32" s="29">
        <f t="shared" si="6"/>
        <v>1320</v>
      </c>
      <c r="AN32" s="19">
        <f>696+317</f>
        <v>1013</v>
      </c>
      <c r="AO32" s="21">
        <v>0</v>
      </c>
      <c r="AP32" s="22">
        <v>0</v>
      </c>
      <c r="AQ32" s="26">
        <f t="shared" si="14"/>
        <v>1013</v>
      </c>
      <c r="AR32" s="37">
        <f t="shared" si="9"/>
        <v>1</v>
      </c>
      <c r="AS32" s="38">
        <f t="shared" si="10"/>
        <v>0.76742424242424245</v>
      </c>
      <c r="AT32" s="38">
        <f t="shared" si="11"/>
        <v>1</v>
      </c>
      <c r="AU32" s="27">
        <f t="shared" si="12"/>
        <v>0.76742424242424245</v>
      </c>
    </row>
    <row r="33" spans="1:49" s="1" customFormat="1" ht="21" customHeight="1" x14ac:dyDescent="0.25">
      <c r="A33" s="109">
        <v>46027</v>
      </c>
      <c r="B33" s="47" t="s">
        <v>49</v>
      </c>
      <c r="C33" s="108" t="s">
        <v>51</v>
      </c>
      <c r="D33" s="47" t="s">
        <v>127</v>
      </c>
      <c r="E33" s="48">
        <v>98992</v>
      </c>
      <c r="F33" s="48" t="s">
        <v>175</v>
      </c>
      <c r="G33" s="48" t="s">
        <v>125</v>
      </c>
      <c r="H33" s="30">
        <v>15672</v>
      </c>
      <c r="I33" s="30">
        <v>20</v>
      </c>
      <c r="J33" s="28">
        <f t="shared" si="16"/>
        <v>180</v>
      </c>
      <c r="K33" s="31">
        <v>0.58333333333333337</v>
      </c>
      <c r="L33" s="31">
        <v>0.9375</v>
      </c>
      <c r="M33" s="32">
        <f t="shared" si="2"/>
        <v>0.35416666666666663</v>
      </c>
      <c r="N33" s="36">
        <v>510</v>
      </c>
      <c r="O33" s="36">
        <f t="shared" si="8"/>
        <v>320</v>
      </c>
      <c r="P33" s="36">
        <f t="shared" si="3"/>
        <v>320</v>
      </c>
      <c r="Q33" s="15">
        <v>0</v>
      </c>
      <c r="R33" s="20">
        <v>0</v>
      </c>
      <c r="S33" s="16">
        <v>0</v>
      </c>
      <c r="T33" s="16">
        <v>0</v>
      </c>
      <c r="U33" s="20">
        <v>0</v>
      </c>
      <c r="V33" s="20">
        <v>0</v>
      </c>
      <c r="W33" s="19">
        <v>0</v>
      </c>
      <c r="X33" s="19">
        <v>0</v>
      </c>
      <c r="Y33" s="20">
        <v>0</v>
      </c>
      <c r="Z33" s="16">
        <v>0</v>
      </c>
      <c r="AA33" s="20">
        <v>0</v>
      </c>
      <c r="AB33" s="20">
        <v>0</v>
      </c>
      <c r="AC33" s="15">
        <f t="shared" si="4"/>
        <v>0</v>
      </c>
      <c r="AD33" s="15">
        <v>0</v>
      </c>
      <c r="AE33" s="19">
        <v>0</v>
      </c>
      <c r="AF33" s="20">
        <v>0</v>
      </c>
      <c r="AG33" s="15">
        <v>120</v>
      </c>
      <c r="AH33" s="15">
        <v>0</v>
      </c>
      <c r="AI33" s="15">
        <v>30</v>
      </c>
      <c r="AJ33" s="15">
        <v>10</v>
      </c>
      <c r="AK33" s="15">
        <v>30</v>
      </c>
      <c r="AL33" s="15">
        <f t="shared" si="5"/>
        <v>190</v>
      </c>
      <c r="AM33" s="29">
        <f t="shared" si="6"/>
        <v>960</v>
      </c>
      <c r="AN33" s="19">
        <f>693+121</f>
        <v>814</v>
      </c>
      <c r="AO33" s="21">
        <v>0</v>
      </c>
      <c r="AP33" s="22">
        <v>0</v>
      </c>
      <c r="AQ33" s="26">
        <f t="shared" si="14"/>
        <v>814</v>
      </c>
      <c r="AR33" s="37">
        <f t="shared" si="9"/>
        <v>1</v>
      </c>
      <c r="AS33" s="38">
        <f t="shared" si="10"/>
        <v>0.84791666666666665</v>
      </c>
      <c r="AT33" s="38">
        <f t="shared" si="11"/>
        <v>1</v>
      </c>
      <c r="AU33" s="27">
        <f t="shared" si="12"/>
        <v>0.84791666666666665</v>
      </c>
    </row>
    <row r="34" spans="1:49" s="1" customFormat="1" ht="21" customHeight="1" x14ac:dyDescent="0.25">
      <c r="A34" s="109">
        <v>46028</v>
      </c>
      <c r="B34" s="47" t="s">
        <v>49</v>
      </c>
      <c r="C34" s="108" t="s">
        <v>21</v>
      </c>
      <c r="D34" s="47" t="s">
        <v>94</v>
      </c>
      <c r="E34" s="48">
        <v>98992</v>
      </c>
      <c r="F34" s="48" t="s">
        <v>67</v>
      </c>
      <c r="G34" s="48" t="s">
        <v>174</v>
      </c>
      <c r="H34" s="30">
        <v>14033</v>
      </c>
      <c r="I34" s="30">
        <v>24</v>
      </c>
      <c r="J34" s="28">
        <f t="shared" si="16"/>
        <v>150</v>
      </c>
      <c r="K34" s="31">
        <v>0.25</v>
      </c>
      <c r="L34" s="31">
        <v>0.60416666666666663</v>
      </c>
      <c r="M34" s="32">
        <f t="shared" si="2"/>
        <v>0.35416666666666663</v>
      </c>
      <c r="N34" s="36">
        <v>510</v>
      </c>
      <c r="O34" s="36">
        <f t="shared" si="8"/>
        <v>440</v>
      </c>
      <c r="P34" s="36">
        <f t="shared" si="3"/>
        <v>440</v>
      </c>
      <c r="Q34" s="15">
        <v>0</v>
      </c>
      <c r="R34" s="20">
        <v>0</v>
      </c>
      <c r="S34" s="16">
        <v>0</v>
      </c>
      <c r="T34" s="16">
        <v>0</v>
      </c>
      <c r="U34" s="20">
        <v>0</v>
      </c>
      <c r="V34" s="20">
        <v>0</v>
      </c>
      <c r="W34" s="19">
        <v>0</v>
      </c>
      <c r="X34" s="19">
        <v>0</v>
      </c>
      <c r="Y34" s="20">
        <v>0</v>
      </c>
      <c r="Z34" s="16">
        <v>0</v>
      </c>
      <c r="AA34" s="20">
        <v>0</v>
      </c>
      <c r="AB34" s="20">
        <v>0</v>
      </c>
      <c r="AC34" s="15">
        <f t="shared" si="4"/>
        <v>0</v>
      </c>
      <c r="AD34" s="15">
        <v>0</v>
      </c>
      <c r="AE34" s="19">
        <v>0</v>
      </c>
      <c r="AF34" s="20">
        <v>0</v>
      </c>
      <c r="AG34" s="15">
        <v>0</v>
      </c>
      <c r="AH34" s="15">
        <v>0</v>
      </c>
      <c r="AI34" s="15">
        <v>30</v>
      </c>
      <c r="AJ34" s="15">
        <v>10</v>
      </c>
      <c r="AK34" s="15">
        <v>30</v>
      </c>
      <c r="AL34" s="15">
        <f t="shared" si="5"/>
        <v>70</v>
      </c>
      <c r="AM34" s="29">
        <f t="shared" si="6"/>
        <v>1100</v>
      </c>
      <c r="AN34" s="19">
        <v>920</v>
      </c>
      <c r="AO34" s="21">
        <v>0</v>
      </c>
      <c r="AP34" s="22">
        <v>0</v>
      </c>
      <c r="AQ34" s="26">
        <f t="shared" si="14"/>
        <v>920</v>
      </c>
      <c r="AR34" s="37">
        <f t="shared" si="9"/>
        <v>1</v>
      </c>
      <c r="AS34" s="38">
        <f t="shared" si="10"/>
        <v>0.83636363636363631</v>
      </c>
      <c r="AT34" s="38">
        <f t="shared" si="11"/>
        <v>1</v>
      </c>
      <c r="AU34" s="27">
        <f t="shared" si="12"/>
        <v>0.83636363636363631</v>
      </c>
    </row>
    <row r="35" spans="1:49" s="1" customFormat="1" ht="21" customHeight="1" x14ac:dyDescent="0.25">
      <c r="A35" s="109">
        <v>46028</v>
      </c>
      <c r="B35" s="47" t="s">
        <v>49</v>
      </c>
      <c r="C35" s="107" t="s">
        <v>21</v>
      </c>
      <c r="D35" s="47" t="s">
        <v>88</v>
      </c>
      <c r="E35" s="48">
        <v>98992</v>
      </c>
      <c r="F35" s="48" t="s">
        <v>126</v>
      </c>
      <c r="G35" s="48" t="s">
        <v>87</v>
      </c>
      <c r="H35" s="30">
        <v>11682</v>
      </c>
      <c r="I35" s="30">
        <v>32</v>
      </c>
      <c r="J35" s="28">
        <f t="shared" si="16"/>
        <v>112.5</v>
      </c>
      <c r="K35" s="31">
        <v>0.25</v>
      </c>
      <c r="L35" s="31">
        <v>0.60416666666666663</v>
      </c>
      <c r="M35" s="32">
        <f t="shared" si="2"/>
        <v>0.35416666666666663</v>
      </c>
      <c r="N35" s="36">
        <v>510</v>
      </c>
      <c r="O35" s="36">
        <f t="shared" si="8"/>
        <v>440</v>
      </c>
      <c r="P35" s="36">
        <f t="shared" si="3"/>
        <v>440</v>
      </c>
      <c r="Q35" s="15">
        <v>0</v>
      </c>
      <c r="R35" s="20">
        <v>0</v>
      </c>
      <c r="S35" s="16">
        <v>0</v>
      </c>
      <c r="T35" s="16">
        <v>0</v>
      </c>
      <c r="U35" s="20">
        <v>0</v>
      </c>
      <c r="V35" s="20">
        <v>0</v>
      </c>
      <c r="W35" s="19">
        <v>0</v>
      </c>
      <c r="X35" s="19">
        <v>0</v>
      </c>
      <c r="Y35" s="20">
        <v>0</v>
      </c>
      <c r="Z35" s="16">
        <v>0</v>
      </c>
      <c r="AA35" s="20">
        <v>0</v>
      </c>
      <c r="AB35" s="20">
        <v>0</v>
      </c>
      <c r="AC35" s="15">
        <f t="shared" si="4"/>
        <v>0</v>
      </c>
      <c r="AD35" s="15">
        <v>0</v>
      </c>
      <c r="AE35" s="19">
        <v>0</v>
      </c>
      <c r="AF35" s="20">
        <v>0</v>
      </c>
      <c r="AG35" s="15">
        <v>0</v>
      </c>
      <c r="AH35" s="15">
        <v>0</v>
      </c>
      <c r="AI35" s="15">
        <v>30</v>
      </c>
      <c r="AJ35" s="15">
        <v>10</v>
      </c>
      <c r="AK35" s="15">
        <v>30</v>
      </c>
      <c r="AL35" s="15">
        <f t="shared" si="5"/>
        <v>70</v>
      </c>
      <c r="AM35" s="29">
        <f t="shared" si="6"/>
        <v>825</v>
      </c>
      <c r="AN35" s="19">
        <v>706</v>
      </c>
      <c r="AO35" s="21">
        <v>0</v>
      </c>
      <c r="AP35" s="22">
        <v>0</v>
      </c>
      <c r="AQ35" s="26">
        <f t="shared" si="14"/>
        <v>706</v>
      </c>
      <c r="AR35" s="37">
        <f t="shared" si="9"/>
        <v>1</v>
      </c>
      <c r="AS35" s="38">
        <f t="shared" si="10"/>
        <v>0.85575757575757572</v>
      </c>
      <c r="AT35" s="38">
        <f t="shared" si="11"/>
        <v>1</v>
      </c>
      <c r="AU35" s="27">
        <f t="shared" si="12"/>
        <v>0.85575757575757572</v>
      </c>
    </row>
    <row r="36" spans="1:49" s="1" customFormat="1" ht="21" customHeight="1" x14ac:dyDescent="0.25">
      <c r="A36" s="109">
        <v>46028</v>
      </c>
      <c r="B36" s="47" t="s">
        <v>49</v>
      </c>
      <c r="C36" s="107" t="s">
        <v>21</v>
      </c>
      <c r="D36" s="47" t="s">
        <v>52</v>
      </c>
      <c r="E36" s="48">
        <v>98992</v>
      </c>
      <c r="F36" s="48" t="s">
        <v>53</v>
      </c>
      <c r="G36" s="48" t="s">
        <v>87</v>
      </c>
      <c r="H36" s="30">
        <v>16000</v>
      </c>
      <c r="I36" s="30">
        <v>32</v>
      </c>
      <c r="J36" s="28">
        <f t="shared" si="16"/>
        <v>112.5</v>
      </c>
      <c r="K36" s="31">
        <v>0.25</v>
      </c>
      <c r="L36" s="31">
        <v>0.60416666666666663</v>
      </c>
      <c r="M36" s="32">
        <f t="shared" si="2"/>
        <v>0.35416666666666663</v>
      </c>
      <c r="N36" s="36">
        <v>510</v>
      </c>
      <c r="O36" s="36">
        <f t="shared" si="8"/>
        <v>190</v>
      </c>
      <c r="P36" s="36">
        <f t="shared" si="3"/>
        <v>190</v>
      </c>
      <c r="Q36" s="15">
        <v>0</v>
      </c>
      <c r="R36" s="20">
        <v>0</v>
      </c>
      <c r="S36" s="16">
        <v>0</v>
      </c>
      <c r="T36" s="16">
        <v>0</v>
      </c>
      <c r="U36" s="20">
        <v>0</v>
      </c>
      <c r="V36" s="20">
        <v>0</v>
      </c>
      <c r="W36" s="19">
        <v>0</v>
      </c>
      <c r="X36" s="19">
        <v>0</v>
      </c>
      <c r="Y36" s="20">
        <v>0</v>
      </c>
      <c r="Z36" s="16">
        <v>0</v>
      </c>
      <c r="AA36" s="20">
        <v>0</v>
      </c>
      <c r="AB36" s="20">
        <v>0</v>
      </c>
      <c r="AC36" s="15">
        <f t="shared" si="4"/>
        <v>0</v>
      </c>
      <c r="AD36" s="15">
        <v>0</v>
      </c>
      <c r="AE36" s="19">
        <v>0</v>
      </c>
      <c r="AF36" s="20">
        <v>0</v>
      </c>
      <c r="AG36" s="15">
        <v>250</v>
      </c>
      <c r="AH36" s="15">
        <v>0</v>
      </c>
      <c r="AI36" s="15">
        <v>30</v>
      </c>
      <c r="AJ36" s="15">
        <v>10</v>
      </c>
      <c r="AK36" s="15">
        <v>30</v>
      </c>
      <c r="AL36" s="15">
        <f t="shared" si="5"/>
        <v>320</v>
      </c>
      <c r="AM36" s="29">
        <f t="shared" si="6"/>
        <v>356.25</v>
      </c>
      <c r="AN36" s="19">
        <v>284</v>
      </c>
      <c r="AO36" s="21">
        <v>0</v>
      </c>
      <c r="AP36" s="22">
        <v>0</v>
      </c>
      <c r="AQ36" s="26">
        <f t="shared" si="14"/>
        <v>284</v>
      </c>
      <c r="AR36" s="37">
        <f t="shared" si="9"/>
        <v>1</v>
      </c>
      <c r="AS36" s="38">
        <f t="shared" si="10"/>
        <v>0.79719298245614034</v>
      </c>
      <c r="AT36" s="38">
        <f t="shared" si="11"/>
        <v>1</v>
      </c>
      <c r="AU36" s="27">
        <f t="shared" si="12"/>
        <v>0.79719298245614034</v>
      </c>
    </row>
    <row r="37" spans="1:49" s="1" customFormat="1" ht="21" customHeight="1" x14ac:dyDescent="0.25">
      <c r="A37" s="109">
        <v>46028</v>
      </c>
      <c r="B37" s="47" t="s">
        <v>49</v>
      </c>
      <c r="C37" s="107" t="s">
        <v>21</v>
      </c>
      <c r="D37" s="47" t="s">
        <v>172</v>
      </c>
      <c r="E37" s="48">
        <v>98992</v>
      </c>
      <c r="F37" s="48" t="s">
        <v>175</v>
      </c>
      <c r="G37" s="48" t="s">
        <v>87</v>
      </c>
      <c r="H37" s="30">
        <v>15632</v>
      </c>
      <c r="I37" s="30">
        <v>20</v>
      </c>
      <c r="J37" s="28">
        <f t="shared" si="16"/>
        <v>180</v>
      </c>
      <c r="K37" s="31">
        <v>0.25</v>
      </c>
      <c r="L37" s="31">
        <v>0.60416666666666663</v>
      </c>
      <c r="M37" s="32">
        <f t="shared" si="2"/>
        <v>0.35416666666666663</v>
      </c>
      <c r="N37" s="36">
        <v>510</v>
      </c>
      <c r="O37" s="36">
        <f t="shared" si="8"/>
        <v>200</v>
      </c>
      <c r="P37" s="36">
        <f t="shared" si="3"/>
        <v>200</v>
      </c>
      <c r="Q37" s="15">
        <v>0</v>
      </c>
      <c r="R37" s="20">
        <v>0</v>
      </c>
      <c r="S37" s="16">
        <v>0</v>
      </c>
      <c r="T37" s="16">
        <v>0</v>
      </c>
      <c r="U37" s="20">
        <v>0</v>
      </c>
      <c r="V37" s="20">
        <v>0</v>
      </c>
      <c r="W37" s="19">
        <v>0</v>
      </c>
      <c r="X37" s="19">
        <v>0</v>
      </c>
      <c r="Y37" s="20">
        <v>0</v>
      </c>
      <c r="Z37" s="16">
        <v>0</v>
      </c>
      <c r="AA37" s="20">
        <v>0</v>
      </c>
      <c r="AB37" s="20">
        <v>0</v>
      </c>
      <c r="AC37" s="15">
        <f t="shared" si="4"/>
        <v>0</v>
      </c>
      <c r="AD37" s="15">
        <v>0</v>
      </c>
      <c r="AE37" s="19">
        <v>0</v>
      </c>
      <c r="AF37" s="20">
        <v>0</v>
      </c>
      <c r="AG37" s="15">
        <v>240</v>
      </c>
      <c r="AH37" s="15">
        <v>0</v>
      </c>
      <c r="AI37" s="15">
        <v>30</v>
      </c>
      <c r="AJ37" s="15">
        <v>10</v>
      </c>
      <c r="AK37" s="15">
        <v>30</v>
      </c>
      <c r="AL37" s="15">
        <f t="shared" si="5"/>
        <v>310</v>
      </c>
      <c r="AM37" s="29">
        <f t="shared" si="6"/>
        <v>600</v>
      </c>
      <c r="AN37" s="19">
        <v>480</v>
      </c>
      <c r="AO37" s="21">
        <v>0</v>
      </c>
      <c r="AP37" s="22">
        <v>0</v>
      </c>
      <c r="AQ37" s="26">
        <f t="shared" si="14"/>
        <v>480</v>
      </c>
      <c r="AR37" s="37">
        <f t="shared" si="9"/>
        <v>1</v>
      </c>
      <c r="AS37" s="38">
        <f t="shared" si="10"/>
        <v>0.8</v>
      </c>
      <c r="AT37" s="38">
        <f t="shared" si="11"/>
        <v>1</v>
      </c>
      <c r="AU37" s="27">
        <f t="shared" si="12"/>
        <v>0.8</v>
      </c>
    </row>
    <row r="38" spans="1:49" s="1" customFormat="1" ht="21" customHeight="1" x14ac:dyDescent="0.25">
      <c r="A38" s="109">
        <v>46028</v>
      </c>
      <c r="B38" s="47" t="s">
        <v>49</v>
      </c>
      <c r="C38" s="107" t="s">
        <v>21</v>
      </c>
      <c r="D38" s="47" t="s">
        <v>124</v>
      </c>
      <c r="E38" s="48">
        <v>98992</v>
      </c>
      <c r="F38" s="48" t="s">
        <v>215</v>
      </c>
      <c r="G38" s="48" t="s">
        <v>125</v>
      </c>
      <c r="H38" s="30">
        <v>15036</v>
      </c>
      <c r="I38" s="30">
        <v>32</v>
      </c>
      <c r="J38" s="28">
        <f t="shared" ref="J38:J48" si="17">3600/I38</f>
        <v>112.5</v>
      </c>
      <c r="K38" s="31">
        <v>0.25</v>
      </c>
      <c r="L38" s="31">
        <v>0.60416666666666663</v>
      </c>
      <c r="M38" s="32">
        <f t="shared" si="2"/>
        <v>0.35416666666666663</v>
      </c>
      <c r="N38" s="36">
        <v>510</v>
      </c>
      <c r="O38" s="36">
        <f t="shared" si="8"/>
        <v>440</v>
      </c>
      <c r="P38" s="36">
        <f t="shared" si="3"/>
        <v>440</v>
      </c>
      <c r="Q38" s="15">
        <v>0</v>
      </c>
      <c r="R38" s="20">
        <v>0</v>
      </c>
      <c r="S38" s="16">
        <v>0</v>
      </c>
      <c r="T38" s="16">
        <v>0</v>
      </c>
      <c r="U38" s="20">
        <v>0</v>
      </c>
      <c r="V38" s="20">
        <v>0</v>
      </c>
      <c r="W38" s="19">
        <v>0</v>
      </c>
      <c r="X38" s="19">
        <v>0</v>
      </c>
      <c r="Y38" s="20">
        <v>0</v>
      </c>
      <c r="Z38" s="16">
        <v>0</v>
      </c>
      <c r="AA38" s="20">
        <v>0</v>
      </c>
      <c r="AB38" s="20">
        <v>0</v>
      </c>
      <c r="AC38" s="15">
        <f t="shared" si="4"/>
        <v>0</v>
      </c>
      <c r="AD38" s="15">
        <v>0</v>
      </c>
      <c r="AE38" s="19">
        <v>0</v>
      </c>
      <c r="AF38" s="20">
        <v>0</v>
      </c>
      <c r="AG38" s="15">
        <v>0</v>
      </c>
      <c r="AH38" s="15">
        <v>0</v>
      </c>
      <c r="AI38" s="15">
        <v>30</v>
      </c>
      <c r="AJ38" s="15">
        <v>10</v>
      </c>
      <c r="AK38" s="15">
        <v>30</v>
      </c>
      <c r="AL38" s="15">
        <f t="shared" si="5"/>
        <v>70</v>
      </c>
      <c r="AM38" s="29">
        <f t="shared" si="6"/>
        <v>825</v>
      </c>
      <c r="AN38" s="19">
        <v>751</v>
      </c>
      <c r="AO38" s="21">
        <v>0</v>
      </c>
      <c r="AP38" s="22">
        <v>0</v>
      </c>
      <c r="AQ38" s="26">
        <f t="shared" si="14"/>
        <v>751</v>
      </c>
      <c r="AR38" s="37">
        <f t="shared" si="9"/>
        <v>1</v>
      </c>
      <c r="AS38" s="38">
        <f t="shared" si="10"/>
        <v>0.91030303030303028</v>
      </c>
      <c r="AT38" s="38">
        <f t="shared" si="11"/>
        <v>1</v>
      </c>
      <c r="AU38" s="27">
        <f t="shared" si="12"/>
        <v>0.91030303030303028</v>
      </c>
    </row>
    <row r="39" spans="1:49" s="1" customFormat="1" ht="21" customHeight="1" x14ac:dyDescent="0.25">
      <c r="A39" s="109">
        <v>46028</v>
      </c>
      <c r="B39" s="47" t="s">
        <v>49</v>
      </c>
      <c r="C39" s="107" t="s">
        <v>21</v>
      </c>
      <c r="D39" s="47" t="s">
        <v>122</v>
      </c>
      <c r="E39" s="48">
        <v>98992</v>
      </c>
      <c r="F39" s="48" t="s">
        <v>169</v>
      </c>
      <c r="G39" s="48" t="s">
        <v>125</v>
      </c>
      <c r="H39" s="30">
        <v>14972</v>
      </c>
      <c r="I39" s="30">
        <v>32</v>
      </c>
      <c r="J39" s="28">
        <f t="shared" si="17"/>
        <v>112.5</v>
      </c>
      <c r="K39" s="31">
        <v>0.25</v>
      </c>
      <c r="L39" s="31">
        <v>0.60416666666666663</v>
      </c>
      <c r="M39" s="32">
        <f t="shared" si="2"/>
        <v>0.35416666666666663</v>
      </c>
      <c r="N39" s="36">
        <v>510</v>
      </c>
      <c r="O39" s="36">
        <f t="shared" si="8"/>
        <v>440</v>
      </c>
      <c r="P39" s="36">
        <f t="shared" si="3"/>
        <v>440</v>
      </c>
      <c r="Q39" s="15">
        <v>0</v>
      </c>
      <c r="R39" s="20">
        <v>0</v>
      </c>
      <c r="S39" s="16">
        <v>0</v>
      </c>
      <c r="T39" s="16">
        <v>0</v>
      </c>
      <c r="U39" s="20">
        <v>0</v>
      </c>
      <c r="V39" s="20">
        <v>0</v>
      </c>
      <c r="W39" s="19">
        <v>0</v>
      </c>
      <c r="X39" s="19">
        <v>0</v>
      </c>
      <c r="Y39" s="20">
        <v>0</v>
      </c>
      <c r="Z39" s="16">
        <v>0</v>
      </c>
      <c r="AA39" s="20">
        <v>0</v>
      </c>
      <c r="AB39" s="20">
        <v>0</v>
      </c>
      <c r="AC39" s="15">
        <f t="shared" si="4"/>
        <v>0</v>
      </c>
      <c r="AD39" s="15">
        <v>0</v>
      </c>
      <c r="AE39" s="19">
        <v>0</v>
      </c>
      <c r="AF39" s="20">
        <v>0</v>
      </c>
      <c r="AG39" s="15">
        <v>0</v>
      </c>
      <c r="AH39" s="15">
        <v>0</v>
      </c>
      <c r="AI39" s="15">
        <v>30</v>
      </c>
      <c r="AJ39" s="15">
        <v>10</v>
      </c>
      <c r="AK39" s="15">
        <v>30</v>
      </c>
      <c r="AL39" s="15">
        <f t="shared" si="5"/>
        <v>70</v>
      </c>
      <c r="AM39" s="29">
        <f t="shared" si="6"/>
        <v>825</v>
      </c>
      <c r="AN39" s="19">
        <v>707</v>
      </c>
      <c r="AO39" s="21">
        <v>0</v>
      </c>
      <c r="AP39" s="22">
        <v>0</v>
      </c>
      <c r="AQ39" s="26">
        <f t="shared" si="14"/>
        <v>707</v>
      </c>
      <c r="AR39" s="37">
        <f t="shared" si="9"/>
        <v>1</v>
      </c>
      <c r="AS39" s="38">
        <f t="shared" si="10"/>
        <v>0.85696969696969694</v>
      </c>
      <c r="AT39" s="38">
        <f t="shared" si="11"/>
        <v>1</v>
      </c>
      <c r="AU39" s="27">
        <f t="shared" si="12"/>
        <v>0.85696969696969694</v>
      </c>
    </row>
    <row r="40" spans="1:49" s="1" customFormat="1" ht="21" customHeight="1" x14ac:dyDescent="0.25">
      <c r="A40" s="109">
        <v>46028</v>
      </c>
      <c r="B40" s="47" t="s">
        <v>49</v>
      </c>
      <c r="C40" s="107" t="s">
        <v>21</v>
      </c>
      <c r="D40" s="47" t="s">
        <v>128</v>
      </c>
      <c r="E40" s="48">
        <v>98992</v>
      </c>
      <c r="F40" s="48" t="s">
        <v>53</v>
      </c>
      <c r="G40" s="48" t="s">
        <v>125</v>
      </c>
      <c r="H40" s="30">
        <v>15672</v>
      </c>
      <c r="I40" s="30">
        <v>32</v>
      </c>
      <c r="J40" s="28">
        <f t="shared" si="17"/>
        <v>112.5</v>
      </c>
      <c r="K40" s="31">
        <v>0.25</v>
      </c>
      <c r="L40" s="31">
        <v>0.60416666666666663</v>
      </c>
      <c r="M40" s="32">
        <f t="shared" si="2"/>
        <v>0.35416666666666663</v>
      </c>
      <c r="N40" s="36">
        <v>510</v>
      </c>
      <c r="O40" s="36">
        <f t="shared" si="8"/>
        <v>440</v>
      </c>
      <c r="P40" s="36">
        <f t="shared" si="3"/>
        <v>440</v>
      </c>
      <c r="Q40" s="15">
        <v>0</v>
      </c>
      <c r="R40" s="20">
        <v>0</v>
      </c>
      <c r="S40" s="16">
        <v>0</v>
      </c>
      <c r="T40" s="16">
        <v>0</v>
      </c>
      <c r="U40" s="20">
        <v>0</v>
      </c>
      <c r="V40" s="20">
        <v>0</v>
      </c>
      <c r="W40" s="19">
        <v>0</v>
      </c>
      <c r="X40" s="19">
        <v>0</v>
      </c>
      <c r="Y40" s="20">
        <v>0</v>
      </c>
      <c r="Z40" s="16">
        <v>0</v>
      </c>
      <c r="AA40" s="20">
        <v>0</v>
      </c>
      <c r="AB40" s="20">
        <v>0</v>
      </c>
      <c r="AC40" s="15">
        <f t="shared" si="4"/>
        <v>0</v>
      </c>
      <c r="AD40" s="15">
        <v>0</v>
      </c>
      <c r="AE40" s="19">
        <v>0</v>
      </c>
      <c r="AF40" s="20">
        <v>0</v>
      </c>
      <c r="AG40" s="15">
        <v>0</v>
      </c>
      <c r="AH40" s="15">
        <v>0</v>
      </c>
      <c r="AI40" s="15">
        <v>30</v>
      </c>
      <c r="AJ40" s="15">
        <v>10</v>
      </c>
      <c r="AK40" s="15">
        <v>30</v>
      </c>
      <c r="AL40" s="15">
        <f t="shared" si="5"/>
        <v>70</v>
      </c>
      <c r="AM40" s="29">
        <f t="shared" si="6"/>
        <v>825</v>
      </c>
      <c r="AN40" s="19">
        <v>704</v>
      </c>
      <c r="AO40" s="21">
        <v>0</v>
      </c>
      <c r="AP40" s="22">
        <v>0</v>
      </c>
      <c r="AQ40" s="26">
        <f t="shared" si="14"/>
        <v>704</v>
      </c>
      <c r="AR40" s="37">
        <f t="shared" ref="AR40:AR99" si="18">O40/P40</f>
        <v>1</v>
      </c>
      <c r="AS40" s="38">
        <f t="shared" si="10"/>
        <v>0.85333333333333339</v>
      </c>
      <c r="AT40" s="38">
        <f t="shared" si="11"/>
        <v>1</v>
      </c>
      <c r="AU40" s="27">
        <f t="shared" si="12"/>
        <v>0.85333333333333339</v>
      </c>
    </row>
    <row r="41" spans="1:49" s="1" customFormat="1" ht="21" customHeight="1" x14ac:dyDescent="0.25">
      <c r="A41" s="109">
        <v>46028</v>
      </c>
      <c r="B41" s="47" t="s">
        <v>49</v>
      </c>
      <c r="C41" s="107" t="s">
        <v>21</v>
      </c>
      <c r="D41" s="47" t="s">
        <v>170</v>
      </c>
      <c r="E41" s="48">
        <v>98992</v>
      </c>
      <c r="F41" s="48" t="s">
        <v>176</v>
      </c>
      <c r="G41" s="48" t="s">
        <v>125</v>
      </c>
      <c r="H41" s="30">
        <v>15773</v>
      </c>
      <c r="I41" s="30">
        <v>20</v>
      </c>
      <c r="J41" s="28">
        <f t="shared" si="17"/>
        <v>180</v>
      </c>
      <c r="K41" s="31">
        <v>0.25</v>
      </c>
      <c r="L41" s="31">
        <v>0.60416666666666663</v>
      </c>
      <c r="M41" s="32">
        <f t="shared" si="2"/>
        <v>0.35416666666666663</v>
      </c>
      <c r="N41" s="36">
        <v>510</v>
      </c>
      <c r="O41" s="36">
        <f t="shared" si="8"/>
        <v>220</v>
      </c>
      <c r="P41" s="36">
        <f t="shared" si="3"/>
        <v>220</v>
      </c>
      <c r="Q41" s="15">
        <v>0</v>
      </c>
      <c r="R41" s="20">
        <v>0</v>
      </c>
      <c r="S41" s="16">
        <v>0</v>
      </c>
      <c r="T41" s="16">
        <v>0</v>
      </c>
      <c r="U41" s="20">
        <v>0</v>
      </c>
      <c r="V41" s="20">
        <v>0</v>
      </c>
      <c r="W41" s="19">
        <v>0</v>
      </c>
      <c r="X41" s="19">
        <v>0</v>
      </c>
      <c r="Y41" s="20">
        <v>0</v>
      </c>
      <c r="Z41" s="16">
        <v>0</v>
      </c>
      <c r="AA41" s="20">
        <v>0</v>
      </c>
      <c r="AB41" s="20">
        <v>0</v>
      </c>
      <c r="AC41" s="15">
        <f t="shared" si="4"/>
        <v>0</v>
      </c>
      <c r="AD41" s="15">
        <v>0</v>
      </c>
      <c r="AE41" s="19">
        <v>0</v>
      </c>
      <c r="AF41" s="20">
        <v>0</v>
      </c>
      <c r="AG41" s="15">
        <v>220</v>
      </c>
      <c r="AH41" s="15">
        <v>0</v>
      </c>
      <c r="AI41" s="15">
        <v>30</v>
      </c>
      <c r="AJ41" s="15">
        <v>10</v>
      </c>
      <c r="AK41" s="15">
        <v>30</v>
      </c>
      <c r="AL41" s="15">
        <f t="shared" si="5"/>
        <v>290</v>
      </c>
      <c r="AM41" s="29">
        <f t="shared" si="6"/>
        <v>660</v>
      </c>
      <c r="AN41" s="19">
        <v>520</v>
      </c>
      <c r="AO41" s="21">
        <v>0</v>
      </c>
      <c r="AP41" s="22">
        <v>0</v>
      </c>
      <c r="AQ41" s="26">
        <f t="shared" si="14"/>
        <v>520</v>
      </c>
      <c r="AR41" s="37">
        <f t="shared" si="18"/>
        <v>1</v>
      </c>
      <c r="AS41" s="38">
        <f t="shared" si="10"/>
        <v>0.78787878787878785</v>
      </c>
      <c r="AT41" s="38">
        <f t="shared" si="11"/>
        <v>1</v>
      </c>
      <c r="AU41" s="27">
        <f t="shared" si="12"/>
        <v>0.78787878787878785</v>
      </c>
      <c r="AV41" s="1" t="s">
        <v>252</v>
      </c>
    </row>
    <row r="42" spans="1:49" s="1" customFormat="1" ht="21" customHeight="1" x14ac:dyDescent="0.25">
      <c r="A42" s="109">
        <v>46028</v>
      </c>
      <c r="B42" s="47" t="s">
        <v>49</v>
      </c>
      <c r="C42" s="107" t="s">
        <v>21</v>
      </c>
      <c r="D42" s="47" t="s">
        <v>127</v>
      </c>
      <c r="E42" s="48">
        <v>98992</v>
      </c>
      <c r="F42" s="48" t="s">
        <v>175</v>
      </c>
      <c r="G42" s="48" t="s">
        <v>125</v>
      </c>
      <c r="H42" s="30">
        <v>16146</v>
      </c>
      <c r="I42" s="30">
        <v>20</v>
      </c>
      <c r="J42" s="28">
        <f t="shared" si="17"/>
        <v>180</v>
      </c>
      <c r="K42" s="31">
        <v>0.25</v>
      </c>
      <c r="L42" s="31">
        <v>0.60416666666666663</v>
      </c>
      <c r="M42" s="32">
        <f t="shared" si="2"/>
        <v>0.35416666666666663</v>
      </c>
      <c r="N42" s="36">
        <v>510</v>
      </c>
      <c r="O42" s="36">
        <f t="shared" si="8"/>
        <v>380</v>
      </c>
      <c r="P42" s="36">
        <f t="shared" si="3"/>
        <v>380</v>
      </c>
      <c r="Q42" s="15">
        <v>0</v>
      </c>
      <c r="R42" s="20">
        <v>0</v>
      </c>
      <c r="S42" s="16">
        <v>0</v>
      </c>
      <c r="T42" s="16">
        <v>0</v>
      </c>
      <c r="U42" s="20">
        <v>0</v>
      </c>
      <c r="V42" s="20">
        <v>0</v>
      </c>
      <c r="W42" s="19">
        <v>0</v>
      </c>
      <c r="X42" s="19">
        <v>0</v>
      </c>
      <c r="Y42" s="20">
        <v>0</v>
      </c>
      <c r="Z42" s="16">
        <v>0</v>
      </c>
      <c r="AA42" s="20">
        <v>0</v>
      </c>
      <c r="AB42" s="20">
        <v>0</v>
      </c>
      <c r="AC42" s="15">
        <f t="shared" si="4"/>
        <v>0</v>
      </c>
      <c r="AD42" s="15">
        <v>0</v>
      </c>
      <c r="AE42" s="19">
        <v>0</v>
      </c>
      <c r="AF42" s="20">
        <v>0</v>
      </c>
      <c r="AG42" s="15">
        <v>60</v>
      </c>
      <c r="AH42" s="15">
        <v>0</v>
      </c>
      <c r="AI42" s="15">
        <v>30</v>
      </c>
      <c r="AJ42" s="15">
        <v>10</v>
      </c>
      <c r="AK42" s="15">
        <v>30</v>
      </c>
      <c r="AL42" s="15">
        <f t="shared" si="5"/>
        <v>130</v>
      </c>
      <c r="AM42" s="29">
        <f t="shared" si="6"/>
        <v>1140</v>
      </c>
      <c r="AN42" s="19">
        <v>936</v>
      </c>
      <c r="AO42" s="21">
        <v>0</v>
      </c>
      <c r="AP42" s="22">
        <v>0</v>
      </c>
      <c r="AQ42" s="26">
        <f t="shared" si="14"/>
        <v>936</v>
      </c>
      <c r="AR42" s="37">
        <f t="shared" si="18"/>
        <v>1</v>
      </c>
      <c r="AS42" s="38">
        <f t="shared" si="10"/>
        <v>0.82105263157894737</v>
      </c>
      <c r="AT42" s="38">
        <f t="shared" si="11"/>
        <v>1</v>
      </c>
      <c r="AU42" s="27">
        <f t="shared" si="12"/>
        <v>0.82105263157894737</v>
      </c>
    </row>
    <row r="43" spans="1:49" s="1" customFormat="1" ht="21" customHeight="1" x14ac:dyDescent="0.25">
      <c r="A43" s="109">
        <v>46028</v>
      </c>
      <c r="B43" s="47" t="s">
        <v>49</v>
      </c>
      <c r="C43" s="107" t="s">
        <v>51</v>
      </c>
      <c r="D43" s="47" t="s">
        <v>124</v>
      </c>
      <c r="E43" s="48">
        <v>98992</v>
      </c>
      <c r="F43" s="48" t="s">
        <v>215</v>
      </c>
      <c r="G43" s="48" t="s">
        <v>125</v>
      </c>
      <c r="H43" s="30">
        <v>13105</v>
      </c>
      <c r="I43" s="30">
        <v>32</v>
      </c>
      <c r="J43" s="28">
        <f t="shared" si="17"/>
        <v>112.5</v>
      </c>
      <c r="K43" s="31">
        <v>0.58333333333333337</v>
      </c>
      <c r="L43" s="31">
        <v>0.9375</v>
      </c>
      <c r="M43" s="32">
        <f t="shared" si="2"/>
        <v>0.35416666666666663</v>
      </c>
      <c r="N43" s="36">
        <v>510</v>
      </c>
      <c r="O43" s="36">
        <f t="shared" si="8"/>
        <v>440</v>
      </c>
      <c r="P43" s="36">
        <f t="shared" si="3"/>
        <v>440</v>
      </c>
      <c r="Q43" s="15">
        <v>0</v>
      </c>
      <c r="R43" s="20">
        <v>0</v>
      </c>
      <c r="S43" s="16">
        <v>0</v>
      </c>
      <c r="T43" s="16">
        <v>0</v>
      </c>
      <c r="U43" s="20">
        <v>0</v>
      </c>
      <c r="V43" s="20">
        <v>0</v>
      </c>
      <c r="W43" s="19">
        <v>0</v>
      </c>
      <c r="X43" s="19">
        <v>0</v>
      </c>
      <c r="Y43" s="20">
        <v>0</v>
      </c>
      <c r="Z43" s="16">
        <v>0</v>
      </c>
      <c r="AA43" s="20">
        <v>0</v>
      </c>
      <c r="AB43" s="20">
        <v>0</v>
      </c>
      <c r="AC43" s="15">
        <f t="shared" si="4"/>
        <v>0</v>
      </c>
      <c r="AD43" s="15">
        <v>0</v>
      </c>
      <c r="AE43" s="19">
        <v>0</v>
      </c>
      <c r="AF43" s="20">
        <v>0</v>
      </c>
      <c r="AG43" s="15">
        <v>0</v>
      </c>
      <c r="AH43" s="15">
        <v>0</v>
      </c>
      <c r="AI43" s="15">
        <v>30</v>
      </c>
      <c r="AJ43" s="15">
        <v>10</v>
      </c>
      <c r="AK43" s="15">
        <v>30</v>
      </c>
      <c r="AL43" s="15">
        <f t="shared" si="5"/>
        <v>70</v>
      </c>
      <c r="AM43" s="29">
        <f t="shared" si="6"/>
        <v>825</v>
      </c>
      <c r="AN43" s="19">
        <v>727</v>
      </c>
      <c r="AO43" s="21">
        <v>0</v>
      </c>
      <c r="AP43" s="22">
        <v>1</v>
      </c>
      <c r="AQ43" s="26">
        <f t="shared" si="14"/>
        <v>726</v>
      </c>
      <c r="AR43" s="37">
        <f t="shared" si="18"/>
        <v>1</v>
      </c>
      <c r="AS43" s="38">
        <f t="shared" si="10"/>
        <v>0.88121212121212122</v>
      </c>
      <c r="AT43" s="38">
        <f t="shared" si="11"/>
        <v>0.99862448418156813</v>
      </c>
      <c r="AU43" s="27">
        <f t="shared" si="12"/>
        <v>0.88</v>
      </c>
      <c r="AW43" s="1" t="s">
        <v>253</v>
      </c>
    </row>
    <row r="44" spans="1:49" s="1" customFormat="1" ht="21" customHeight="1" x14ac:dyDescent="0.25">
      <c r="A44" s="109">
        <v>46028</v>
      </c>
      <c r="B44" s="47" t="s">
        <v>49</v>
      </c>
      <c r="C44" s="107" t="s">
        <v>51</v>
      </c>
      <c r="D44" s="47" t="s">
        <v>122</v>
      </c>
      <c r="E44" s="48">
        <v>98992</v>
      </c>
      <c r="F44" s="48" t="s">
        <v>169</v>
      </c>
      <c r="G44" s="48" t="s">
        <v>125</v>
      </c>
      <c r="H44" s="30">
        <v>13106</v>
      </c>
      <c r="I44" s="30">
        <v>32</v>
      </c>
      <c r="J44" s="28">
        <f t="shared" si="17"/>
        <v>112.5</v>
      </c>
      <c r="K44" s="31">
        <v>0.58333333333333337</v>
      </c>
      <c r="L44" s="31">
        <v>0.9375</v>
      </c>
      <c r="M44" s="32">
        <f t="shared" si="2"/>
        <v>0.35416666666666663</v>
      </c>
      <c r="N44" s="36">
        <v>510</v>
      </c>
      <c r="O44" s="36">
        <f t="shared" si="8"/>
        <v>440</v>
      </c>
      <c r="P44" s="36">
        <f t="shared" si="3"/>
        <v>440</v>
      </c>
      <c r="Q44" s="15">
        <v>0</v>
      </c>
      <c r="R44" s="20">
        <v>0</v>
      </c>
      <c r="S44" s="16">
        <v>0</v>
      </c>
      <c r="T44" s="16">
        <v>0</v>
      </c>
      <c r="U44" s="20">
        <v>0</v>
      </c>
      <c r="V44" s="20">
        <v>0</v>
      </c>
      <c r="W44" s="19">
        <v>0</v>
      </c>
      <c r="X44" s="19">
        <v>0</v>
      </c>
      <c r="Y44" s="20">
        <v>0</v>
      </c>
      <c r="Z44" s="16">
        <v>0</v>
      </c>
      <c r="AA44" s="20">
        <v>0</v>
      </c>
      <c r="AB44" s="20">
        <v>0</v>
      </c>
      <c r="AC44" s="15">
        <f t="shared" si="4"/>
        <v>0</v>
      </c>
      <c r="AD44" s="15">
        <v>0</v>
      </c>
      <c r="AE44" s="19">
        <v>0</v>
      </c>
      <c r="AF44" s="20">
        <v>0</v>
      </c>
      <c r="AG44" s="15">
        <v>0</v>
      </c>
      <c r="AH44" s="15">
        <v>0</v>
      </c>
      <c r="AI44" s="15">
        <v>30</v>
      </c>
      <c r="AJ44" s="15">
        <v>10</v>
      </c>
      <c r="AK44" s="15">
        <v>30</v>
      </c>
      <c r="AL44" s="15">
        <f t="shared" si="5"/>
        <v>70</v>
      </c>
      <c r="AM44" s="29">
        <f t="shared" si="6"/>
        <v>825</v>
      </c>
      <c r="AN44" s="19">
        <v>717</v>
      </c>
      <c r="AO44" s="21">
        <v>0</v>
      </c>
      <c r="AP44" s="22">
        <v>0</v>
      </c>
      <c r="AQ44" s="26">
        <f t="shared" si="14"/>
        <v>717</v>
      </c>
      <c r="AR44" s="37">
        <f t="shared" si="18"/>
        <v>1</v>
      </c>
      <c r="AS44" s="38">
        <f t="shared" si="10"/>
        <v>0.86909090909090914</v>
      </c>
      <c r="AT44" s="38">
        <f t="shared" si="11"/>
        <v>1</v>
      </c>
      <c r="AU44" s="27">
        <f t="shared" si="12"/>
        <v>0.86909090909090914</v>
      </c>
    </row>
    <row r="45" spans="1:49" s="1" customFormat="1" ht="21" customHeight="1" x14ac:dyDescent="0.25">
      <c r="A45" s="109">
        <v>46028</v>
      </c>
      <c r="B45" s="47" t="s">
        <v>49</v>
      </c>
      <c r="C45" s="107" t="s">
        <v>51</v>
      </c>
      <c r="D45" s="47" t="s">
        <v>128</v>
      </c>
      <c r="E45" s="48">
        <v>98992</v>
      </c>
      <c r="F45" s="48" t="s">
        <v>53</v>
      </c>
      <c r="G45" s="48" t="s">
        <v>125</v>
      </c>
      <c r="H45" s="30">
        <v>15168</v>
      </c>
      <c r="I45" s="30">
        <v>32</v>
      </c>
      <c r="J45" s="28">
        <f t="shared" si="17"/>
        <v>112.5</v>
      </c>
      <c r="K45" s="31">
        <v>0.58333333333333337</v>
      </c>
      <c r="L45" s="31">
        <v>0.9375</v>
      </c>
      <c r="M45" s="32">
        <f t="shared" si="2"/>
        <v>0.35416666666666663</v>
      </c>
      <c r="N45" s="36">
        <v>510</v>
      </c>
      <c r="O45" s="36">
        <f t="shared" si="8"/>
        <v>440</v>
      </c>
      <c r="P45" s="36">
        <f t="shared" si="3"/>
        <v>440</v>
      </c>
      <c r="Q45" s="15">
        <v>0</v>
      </c>
      <c r="R45" s="20">
        <v>0</v>
      </c>
      <c r="S45" s="16">
        <v>0</v>
      </c>
      <c r="T45" s="16">
        <v>0</v>
      </c>
      <c r="U45" s="20">
        <v>0</v>
      </c>
      <c r="V45" s="20">
        <v>0</v>
      </c>
      <c r="W45" s="19">
        <v>0</v>
      </c>
      <c r="X45" s="19">
        <v>0</v>
      </c>
      <c r="Y45" s="20">
        <v>0</v>
      </c>
      <c r="Z45" s="16">
        <v>0</v>
      </c>
      <c r="AA45" s="20">
        <v>0</v>
      </c>
      <c r="AB45" s="20">
        <v>0</v>
      </c>
      <c r="AC45" s="15">
        <f t="shared" si="4"/>
        <v>0</v>
      </c>
      <c r="AD45" s="15">
        <v>0</v>
      </c>
      <c r="AE45" s="19">
        <v>0</v>
      </c>
      <c r="AF45" s="20">
        <v>0</v>
      </c>
      <c r="AG45" s="15">
        <v>0</v>
      </c>
      <c r="AH45" s="15">
        <v>0</v>
      </c>
      <c r="AI45" s="15">
        <v>30</v>
      </c>
      <c r="AJ45" s="15">
        <v>10</v>
      </c>
      <c r="AK45" s="15">
        <v>30</v>
      </c>
      <c r="AL45" s="15">
        <f t="shared" si="5"/>
        <v>70</v>
      </c>
      <c r="AM45" s="29">
        <f t="shared" si="6"/>
        <v>825</v>
      </c>
      <c r="AN45" s="19">
        <v>717</v>
      </c>
      <c r="AO45" s="21">
        <v>0</v>
      </c>
      <c r="AP45" s="22">
        <v>0</v>
      </c>
      <c r="AQ45" s="26">
        <f t="shared" si="14"/>
        <v>717</v>
      </c>
      <c r="AR45" s="37">
        <f t="shared" si="18"/>
        <v>1</v>
      </c>
      <c r="AS45" s="38">
        <f t="shared" si="10"/>
        <v>0.86909090909090914</v>
      </c>
      <c r="AT45" s="38">
        <f t="shared" si="11"/>
        <v>1</v>
      </c>
      <c r="AU45" s="27">
        <f t="shared" si="12"/>
        <v>0.86909090909090914</v>
      </c>
    </row>
    <row r="46" spans="1:49" s="1" customFormat="1" ht="21" customHeight="1" x14ac:dyDescent="0.25">
      <c r="A46" s="109">
        <v>46028</v>
      </c>
      <c r="B46" s="47" t="s">
        <v>49</v>
      </c>
      <c r="C46" s="107" t="s">
        <v>51</v>
      </c>
      <c r="D46" s="47" t="s">
        <v>88</v>
      </c>
      <c r="E46" s="48">
        <v>98992</v>
      </c>
      <c r="F46" s="48" t="s">
        <v>126</v>
      </c>
      <c r="G46" s="48" t="s">
        <v>87</v>
      </c>
      <c r="H46" s="30">
        <v>15114</v>
      </c>
      <c r="I46" s="30">
        <v>32</v>
      </c>
      <c r="J46" s="28">
        <f t="shared" si="17"/>
        <v>112.5</v>
      </c>
      <c r="K46" s="31">
        <v>0.58333333333333337</v>
      </c>
      <c r="L46" s="31">
        <v>0.9375</v>
      </c>
      <c r="M46" s="32">
        <f t="shared" si="2"/>
        <v>0.35416666666666663</v>
      </c>
      <c r="N46" s="36">
        <v>510</v>
      </c>
      <c r="O46" s="36">
        <f t="shared" si="8"/>
        <v>440</v>
      </c>
      <c r="P46" s="36">
        <f t="shared" si="3"/>
        <v>440</v>
      </c>
      <c r="Q46" s="15">
        <v>0</v>
      </c>
      <c r="R46" s="20">
        <v>0</v>
      </c>
      <c r="S46" s="16">
        <v>0</v>
      </c>
      <c r="T46" s="16">
        <v>0</v>
      </c>
      <c r="U46" s="20">
        <v>0</v>
      </c>
      <c r="V46" s="20">
        <v>0</v>
      </c>
      <c r="W46" s="19">
        <v>0</v>
      </c>
      <c r="X46" s="19">
        <v>0</v>
      </c>
      <c r="Y46" s="20">
        <v>0</v>
      </c>
      <c r="Z46" s="16">
        <v>0</v>
      </c>
      <c r="AA46" s="20">
        <v>0</v>
      </c>
      <c r="AB46" s="20">
        <v>0</v>
      </c>
      <c r="AC46" s="15">
        <f t="shared" si="4"/>
        <v>0</v>
      </c>
      <c r="AD46" s="15">
        <v>0</v>
      </c>
      <c r="AE46" s="19">
        <v>0</v>
      </c>
      <c r="AF46" s="20">
        <v>0</v>
      </c>
      <c r="AG46" s="15">
        <v>0</v>
      </c>
      <c r="AH46" s="15">
        <v>0</v>
      </c>
      <c r="AI46" s="15">
        <v>30</v>
      </c>
      <c r="AJ46" s="15">
        <v>10</v>
      </c>
      <c r="AK46" s="15">
        <v>30</v>
      </c>
      <c r="AL46" s="15">
        <f t="shared" si="5"/>
        <v>70</v>
      </c>
      <c r="AM46" s="29">
        <f t="shared" si="6"/>
        <v>825</v>
      </c>
      <c r="AN46" s="19">
        <v>620</v>
      </c>
      <c r="AO46" s="21">
        <v>0</v>
      </c>
      <c r="AP46" s="22">
        <v>0</v>
      </c>
      <c r="AQ46" s="26">
        <f t="shared" si="14"/>
        <v>620</v>
      </c>
      <c r="AR46" s="37">
        <f t="shared" si="18"/>
        <v>1</v>
      </c>
      <c r="AS46" s="38">
        <f t="shared" si="10"/>
        <v>0.75151515151515147</v>
      </c>
      <c r="AT46" s="38">
        <f t="shared" si="11"/>
        <v>1</v>
      </c>
      <c r="AU46" s="27">
        <f t="shared" si="12"/>
        <v>0.75151515151515147</v>
      </c>
    </row>
    <row r="47" spans="1:49" s="1" customFormat="1" ht="21" customHeight="1" x14ac:dyDescent="0.25">
      <c r="A47" s="109">
        <v>46028</v>
      </c>
      <c r="B47" s="47" t="s">
        <v>49</v>
      </c>
      <c r="C47" s="107" t="s">
        <v>51</v>
      </c>
      <c r="D47" s="47" t="s">
        <v>89</v>
      </c>
      <c r="E47" s="48">
        <v>98992</v>
      </c>
      <c r="F47" s="48" t="s">
        <v>169</v>
      </c>
      <c r="G47" s="48" t="s">
        <v>87</v>
      </c>
      <c r="H47" s="30">
        <v>16219</v>
      </c>
      <c r="I47" s="30">
        <v>32</v>
      </c>
      <c r="J47" s="28">
        <f t="shared" si="17"/>
        <v>112.5</v>
      </c>
      <c r="K47" s="31">
        <v>0.58333333333333337</v>
      </c>
      <c r="L47" s="31">
        <v>0.9375</v>
      </c>
      <c r="M47" s="32">
        <f>IF(L47&gt;K47,L47-K47,1+L47-K47)</f>
        <v>0.35416666666666663</v>
      </c>
      <c r="N47" s="36">
        <v>510</v>
      </c>
      <c r="O47" s="36">
        <f t="shared" si="8"/>
        <v>440</v>
      </c>
      <c r="P47" s="36">
        <f t="shared" si="3"/>
        <v>440</v>
      </c>
      <c r="Q47" s="15">
        <v>0</v>
      </c>
      <c r="R47" s="20">
        <v>0</v>
      </c>
      <c r="S47" s="16">
        <v>0</v>
      </c>
      <c r="T47" s="16">
        <v>0</v>
      </c>
      <c r="U47" s="20">
        <v>0</v>
      </c>
      <c r="V47" s="20">
        <v>0</v>
      </c>
      <c r="W47" s="19">
        <v>0</v>
      </c>
      <c r="X47" s="19">
        <v>0</v>
      </c>
      <c r="Y47" s="20">
        <v>0</v>
      </c>
      <c r="Z47" s="16">
        <v>0</v>
      </c>
      <c r="AA47" s="20">
        <v>0</v>
      </c>
      <c r="AB47" s="20">
        <v>0</v>
      </c>
      <c r="AC47" s="15">
        <f t="shared" si="4"/>
        <v>0</v>
      </c>
      <c r="AD47" s="15">
        <v>0</v>
      </c>
      <c r="AE47" s="19">
        <v>0</v>
      </c>
      <c r="AF47" s="20">
        <v>0</v>
      </c>
      <c r="AG47" s="15">
        <v>0</v>
      </c>
      <c r="AH47" s="15">
        <v>0</v>
      </c>
      <c r="AI47" s="15">
        <v>30</v>
      </c>
      <c r="AJ47" s="15">
        <v>10</v>
      </c>
      <c r="AK47" s="15">
        <v>30</v>
      </c>
      <c r="AL47" s="15">
        <f t="shared" si="5"/>
        <v>70</v>
      </c>
      <c r="AM47" s="29">
        <f t="shared" si="6"/>
        <v>825</v>
      </c>
      <c r="AN47" s="19">
        <v>640</v>
      </c>
      <c r="AO47" s="21">
        <v>0</v>
      </c>
      <c r="AP47" s="22">
        <v>1</v>
      </c>
      <c r="AQ47" s="26">
        <f t="shared" si="14"/>
        <v>639</v>
      </c>
      <c r="AR47" s="37">
        <f t="shared" si="18"/>
        <v>1</v>
      </c>
      <c r="AS47" s="38">
        <f t="shared" si="10"/>
        <v>0.77575757575757576</v>
      </c>
      <c r="AT47" s="38">
        <f t="shared" si="11"/>
        <v>0.99843749999999998</v>
      </c>
      <c r="AU47" s="27">
        <f t="shared" si="12"/>
        <v>0.77454545454545454</v>
      </c>
    </row>
    <row r="48" spans="1:49" s="1" customFormat="1" ht="21" customHeight="1" x14ac:dyDescent="0.25">
      <c r="A48" s="109">
        <v>46028</v>
      </c>
      <c r="B48" s="47" t="s">
        <v>49</v>
      </c>
      <c r="C48" s="107" t="s">
        <v>51</v>
      </c>
      <c r="D48" s="47" t="s">
        <v>52</v>
      </c>
      <c r="E48" s="48">
        <v>98992</v>
      </c>
      <c r="F48" s="48" t="s">
        <v>53</v>
      </c>
      <c r="G48" s="48" t="s">
        <v>87</v>
      </c>
      <c r="H48" s="30">
        <v>15688</v>
      </c>
      <c r="I48" s="30">
        <v>32</v>
      </c>
      <c r="J48" s="28">
        <f t="shared" si="17"/>
        <v>112.5</v>
      </c>
      <c r="K48" s="31">
        <v>0.58333333333333337</v>
      </c>
      <c r="L48" s="31">
        <v>0.9375</v>
      </c>
      <c r="M48" s="32">
        <f t="shared" si="2"/>
        <v>0.35416666666666663</v>
      </c>
      <c r="N48" s="36">
        <v>510</v>
      </c>
      <c r="O48" s="36">
        <f t="shared" si="8"/>
        <v>440</v>
      </c>
      <c r="P48" s="36">
        <f t="shared" si="3"/>
        <v>440</v>
      </c>
      <c r="Q48" s="15">
        <v>0</v>
      </c>
      <c r="R48" s="20">
        <v>0</v>
      </c>
      <c r="S48" s="16">
        <v>0</v>
      </c>
      <c r="T48" s="16">
        <v>0</v>
      </c>
      <c r="U48" s="20">
        <v>0</v>
      </c>
      <c r="V48" s="20">
        <v>0</v>
      </c>
      <c r="W48" s="19">
        <v>0</v>
      </c>
      <c r="X48" s="19">
        <v>0</v>
      </c>
      <c r="Y48" s="20">
        <v>0</v>
      </c>
      <c r="Z48" s="16">
        <v>0</v>
      </c>
      <c r="AA48" s="20">
        <v>0</v>
      </c>
      <c r="AB48" s="20">
        <v>0</v>
      </c>
      <c r="AC48" s="15">
        <f t="shared" si="4"/>
        <v>0</v>
      </c>
      <c r="AD48" s="15">
        <v>0</v>
      </c>
      <c r="AE48" s="19">
        <v>0</v>
      </c>
      <c r="AF48" s="20">
        <v>0</v>
      </c>
      <c r="AG48" s="15">
        <v>0</v>
      </c>
      <c r="AH48" s="15">
        <v>0</v>
      </c>
      <c r="AI48" s="15">
        <v>30</v>
      </c>
      <c r="AJ48" s="15">
        <v>10</v>
      </c>
      <c r="AK48" s="15">
        <v>30</v>
      </c>
      <c r="AL48" s="15">
        <f t="shared" si="5"/>
        <v>70</v>
      </c>
      <c r="AM48" s="29">
        <f t="shared" si="6"/>
        <v>825</v>
      </c>
      <c r="AN48" s="19">
        <v>639</v>
      </c>
      <c r="AO48" s="21">
        <v>0</v>
      </c>
      <c r="AP48" s="22">
        <v>0</v>
      </c>
      <c r="AQ48" s="26">
        <f t="shared" si="14"/>
        <v>639</v>
      </c>
      <c r="AR48" s="37">
        <f t="shared" si="18"/>
        <v>1</v>
      </c>
      <c r="AS48" s="38">
        <f t="shared" si="10"/>
        <v>0.77454545454545454</v>
      </c>
      <c r="AT48" s="38">
        <f t="shared" si="11"/>
        <v>1</v>
      </c>
      <c r="AU48" s="27">
        <f t="shared" si="12"/>
        <v>0.77454545454545454</v>
      </c>
    </row>
    <row r="49" spans="1:47" s="1" customFormat="1" ht="21" customHeight="1" x14ac:dyDescent="0.25">
      <c r="A49" s="109">
        <v>46028</v>
      </c>
      <c r="B49" s="47" t="s">
        <v>49</v>
      </c>
      <c r="C49" s="107" t="s">
        <v>51</v>
      </c>
      <c r="D49" s="47" t="s">
        <v>86</v>
      </c>
      <c r="E49" s="48">
        <v>98992</v>
      </c>
      <c r="F49" s="48" t="s">
        <v>176</v>
      </c>
      <c r="G49" s="48" t="s">
        <v>87</v>
      </c>
      <c r="H49" s="30">
        <v>15859</v>
      </c>
      <c r="I49" s="30">
        <v>20</v>
      </c>
      <c r="J49" s="28">
        <f t="shared" ref="J49:J52" si="19">3600/I49</f>
        <v>180</v>
      </c>
      <c r="K49" s="31">
        <v>0.58333333333333337</v>
      </c>
      <c r="L49" s="31">
        <v>0.9375</v>
      </c>
      <c r="M49" s="32">
        <f t="shared" si="2"/>
        <v>0.35416666666666663</v>
      </c>
      <c r="N49" s="36">
        <v>510</v>
      </c>
      <c r="O49" s="36">
        <f t="shared" si="8"/>
        <v>120</v>
      </c>
      <c r="P49" s="36">
        <f t="shared" si="3"/>
        <v>120</v>
      </c>
      <c r="Q49" s="15">
        <v>0</v>
      </c>
      <c r="R49" s="20">
        <v>0</v>
      </c>
      <c r="S49" s="16">
        <v>0</v>
      </c>
      <c r="T49" s="16">
        <v>0</v>
      </c>
      <c r="U49" s="20">
        <v>0</v>
      </c>
      <c r="V49" s="20">
        <v>0</v>
      </c>
      <c r="W49" s="19">
        <v>0</v>
      </c>
      <c r="X49" s="19">
        <v>0</v>
      </c>
      <c r="Y49" s="20">
        <v>0</v>
      </c>
      <c r="Z49" s="16">
        <v>0</v>
      </c>
      <c r="AA49" s="20">
        <v>0</v>
      </c>
      <c r="AB49" s="20">
        <v>0</v>
      </c>
      <c r="AC49" s="15">
        <f t="shared" si="4"/>
        <v>0</v>
      </c>
      <c r="AD49" s="15">
        <v>0</v>
      </c>
      <c r="AE49" s="19">
        <v>0</v>
      </c>
      <c r="AF49" s="20">
        <v>0</v>
      </c>
      <c r="AG49" s="15">
        <v>320</v>
      </c>
      <c r="AH49" s="15">
        <v>0</v>
      </c>
      <c r="AI49" s="15">
        <v>30</v>
      </c>
      <c r="AJ49" s="15">
        <v>10</v>
      </c>
      <c r="AK49" s="15">
        <v>30</v>
      </c>
      <c r="AL49" s="15">
        <f t="shared" si="5"/>
        <v>390</v>
      </c>
      <c r="AM49" s="29">
        <f t="shared" si="6"/>
        <v>360</v>
      </c>
      <c r="AN49" s="19">
        <v>288</v>
      </c>
      <c r="AO49" s="21">
        <v>0</v>
      </c>
      <c r="AP49" s="22">
        <v>0</v>
      </c>
      <c r="AQ49" s="26">
        <f t="shared" si="14"/>
        <v>288</v>
      </c>
      <c r="AR49" s="37">
        <f t="shared" si="18"/>
        <v>1</v>
      </c>
      <c r="AS49" s="38">
        <f t="shared" si="10"/>
        <v>0.8</v>
      </c>
      <c r="AT49" s="38">
        <f t="shared" si="11"/>
        <v>1</v>
      </c>
      <c r="AU49" s="27">
        <f t="shared" si="12"/>
        <v>0.8</v>
      </c>
    </row>
    <row r="50" spans="1:47" s="1" customFormat="1" ht="21" customHeight="1" x14ac:dyDescent="0.25">
      <c r="A50" s="109">
        <v>46028</v>
      </c>
      <c r="B50" s="47" t="s">
        <v>49</v>
      </c>
      <c r="C50" s="107" t="s">
        <v>51</v>
      </c>
      <c r="D50" s="47" t="s">
        <v>172</v>
      </c>
      <c r="E50" s="48">
        <v>98992</v>
      </c>
      <c r="F50" s="48" t="s">
        <v>175</v>
      </c>
      <c r="G50" s="48" t="s">
        <v>87</v>
      </c>
      <c r="H50" s="30">
        <v>15689</v>
      </c>
      <c r="I50" s="30">
        <v>20</v>
      </c>
      <c r="J50" s="28">
        <f t="shared" si="19"/>
        <v>180</v>
      </c>
      <c r="K50" s="31">
        <v>0.58333333333333337</v>
      </c>
      <c r="L50" s="31">
        <v>0.9375</v>
      </c>
      <c r="M50" s="32">
        <f t="shared" si="2"/>
        <v>0.35416666666666663</v>
      </c>
      <c r="N50" s="36">
        <v>510</v>
      </c>
      <c r="O50" s="36">
        <f t="shared" si="8"/>
        <v>120</v>
      </c>
      <c r="P50" s="36">
        <f t="shared" si="3"/>
        <v>120</v>
      </c>
      <c r="Q50" s="15">
        <v>0</v>
      </c>
      <c r="R50" s="20">
        <v>0</v>
      </c>
      <c r="S50" s="16">
        <v>0</v>
      </c>
      <c r="T50" s="16">
        <v>0</v>
      </c>
      <c r="U50" s="20">
        <v>0</v>
      </c>
      <c r="V50" s="20">
        <v>0</v>
      </c>
      <c r="W50" s="19">
        <v>0</v>
      </c>
      <c r="X50" s="19">
        <v>0</v>
      </c>
      <c r="Y50" s="20">
        <v>0</v>
      </c>
      <c r="Z50" s="16">
        <v>0</v>
      </c>
      <c r="AA50" s="20">
        <v>0</v>
      </c>
      <c r="AB50" s="20">
        <v>0</v>
      </c>
      <c r="AC50" s="15">
        <f t="shared" si="4"/>
        <v>0</v>
      </c>
      <c r="AD50" s="15">
        <v>0</v>
      </c>
      <c r="AE50" s="19">
        <v>0</v>
      </c>
      <c r="AF50" s="20">
        <v>0</v>
      </c>
      <c r="AG50" s="15">
        <v>320</v>
      </c>
      <c r="AH50" s="15">
        <v>0</v>
      </c>
      <c r="AI50" s="15">
        <v>30</v>
      </c>
      <c r="AJ50" s="15">
        <v>10</v>
      </c>
      <c r="AK50" s="15">
        <v>30</v>
      </c>
      <c r="AL50" s="15">
        <f t="shared" si="5"/>
        <v>390</v>
      </c>
      <c r="AM50" s="29">
        <f t="shared" si="6"/>
        <v>360</v>
      </c>
      <c r="AN50" s="19">
        <v>324</v>
      </c>
      <c r="AO50" s="21">
        <v>0</v>
      </c>
      <c r="AP50" s="22">
        <v>0</v>
      </c>
      <c r="AQ50" s="26">
        <f t="shared" si="14"/>
        <v>324</v>
      </c>
      <c r="AR50" s="37">
        <f t="shared" si="18"/>
        <v>1</v>
      </c>
      <c r="AS50" s="38">
        <f t="shared" si="10"/>
        <v>0.9</v>
      </c>
      <c r="AT50" s="38">
        <f t="shared" si="11"/>
        <v>1</v>
      </c>
      <c r="AU50" s="27">
        <f t="shared" si="12"/>
        <v>0.9</v>
      </c>
    </row>
    <row r="51" spans="1:47" s="1" customFormat="1" ht="21" customHeight="1" x14ac:dyDescent="0.25">
      <c r="A51" s="109">
        <v>46028</v>
      </c>
      <c r="B51" s="47" t="s">
        <v>49</v>
      </c>
      <c r="C51" s="107" t="s">
        <v>51</v>
      </c>
      <c r="D51" s="47" t="s">
        <v>94</v>
      </c>
      <c r="E51" s="48">
        <v>98992</v>
      </c>
      <c r="F51" s="48" t="s">
        <v>67</v>
      </c>
      <c r="G51" s="48" t="s">
        <v>174</v>
      </c>
      <c r="H51" s="30">
        <v>12019</v>
      </c>
      <c r="I51" s="30">
        <v>24</v>
      </c>
      <c r="J51" s="28">
        <f t="shared" si="19"/>
        <v>150</v>
      </c>
      <c r="K51" s="31">
        <v>0.58333333333333337</v>
      </c>
      <c r="L51" s="31">
        <v>0.9375</v>
      </c>
      <c r="M51" s="32">
        <f t="shared" si="2"/>
        <v>0.35416666666666663</v>
      </c>
      <c r="N51" s="36">
        <v>510</v>
      </c>
      <c r="O51" s="36">
        <f t="shared" si="8"/>
        <v>440</v>
      </c>
      <c r="P51" s="36">
        <f t="shared" si="3"/>
        <v>440</v>
      </c>
      <c r="Q51" s="15">
        <v>0</v>
      </c>
      <c r="R51" s="20">
        <v>0</v>
      </c>
      <c r="S51" s="16">
        <v>0</v>
      </c>
      <c r="T51" s="16">
        <v>0</v>
      </c>
      <c r="U51" s="20">
        <v>0</v>
      </c>
      <c r="V51" s="20">
        <v>0</v>
      </c>
      <c r="W51" s="19">
        <v>0</v>
      </c>
      <c r="X51" s="19">
        <v>0</v>
      </c>
      <c r="Y51" s="20">
        <v>0</v>
      </c>
      <c r="Z51" s="16">
        <v>0</v>
      </c>
      <c r="AA51" s="20">
        <v>0</v>
      </c>
      <c r="AB51" s="20">
        <v>0</v>
      </c>
      <c r="AC51" s="15">
        <f t="shared" si="4"/>
        <v>0</v>
      </c>
      <c r="AD51" s="15">
        <v>0</v>
      </c>
      <c r="AE51" s="19">
        <v>0</v>
      </c>
      <c r="AF51" s="20">
        <v>0</v>
      </c>
      <c r="AG51" s="15">
        <v>0</v>
      </c>
      <c r="AH51" s="15">
        <v>0</v>
      </c>
      <c r="AI51" s="15">
        <v>30</v>
      </c>
      <c r="AJ51" s="15">
        <v>10</v>
      </c>
      <c r="AK51" s="15">
        <v>30</v>
      </c>
      <c r="AL51" s="15">
        <f t="shared" si="5"/>
        <v>70</v>
      </c>
      <c r="AM51" s="29">
        <f t="shared" si="6"/>
        <v>1100</v>
      </c>
      <c r="AN51" s="19">
        <v>962</v>
      </c>
      <c r="AO51" s="21">
        <v>0</v>
      </c>
      <c r="AP51" s="22">
        <v>0</v>
      </c>
      <c r="AQ51" s="26">
        <f t="shared" si="14"/>
        <v>962</v>
      </c>
      <c r="AR51" s="37">
        <f t="shared" si="18"/>
        <v>1</v>
      </c>
      <c r="AS51" s="38">
        <f t="shared" si="10"/>
        <v>0.87454545454545451</v>
      </c>
      <c r="AT51" s="38">
        <f t="shared" si="11"/>
        <v>1</v>
      </c>
      <c r="AU51" s="27">
        <f t="shared" si="12"/>
        <v>0.87454545454545451</v>
      </c>
    </row>
    <row r="52" spans="1:47" s="1" customFormat="1" ht="21" customHeight="1" x14ac:dyDescent="0.25">
      <c r="A52" s="109">
        <v>46028</v>
      </c>
      <c r="B52" s="47" t="s">
        <v>49</v>
      </c>
      <c r="C52" s="107" t="s">
        <v>51</v>
      </c>
      <c r="D52" s="47" t="s">
        <v>127</v>
      </c>
      <c r="E52" s="48">
        <v>98992</v>
      </c>
      <c r="F52" s="48" t="s">
        <v>175</v>
      </c>
      <c r="G52" s="48" t="s">
        <v>125</v>
      </c>
      <c r="H52" s="30">
        <v>15689</v>
      </c>
      <c r="I52" s="30">
        <v>20</v>
      </c>
      <c r="J52" s="28">
        <f t="shared" si="19"/>
        <v>180</v>
      </c>
      <c r="K52" s="31">
        <v>0.58333333333333337</v>
      </c>
      <c r="L52" s="31">
        <v>0.9375</v>
      </c>
      <c r="M52" s="32">
        <f t="shared" si="2"/>
        <v>0.35416666666666663</v>
      </c>
      <c r="N52" s="36">
        <v>510</v>
      </c>
      <c r="O52" s="36">
        <f t="shared" si="8"/>
        <v>70</v>
      </c>
      <c r="P52" s="36">
        <f t="shared" si="3"/>
        <v>70</v>
      </c>
      <c r="Q52" s="15">
        <v>0</v>
      </c>
      <c r="R52" s="20">
        <v>0</v>
      </c>
      <c r="S52" s="16">
        <v>0</v>
      </c>
      <c r="T52" s="16">
        <v>0</v>
      </c>
      <c r="U52" s="20">
        <v>0</v>
      </c>
      <c r="V52" s="20">
        <v>0</v>
      </c>
      <c r="W52" s="19">
        <v>0</v>
      </c>
      <c r="X52" s="19">
        <v>0</v>
      </c>
      <c r="Y52" s="20">
        <v>0</v>
      </c>
      <c r="Z52" s="16">
        <v>0</v>
      </c>
      <c r="AA52" s="20">
        <v>0</v>
      </c>
      <c r="AB52" s="20">
        <v>0</v>
      </c>
      <c r="AC52" s="15">
        <f t="shared" si="4"/>
        <v>0</v>
      </c>
      <c r="AD52" s="15">
        <v>0</v>
      </c>
      <c r="AE52" s="19">
        <v>0</v>
      </c>
      <c r="AF52" s="20">
        <v>0</v>
      </c>
      <c r="AG52" s="15">
        <v>370</v>
      </c>
      <c r="AH52" s="15">
        <v>0</v>
      </c>
      <c r="AI52" s="15">
        <v>30</v>
      </c>
      <c r="AJ52" s="15">
        <v>10</v>
      </c>
      <c r="AK52" s="15">
        <v>30</v>
      </c>
      <c r="AL52" s="15">
        <f t="shared" si="5"/>
        <v>440</v>
      </c>
      <c r="AM52" s="29">
        <f t="shared" si="6"/>
        <v>210</v>
      </c>
      <c r="AN52" s="19">
        <v>160</v>
      </c>
      <c r="AO52" s="21">
        <v>0</v>
      </c>
      <c r="AP52" s="22">
        <v>0</v>
      </c>
      <c r="AQ52" s="26">
        <f t="shared" si="14"/>
        <v>160</v>
      </c>
      <c r="AR52" s="37">
        <f t="shared" si="18"/>
        <v>1</v>
      </c>
      <c r="AS52" s="38">
        <f t="shared" si="10"/>
        <v>0.76190476190476186</v>
      </c>
      <c r="AT52" s="38">
        <f t="shared" si="11"/>
        <v>1</v>
      </c>
      <c r="AU52" s="27">
        <f t="shared" si="12"/>
        <v>0.76190476190476186</v>
      </c>
    </row>
    <row r="53" spans="1:47" s="1" customFormat="1" ht="21" customHeight="1" x14ac:dyDescent="0.25">
      <c r="A53" s="109">
        <v>46029</v>
      </c>
      <c r="B53" s="47" t="s">
        <v>49</v>
      </c>
      <c r="C53" s="107" t="s">
        <v>21</v>
      </c>
      <c r="D53" s="47" t="s">
        <v>94</v>
      </c>
      <c r="E53" s="48">
        <v>98992</v>
      </c>
      <c r="F53" s="48" t="s">
        <v>67</v>
      </c>
      <c r="G53" s="48" t="s">
        <v>174</v>
      </c>
      <c r="H53" s="30">
        <v>14033</v>
      </c>
      <c r="I53" s="30">
        <v>24</v>
      </c>
      <c r="J53" s="28">
        <f t="shared" ref="J53:J56" si="20">3600/I53</f>
        <v>150</v>
      </c>
      <c r="K53" s="31">
        <v>0.25</v>
      </c>
      <c r="L53" s="31">
        <v>0.60416666666666663</v>
      </c>
      <c r="M53" s="32">
        <f t="shared" si="2"/>
        <v>0.35416666666666663</v>
      </c>
      <c r="N53" s="36">
        <v>510</v>
      </c>
      <c r="O53" s="36">
        <f t="shared" si="8"/>
        <v>440</v>
      </c>
      <c r="P53" s="36">
        <f t="shared" si="3"/>
        <v>440</v>
      </c>
      <c r="Q53" s="15">
        <v>0</v>
      </c>
      <c r="R53" s="20">
        <v>0</v>
      </c>
      <c r="S53" s="16">
        <v>0</v>
      </c>
      <c r="T53" s="16">
        <v>0</v>
      </c>
      <c r="U53" s="20">
        <v>0</v>
      </c>
      <c r="V53" s="20">
        <v>0</v>
      </c>
      <c r="W53" s="19">
        <v>0</v>
      </c>
      <c r="X53" s="19">
        <v>0</v>
      </c>
      <c r="Y53" s="20">
        <v>0</v>
      </c>
      <c r="Z53" s="16">
        <v>0</v>
      </c>
      <c r="AA53" s="20">
        <v>0</v>
      </c>
      <c r="AB53" s="20">
        <v>0</v>
      </c>
      <c r="AC53" s="15">
        <f t="shared" si="4"/>
        <v>0</v>
      </c>
      <c r="AD53" s="15">
        <v>0</v>
      </c>
      <c r="AE53" s="19">
        <v>0</v>
      </c>
      <c r="AF53" s="20">
        <v>0</v>
      </c>
      <c r="AG53" s="15">
        <v>0</v>
      </c>
      <c r="AH53" s="15">
        <v>0</v>
      </c>
      <c r="AI53" s="15">
        <v>30</v>
      </c>
      <c r="AJ53" s="15">
        <v>10</v>
      </c>
      <c r="AK53" s="15">
        <v>30</v>
      </c>
      <c r="AL53" s="15">
        <f t="shared" si="5"/>
        <v>70</v>
      </c>
      <c r="AM53" s="29">
        <f t="shared" si="6"/>
        <v>1100</v>
      </c>
      <c r="AN53" s="19">
        <v>852</v>
      </c>
      <c r="AO53" s="21">
        <v>0</v>
      </c>
      <c r="AP53" s="22">
        <v>0</v>
      </c>
      <c r="AQ53" s="26">
        <f t="shared" si="14"/>
        <v>852</v>
      </c>
      <c r="AR53" s="37">
        <f t="shared" si="18"/>
        <v>1</v>
      </c>
      <c r="AS53" s="38">
        <f t="shared" si="10"/>
        <v>0.77454545454545454</v>
      </c>
      <c r="AT53" s="38">
        <f t="shared" si="11"/>
        <v>1</v>
      </c>
      <c r="AU53" s="27">
        <f t="shared" si="12"/>
        <v>0.77454545454545454</v>
      </c>
    </row>
    <row r="54" spans="1:47" s="1" customFormat="1" ht="21" customHeight="1" x14ac:dyDescent="0.25">
      <c r="A54" s="109">
        <v>46029</v>
      </c>
      <c r="B54" s="47" t="s">
        <v>49</v>
      </c>
      <c r="C54" s="107" t="s">
        <v>21</v>
      </c>
      <c r="D54" s="47" t="s">
        <v>88</v>
      </c>
      <c r="E54" s="48">
        <v>98992</v>
      </c>
      <c r="F54" s="48" t="s">
        <v>126</v>
      </c>
      <c r="G54" s="48" t="s">
        <v>87</v>
      </c>
      <c r="H54" s="30">
        <v>11682</v>
      </c>
      <c r="I54" s="30">
        <v>32</v>
      </c>
      <c r="J54" s="28">
        <f t="shared" si="20"/>
        <v>112.5</v>
      </c>
      <c r="K54" s="31">
        <v>0.25</v>
      </c>
      <c r="L54" s="31">
        <v>0.60416666666666663</v>
      </c>
      <c r="M54" s="32">
        <f t="shared" si="2"/>
        <v>0.35416666666666663</v>
      </c>
      <c r="N54" s="36">
        <v>510</v>
      </c>
      <c r="O54" s="36">
        <f t="shared" si="8"/>
        <v>440</v>
      </c>
      <c r="P54" s="36">
        <f t="shared" si="3"/>
        <v>440</v>
      </c>
      <c r="Q54" s="15">
        <v>0</v>
      </c>
      <c r="R54" s="20">
        <v>0</v>
      </c>
      <c r="S54" s="16">
        <v>0</v>
      </c>
      <c r="T54" s="16">
        <v>0</v>
      </c>
      <c r="U54" s="20">
        <v>0</v>
      </c>
      <c r="V54" s="20">
        <v>0</v>
      </c>
      <c r="W54" s="19">
        <v>0</v>
      </c>
      <c r="X54" s="19">
        <v>0</v>
      </c>
      <c r="Y54" s="20">
        <v>0</v>
      </c>
      <c r="Z54" s="16">
        <v>0</v>
      </c>
      <c r="AA54" s="20">
        <v>0</v>
      </c>
      <c r="AB54" s="20">
        <v>0</v>
      </c>
      <c r="AC54" s="15">
        <f t="shared" si="4"/>
        <v>0</v>
      </c>
      <c r="AD54" s="15">
        <v>0</v>
      </c>
      <c r="AE54" s="19">
        <v>0</v>
      </c>
      <c r="AF54" s="20">
        <v>0</v>
      </c>
      <c r="AG54" s="15">
        <v>0</v>
      </c>
      <c r="AH54" s="15">
        <v>0</v>
      </c>
      <c r="AI54" s="15">
        <v>30</v>
      </c>
      <c r="AJ54" s="15">
        <v>10</v>
      </c>
      <c r="AK54" s="15">
        <v>30</v>
      </c>
      <c r="AL54" s="15">
        <f t="shared" si="5"/>
        <v>70</v>
      </c>
      <c r="AM54" s="29">
        <f t="shared" si="6"/>
        <v>825</v>
      </c>
      <c r="AN54" s="19">
        <v>740</v>
      </c>
      <c r="AO54" s="21">
        <v>0</v>
      </c>
      <c r="AP54" s="22">
        <v>2</v>
      </c>
      <c r="AQ54" s="26">
        <f t="shared" si="14"/>
        <v>738</v>
      </c>
      <c r="AR54" s="37">
        <f t="shared" si="18"/>
        <v>1</v>
      </c>
      <c r="AS54" s="38">
        <f t="shared" si="10"/>
        <v>0.89696969696969697</v>
      </c>
      <c r="AT54" s="38">
        <f t="shared" si="11"/>
        <v>0.99729729729729732</v>
      </c>
      <c r="AU54" s="27">
        <f t="shared" si="12"/>
        <v>0.89454545454545453</v>
      </c>
    </row>
    <row r="55" spans="1:47" s="1" customFormat="1" ht="21" customHeight="1" x14ac:dyDescent="0.25">
      <c r="A55" s="109">
        <v>46029</v>
      </c>
      <c r="B55" s="47" t="s">
        <v>49</v>
      </c>
      <c r="C55" s="107" t="s">
        <v>21</v>
      </c>
      <c r="D55" s="47" t="s">
        <v>89</v>
      </c>
      <c r="E55" s="48">
        <v>98992</v>
      </c>
      <c r="F55" s="48" t="s">
        <v>169</v>
      </c>
      <c r="G55" s="48" t="s">
        <v>87</v>
      </c>
      <c r="H55" s="30">
        <v>15727</v>
      </c>
      <c r="I55" s="30">
        <v>32</v>
      </c>
      <c r="J55" s="28">
        <f t="shared" si="20"/>
        <v>112.5</v>
      </c>
      <c r="K55" s="31">
        <v>0.25</v>
      </c>
      <c r="L55" s="31">
        <v>0.60416666666666663</v>
      </c>
      <c r="M55" s="32">
        <f t="shared" si="2"/>
        <v>0.35416666666666663</v>
      </c>
      <c r="N55" s="36">
        <v>510</v>
      </c>
      <c r="O55" s="36">
        <f t="shared" si="8"/>
        <v>440</v>
      </c>
      <c r="P55" s="36">
        <f t="shared" si="3"/>
        <v>440</v>
      </c>
      <c r="Q55" s="15">
        <v>0</v>
      </c>
      <c r="R55" s="20">
        <v>0</v>
      </c>
      <c r="S55" s="16">
        <v>0</v>
      </c>
      <c r="T55" s="16">
        <v>0</v>
      </c>
      <c r="U55" s="20">
        <v>0</v>
      </c>
      <c r="V55" s="20">
        <v>0</v>
      </c>
      <c r="W55" s="19">
        <v>0</v>
      </c>
      <c r="X55" s="19">
        <v>0</v>
      </c>
      <c r="Y55" s="20">
        <v>0</v>
      </c>
      <c r="Z55" s="16">
        <v>0</v>
      </c>
      <c r="AA55" s="20">
        <v>0</v>
      </c>
      <c r="AB55" s="20">
        <v>0</v>
      </c>
      <c r="AC55" s="15">
        <f t="shared" si="4"/>
        <v>0</v>
      </c>
      <c r="AD55" s="15">
        <v>0</v>
      </c>
      <c r="AE55" s="19">
        <v>0</v>
      </c>
      <c r="AF55" s="20">
        <v>0</v>
      </c>
      <c r="AG55" s="15">
        <v>0</v>
      </c>
      <c r="AH55" s="15">
        <v>0</v>
      </c>
      <c r="AI55" s="15">
        <v>30</v>
      </c>
      <c r="AJ55" s="15">
        <v>10</v>
      </c>
      <c r="AK55" s="15">
        <v>30</v>
      </c>
      <c r="AL55" s="15">
        <f t="shared" si="5"/>
        <v>70</v>
      </c>
      <c r="AM55" s="29">
        <f t="shared" si="6"/>
        <v>825</v>
      </c>
      <c r="AN55" s="19">
        <v>652</v>
      </c>
      <c r="AO55" s="21">
        <v>0</v>
      </c>
      <c r="AP55" s="22">
        <v>0</v>
      </c>
      <c r="AQ55" s="26">
        <f t="shared" si="14"/>
        <v>652</v>
      </c>
      <c r="AR55" s="37">
        <f t="shared" si="18"/>
        <v>1</v>
      </c>
      <c r="AS55" s="38">
        <f t="shared" si="10"/>
        <v>0.79030303030303028</v>
      </c>
      <c r="AT55" s="38">
        <f t="shared" si="11"/>
        <v>1</v>
      </c>
      <c r="AU55" s="27">
        <f t="shared" si="12"/>
        <v>0.79030303030303028</v>
      </c>
    </row>
    <row r="56" spans="1:47" s="1" customFormat="1" ht="21" customHeight="1" x14ac:dyDescent="0.25">
      <c r="A56" s="109">
        <v>46029</v>
      </c>
      <c r="B56" s="47" t="s">
        <v>49</v>
      </c>
      <c r="C56" s="107" t="s">
        <v>21</v>
      </c>
      <c r="D56" s="47" t="s">
        <v>52</v>
      </c>
      <c r="E56" s="48">
        <v>98992</v>
      </c>
      <c r="F56" s="48" t="s">
        <v>53</v>
      </c>
      <c r="G56" s="48" t="s">
        <v>87</v>
      </c>
      <c r="H56" s="30">
        <v>15632</v>
      </c>
      <c r="I56" s="30">
        <v>32</v>
      </c>
      <c r="J56" s="28">
        <f t="shared" si="20"/>
        <v>112.5</v>
      </c>
      <c r="K56" s="31">
        <v>0.25</v>
      </c>
      <c r="L56" s="31">
        <v>0.60416666666666663</v>
      </c>
      <c r="M56" s="32">
        <f t="shared" si="2"/>
        <v>0.35416666666666663</v>
      </c>
      <c r="N56" s="36">
        <v>510</v>
      </c>
      <c r="O56" s="36">
        <f t="shared" si="8"/>
        <v>320</v>
      </c>
      <c r="P56" s="36">
        <f t="shared" si="3"/>
        <v>320</v>
      </c>
      <c r="Q56" s="15">
        <v>0</v>
      </c>
      <c r="R56" s="20">
        <v>0</v>
      </c>
      <c r="S56" s="16">
        <v>0</v>
      </c>
      <c r="T56" s="16">
        <v>0</v>
      </c>
      <c r="U56" s="20">
        <v>0</v>
      </c>
      <c r="V56" s="20">
        <v>0</v>
      </c>
      <c r="W56" s="19">
        <v>0</v>
      </c>
      <c r="X56" s="19">
        <v>0</v>
      </c>
      <c r="Y56" s="20">
        <v>0</v>
      </c>
      <c r="Z56" s="16">
        <v>0</v>
      </c>
      <c r="AA56" s="20">
        <v>0</v>
      </c>
      <c r="AB56" s="20">
        <v>0</v>
      </c>
      <c r="AC56" s="15">
        <f t="shared" si="4"/>
        <v>0</v>
      </c>
      <c r="AD56" s="15">
        <v>0</v>
      </c>
      <c r="AE56" s="19">
        <v>0</v>
      </c>
      <c r="AF56" s="20">
        <v>0</v>
      </c>
      <c r="AG56" s="15">
        <v>120</v>
      </c>
      <c r="AH56" s="15">
        <v>0</v>
      </c>
      <c r="AI56" s="15">
        <v>30</v>
      </c>
      <c r="AJ56" s="15">
        <v>10</v>
      </c>
      <c r="AK56" s="15">
        <v>30</v>
      </c>
      <c r="AL56" s="15">
        <f t="shared" si="5"/>
        <v>190</v>
      </c>
      <c r="AM56" s="29">
        <f t="shared" si="6"/>
        <v>600</v>
      </c>
      <c r="AN56" s="19">
        <v>497</v>
      </c>
      <c r="AO56" s="21">
        <v>0</v>
      </c>
      <c r="AP56" s="22">
        <v>0</v>
      </c>
      <c r="AQ56" s="26">
        <f t="shared" si="14"/>
        <v>497</v>
      </c>
      <c r="AR56" s="37">
        <f t="shared" si="18"/>
        <v>1</v>
      </c>
      <c r="AS56" s="38">
        <f t="shared" si="10"/>
        <v>0.82833333333333337</v>
      </c>
      <c r="AT56" s="38">
        <f t="shared" si="11"/>
        <v>1</v>
      </c>
      <c r="AU56" s="27">
        <f t="shared" si="12"/>
        <v>0.82833333333333337</v>
      </c>
    </row>
    <row r="57" spans="1:47" s="1" customFormat="1" ht="21" customHeight="1" x14ac:dyDescent="0.25">
      <c r="A57" s="109">
        <v>46029</v>
      </c>
      <c r="B57" s="47" t="s">
        <v>49</v>
      </c>
      <c r="C57" s="107" t="s">
        <v>21</v>
      </c>
      <c r="D57" s="47" t="s">
        <v>86</v>
      </c>
      <c r="E57" s="48">
        <v>98992</v>
      </c>
      <c r="F57" s="48" t="s">
        <v>176</v>
      </c>
      <c r="G57" s="48" t="s">
        <v>87</v>
      </c>
      <c r="H57" s="30">
        <v>15773</v>
      </c>
      <c r="I57" s="30">
        <v>20</v>
      </c>
      <c r="J57" s="28">
        <f t="shared" ref="J57:J62" si="21">3600/I57</f>
        <v>180</v>
      </c>
      <c r="K57" s="31">
        <v>0.25</v>
      </c>
      <c r="L57" s="31">
        <v>0.60416666666666663</v>
      </c>
      <c r="M57" s="32">
        <f>IF(L57&gt;K57,L57-K57,1+L57-K57)</f>
        <v>0.35416666666666663</v>
      </c>
      <c r="N57" s="36">
        <v>510</v>
      </c>
      <c r="O57" s="36">
        <f t="shared" si="8"/>
        <v>380</v>
      </c>
      <c r="P57" s="36">
        <f t="shared" si="3"/>
        <v>380</v>
      </c>
      <c r="Q57" s="15">
        <v>0</v>
      </c>
      <c r="R57" s="20">
        <v>0</v>
      </c>
      <c r="S57" s="16">
        <v>0</v>
      </c>
      <c r="T57" s="16">
        <v>0</v>
      </c>
      <c r="U57" s="20">
        <v>0</v>
      </c>
      <c r="V57" s="20">
        <v>0</v>
      </c>
      <c r="W57" s="19">
        <v>0</v>
      </c>
      <c r="X57" s="19">
        <v>0</v>
      </c>
      <c r="Y57" s="20">
        <v>0</v>
      </c>
      <c r="Z57" s="16">
        <v>0</v>
      </c>
      <c r="AA57" s="20">
        <v>0</v>
      </c>
      <c r="AB57" s="20">
        <v>0</v>
      </c>
      <c r="AC57" s="15">
        <f t="shared" si="4"/>
        <v>0</v>
      </c>
      <c r="AD57" s="15">
        <v>0</v>
      </c>
      <c r="AE57" s="19">
        <v>0</v>
      </c>
      <c r="AF57" s="20">
        <v>0</v>
      </c>
      <c r="AG57" s="15">
        <v>60</v>
      </c>
      <c r="AH57" s="15">
        <v>0</v>
      </c>
      <c r="AI57" s="15">
        <v>30</v>
      </c>
      <c r="AJ57" s="15">
        <v>10</v>
      </c>
      <c r="AK57" s="15">
        <v>30</v>
      </c>
      <c r="AL57" s="15">
        <f t="shared" si="5"/>
        <v>130</v>
      </c>
      <c r="AM57" s="29">
        <f t="shared" si="6"/>
        <v>1140</v>
      </c>
      <c r="AN57" s="19">
        <v>900</v>
      </c>
      <c r="AO57" s="21">
        <v>0</v>
      </c>
      <c r="AP57" s="22">
        <v>0</v>
      </c>
      <c r="AQ57" s="26">
        <f t="shared" si="14"/>
        <v>900</v>
      </c>
      <c r="AR57" s="37">
        <f t="shared" si="18"/>
        <v>1</v>
      </c>
      <c r="AS57" s="38">
        <f t="shared" si="10"/>
        <v>0.78947368421052633</v>
      </c>
      <c r="AT57" s="38">
        <f t="shared" si="11"/>
        <v>1</v>
      </c>
      <c r="AU57" s="27">
        <f t="shared" si="12"/>
        <v>0.78947368421052633</v>
      </c>
    </row>
    <row r="58" spans="1:47" s="1" customFormat="1" ht="21" customHeight="1" x14ac:dyDescent="0.25">
      <c r="A58" s="109">
        <v>46029</v>
      </c>
      <c r="B58" s="47" t="s">
        <v>49</v>
      </c>
      <c r="C58" s="107" t="s">
        <v>21</v>
      </c>
      <c r="D58" s="47" t="s">
        <v>172</v>
      </c>
      <c r="E58" s="48">
        <v>98992</v>
      </c>
      <c r="F58" s="48" t="s">
        <v>175</v>
      </c>
      <c r="G58" s="48" t="s">
        <v>87</v>
      </c>
      <c r="H58" s="30">
        <v>15857</v>
      </c>
      <c r="I58" s="30">
        <v>20</v>
      </c>
      <c r="J58" s="28">
        <f t="shared" si="21"/>
        <v>180</v>
      </c>
      <c r="K58" s="31">
        <v>0.25</v>
      </c>
      <c r="L58" s="31">
        <v>0.60416666666666663</v>
      </c>
      <c r="M58" s="32">
        <f t="shared" ref="M58:M71" si="22">IF(L58&gt;K58,L58-K58,1+L58-K58)</f>
        <v>0.35416666666666663</v>
      </c>
      <c r="N58" s="36">
        <v>510</v>
      </c>
      <c r="O58" s="36">
        <f t="shared" si="8"/>
        <v>260</v>
      </c>
      <c r="P58" s="36">
        <f t="shared" si="3"/>
        <v>260</v>
      </c>
      <c r="Q58" s="15">
        <v>0</v>
      </c>
      <c r="R58" s="20">
        <v>0</v>
      </c>
      <c r="S58" s="16">
        <v>0</v>
      </c>
      <c r="T58" s="16">
        <v>0</v>
      </c>
      <c r="U58" s="20">
        <v>0</v>
      </c>
      <c r="V58" s="20">
        <v>0</v>
      </c>
      <c r="W58" s="19">
        <v>0</v>
      </c>
      <c r="X58" s="19">
        <v>0</v>
      </c>
      <c r="Y58" s="20">
        <v>0</v>
      </c>
      <c r="Z58" s="16">
        <v>0</v>
      </c>
      <c r="AA58" s="20">
        <v>0</v>
      </c>
      <c r="AB58" s="20">
        <v>0</v>
      </c>
      <c r="AC58" s="15">
        <f t="shared" si="4"/>
        <v>0</v>
      </c>
      <c r="AD58" s="15">
        <v>0</v>
      </c>
      <c r="AE58" s="19">
        <v>0</v>
      </c>
      <c r="AF58" s="20">
        <v>0</v>
      </c>
      <c r="AG58" s="15">
        <v>180</v>
      </c>
      <c r="AH58" s="15">
        <v>0</v>
      </c>
      <c r="AI58" s="15">
        <v>30</v>
      </c>
      <c r="AJ58" s="15">
        <v>10</v>
      </c>
      <c r="AK58" s="15">
        <v>30</v>
      </c>
      <c r="AL58" s="15">
        <f t="shared" si="5"/>
        <v>250</v>
      </c>
      <c r="AM58" s="29">
        <f t="shared" si="6"/>
        <v>780</v>
      </c>
      <c r="AN58" s="19">
        <v>720</v>
      </c>
      <c r="AO58" s="21">
        <v>0</v>
      </c>
      <c r="AP58" s="22">
        <v>0</v>
      </c>
      <c r="AQ58" s="26">
        <f t="shared" si="14"/>
        <v>720</v>
      </c>
      <c r="AR58" s="37">
        <f t="shared" si="18"/>
        <v>1</v>
      </c>
      <c r="AS58" s="38">
        <f t="shared" si="10"/>
        <v>0.92307692307692313</v>
      </c>
      <c r="AT58" s="38">
        <f t="shared" si="11"/>
        <v>1</v>
      </c>
      <c r="AU58" s="27">
        <f t="shared" si="12"/>
        <v>0.92307692307692313</v>
      </c>
    </row>
    <row r="59" spans="1:47" s="1" customFormat="1" ht="21" customHeight="1" x14ac:dyDescent="0.25">
      <c r="A59" s="109">
        <v>46029</v>
      </c>
      <c r="B59" s="47" t="s">
        <v>49</v>
      </c>
      <c r="C59" s="107" t="s">
        <v>21</v>
      </c>
      <c r="D59" s="47" t="s">
        <v>124</v>
      </c>
      <c r="E59" s="48">
        <v>98992</v>
      </c>
      <c r="F59" s="48" t="s">
        <v>215</v>
      </c>
      <c r="G59" s="48" t="s">
        <v>125</v>
      </c>
      <c r="H59" s="30">
        <v>14972</v>
      </c>
      <c r="I59" s="30">
        <v>32</v>
      </c>
      <c r="J59" s="28">
        <f t="shared" si="21"/>
        <v>112.5</v>
      </c>
      <c r="K59" s="31">
        <v>0.25</v>
      </c>
      <c r="L59" s="31">
        <v>0.60416666666666663</v>
      </c>
      <c r="M59" s="32">
        <f t="shared" si="22"/>
        <v>0.35416666666666663</v>
      </c>
      <c r="N59" s="36">
        <v>510</v>
      </c>
      <c r="O59" s="36">
        <f t="shared" si="8"/>
        <v>440</v>
      </c>
      <c r="P59" s="36">
        <f t="shared" si="3"/>
        <v>440</v>
      </c>
      <c r="Q59" s="15">
        <v>0</v>
      </c>
      <c r="R59" s="20">
        <v>0</v>
      </c>
      <c r="S59" s="16">
        <v>0</v>
      </c>
      <c r="T59" s="16">
        <v>0</v>
      </c>
      <c r="U59" s="20">
        <v>0</v>
      </c>
      <c r="V59" s="20">
        <v>0</v>
      </c>
      <c r="W59" s="19">
        <v>0</v>
      </c>
      <c r="X59" s="19">
        <v>0</v>
      </c>
      <c r="Y59" s="20">
        <v>0</v>
      </c>
      <c r="Z59" s="16">
        <v>0</v>
      </c>
      <c r="AA59" s="20">
        <v>0</v>
      </c>
      <c r="AB59" s="20">
        <v>0</v>
      </c>
      <c r="AC59" s="15">
        <f t="shared" si="4"/>
        <v>0</v>
      </c>
      <c r="AD59" s="15">
        <v>0</v>
      </c>
      <c r="AE59" s="19">
        <v>0</v>
      </c>
      <c r="AF59" s="20">
        <v>0</v>
      </c>
      <c r="AG59" s="15">
        <v>0</v>
      </c>
      <c r="AH59" s="15">
        <v>0</v>
      </c>
      <c r="AI59" s="15">
        <v>30</v>
      </c>
      <c r="AJ59" s="15">
        <v>10</v>
      </c>
      <c r="AK59" s="15">
        <v>30</v>
      </c>
      <c r="AL59" s="15">
        <f t="shared" si="5"/>
        <v>70</v>
      </c>
      <c r="AM59" s="29">
        <f t="shared" si="6"/>
        <v>825</v>
      </c>
      <c r="AN59" s="19">
        <v>801</v>
      </c>
      <c r="AO59" s="21">
        <v>0</v>
      </c>
      <c r="AP59" s="22">
        <v>0</v>
      </c>
      <c r="AQ59" s="26">
        <f t="shared" si="14"/>
        <v>801</v>
      </c>
      <c r="AR59" s="37">
        <f t="shared" si="18"/>
        <v>1</v>
      </c>
      <c r="AS59" s="38">
        <f t="shared" si="10"/>
        <v>0.97090909090909094</v>
      </c>
      <c r="AT59" s="38">
        <f t="shared" si="11"/>
        <v>1</v>
      </c>
      <c r="AU59" s="27">
        <f t="shared" si="12"/>
        <v>0.97090909090909094</v>
      </c>
    </row>
    <row r="60" spans="1:47" s="1" customFormat="1" ht="21" customHeight="1" x14ac:dyDescent="0.25">
      <c r="A60" s="109">
        <v>46029</v>
      </c>
      <c r="B60" s="47" t="s">
        <v>49</v>
      </c>
      <c r="C60" s="107" t="s">
        <v>21</v>
      </c>
      <c r="D60" s="47" t="s">
        <v>122</v>
      </c>
      <c r="E60" s="48">
        <v>98992</v>
      </c>
      <c r="F60" s="48" t="s">
        <v>169</v>
      </c>
      <c r="G60" s="48" t="s">
        <v>125</v>
      </c>
      <c r="H60" s="30">
        <v>13669</v>
      </c>
      <c r="I60" s="30">
        <v>32</v>
      </c>
      <c r="J60" s="28">
        <f t="shared" si="21"/>
        <v>112.5</v>
      </c>
      <c r="K60" s="31">
        <v>0.25</v>
      </c>
      <c r="L60" s="31">
        <v>0.60416666666666663</v>
      </c>
      <c r="M60" s="32">
        <f t="shared" si="22"/>
        <v>0.35416666666666663</v>
      </c>
      <c r="N60" s="36">
        <v>510</v>
      </c>
      <c r="O60" s="36">
        <f t="shared" si="8"/>
        <v>380</v>
      </c>
      <c r="P60" s="36">
        <f t="shared" si="3"/>
        <v>380</v>
      </c>
      <c r="Q60" s="15">
        <v>0</v>
      </c>
      <c r="R60" s="20">
        <v>0</v>
      </c>
      <c r="S60" s="16">
        <v>0</v>
      </c>
      <c r="T60" s="16">
        <v>0</v>
      </c>
      <c r="U60" s="20">
        <v>0</v>
      </c>
      <c r="V60" s="20">
        <v>0</v>
      </c>
      <c r="W60" s="19">
        <v>0</v>
      </c>
      <c r="X60" s="19">
        <v>0</v>
      </c>
      <c r="Y60" s="20">
        <v>0</v>
      </c>
      <c r="Z60" s="16">
        <v>0</v>
      </c>
      <c r="AA60" s="20">
        <v>0</v>
      </c>
      <c r="AB60" s="20">
        <v>0</v>
      </c>
      <c r="AC60" s="15">
        <f t="shared" si="4"/>
        <v>0</v>
      </c>
      <c r="AD60" s="15">
        <v>0</v>
      </c>
      <c r="AE60" s="19">
        <v>0</v>
      </c>
      <c r="AF60" s="20">
        <v>0</v>
      </c>
      <c r="AG60" s="15">
        <v>60</v>
      </c>
      <c r="AH60" s="15">
        <v>0</v>
      </c>
      <c r="AI60" s="15">
        <v>30</v>
      </c>
      <c r="AJ60" s="15">
        <v>10</v>
      </c>
      <c r="AK60" s="15">
        <v>30</v>
      </c>
      <c r="AL60" s="15">
        <f t="shared" si="5"/>
        <v>130</v>
      </c>
      <c r="AM60" s="29">
        <f t="shared" si="6"/>
        <v>712.5</v>
      </c>
      <c r="AN60" s="19">
        <v>556</v>
      </c>
      <c r="AO60" s="21">
        <v>0</v>
      </c>
      <c r="AP60" s="22">
        <v>1</v>
      </c>
      <c r="AQ60" s="26">
        <f t="shared" si="14"/>
        <v>555</v>
      </c>
      <c r="AR60" s="37">
        <f t="shared" si="18"/>
        <v>1</v>
      </c>
      <c r="AS60" s="38">
        <f t="shared" si="10"/>
        <v>0.78035087719298246</v>
      </c>
      <c r="AT60" s="38">
        <f t="shared" si="11"/>
        <v>0.99820143884892087</v>
      </c>
      <c r="AU60" s="27">
        <f t="shared" si="12"/>
        <v>0.77894736842105261</v>
      </c>
    </row>
    <row r="61" spans="1:47" s="1" customFormat="1" ht="21" customHeight="1" x14ac:dyDescent="0.25">
      <c r="A61" s="109">
        <v>46029</v>
      </c>
      <c r="B61" s="47" t="s">
        <v>49</v>
      </c>
      <c r="C61" s="107" t="s">
        <v>21</v>
      </c>
      <c r="D61" s="47" t="s">
        <v>170</v>
      </c>
      <c r="E61" s="48">
        <v>98992</v>
      </c>
      <c r="F61" s="48" t="s">
        <v>176</v>
      </c>
      <c r="G61" s="48" t="s">
        <v>125</v>
      </c>
      <c r="H61" s="30">
        <v>15833</v>
      </c>
      <c r="I61" s="30">
        <v>20</v>
      </c>
      <c r="J61" s="28">
        <f t="shared" si="21"/>
        <v>180</v>
      </c>
      <c r="K61" s="31">
        <v>0.25</v>
      </c>
      <c r="L61" s="31">
        <v>0.60416666666666663</v>
      </c>
      <c r="M61" s="32">
        <f t="shared" si="22"/>
        <v>0.35416666666666663</v>
      </c>
      <c r="N61" s="36">
        <v>510</v>
      </c>
      <c r="O61" s="36">
        <f t="shared" si="8"/>
        <v>220</v>
      </c>
      <c r="P61" s="36">
        <f t="shared" si="3"/>
        <v>220</v>
      </c>
      <c r="Q61" s="15">
        <v>0</v>
      </c>
      <c r="R61" s="20">
        <v>0</v>
      </c>
      <c r="S61" s="16">
        <v>0</v>
      </c>
      <c r="T61" s="16">
        <v>0</v>
      </c>
      <c r="U61" s="20">
        <v>0</v>
      </c>
      <c r="V61" s="20">
        <v>0</v>
      </c>
      <c r="W61" s="19">
        <v>0</v>
      </c>
      <c r="X61" s="19">
        <v>0</v>
      </c>
      <c r="Y61" s="20">
        <v>0</v>
      </c>
      <c r="Z61" s="16">
        <v>0</v>
      </c>
      <c r="AA61" s="20">
        <v>0</v>
      </c>
      <c r="AB61" s="20">
        <v>0</v>
      </c>
      <c r="AC61" s="15">
        <f t="shared" si="4"/>
        <v>0</v>
      </c>
      <c r="AD61" s="15">
        <v>0</v>
      </c>
      <c r="AE61" s="19">
        <v>0</v>
      </c>
      <c r="AF61" s="20">
        <v>0</v>
      </c>
      <c r="AG61" s="15">
        <v>220</v>
      </c>
      <c r="AH61" s="15">
        <v>0</v>
      </c>
      <c r="AI61" s="15">
        <v>30</v>
      </c>
      <c r="AJ61" s="15">
        <v>10</v>
      </c>
      <c r="AK61" s="15">
        <v>30</v>
      </c>
      <c r="AL61" s="15">
        <f t="shared" si="5"/>
        <v>290</v>
      </c>
      <c r="AM61" s="29">
        <f t="shared" si="6"/>
        <v>660</v>
      </c>
      <c r="AN61" s="19">
        <v>495</v>
      </c>
      <c r="AO61" s="21">
        <v>0</v>
      </c>
      <c r="AP61" s="22">
        <v>0</v>
      </c>
      <c r="AQ61" s="26">
        <f t="shared" si="14"/>
        <v>495</v>
      </c>
      <c r="AR61" s="37">
        <f t="shared" si="18"/>
        <v>1</v>
      </c>
      <c r="AS61" s="38">
        <f t="shared" si="10"/>
        <v>0.75</v>
      </c>
      <c r="AT61" s="38">
        <f t="shared" si="11"/>
        <v>1</v>
      </c>
      <c r="AU61" s="27">
        <f t="shared" si="12"/>
        <v>0.75</v>
      </c>
    </row>
    <row r="62" spans="1:47" s="1" customFormat="1" ht="21" customHeight="1" x14ac:dyDescent="0.25">
      <c r="A62" s="109">
        <v>46029</v>
      </c>
      <c r="B62" s="47" t="s">
        <v>49</v>
      </c>
      <c r="C62" s="107" t="s">
        <v>21</v>
      </c>
      <c r="D62" s="47" t="s">
        <v>127</v>
      </c>
      <c r="E62" s="48">
        <v>98992</v>
      </c>
      <c r="F62" s="48" t="s">
        <v>175</v>
      </c>
      <c r="G62" s="48" t="s">
        <v>125</v>
      </c>
      <c r="H62" s="30">
        <v>15838</v>
      </c>
      <c r="I62" s="30">
        <v>20</v>
      </c>
      <c r="J62" s="28">
        <f t="shared" si="21"/>
        <v>180</v>
      </c>
      <c r="K62" s="31">
        <v>0.25</v>
      </c>
      <c r="L62" s="31">
        <v>0.60416666666666663</v>
      </c>
      <c r="M62" s="32">
        <f t="shared" si="22"/>
        <v>0.35416666666666663</v>
      </c>
      <c r="N62" s="36">
        <v>510</v>
      </c>
      <c r="O62" s="36">
        <f t="shared" si="8"/>
        <v>140</v>
      </c>
      <c r="P62" s="36">
        <f t="shared" si="3"/>
        <v>140</v>
      </c>
      <c r="Q62" s="15">
        <v>0</v>
      </c>
      <c r="R62" s="20">
        <v>0</v>
      </c>
      <c r="S62" s="16">
        <v>0</v>
      </c>
      <c r="T62" s="16">
        <v>0</v>
      </c>
      <c r="U62" s="20">
        <v>0</v>
      </c>
      <c r="V62" s="20">
        <v>0</v>
      </c>
      <c r="W62" s="19">
        <v>0</v>
      </c>
      <c r="X62" s="19">
        <v>0</v>
      </c>
      <c r="Y62" s="20">
        <v>0</v>
      </c>
      <c r="Z62" s="16">
        <v>0</v>
      </c>
      <c r="AA62" s="20">
        <v>0</v>
      </c>
      <c r="AB62" s="20">
        <v>0</v>
      </c>
      <c r="AC62" s="15">
        <f t="shared" si="4"/>
        <v>0</v>
      </c>
      <c r="AD62" s="15">
        <v>0</v>
      </c>
      <c r="AE62" s="19">
        <v>0</v>
      </c>
      <c r="AF62" s="20">
        <v>0</v>
      </c>
      <c r="AG62" s="15">
        <v>300</v>
      </c>
      <c r="AH62" s="15">
        <v>0</v>
      </c>
      <c r="AI62" s="15">
        <v>30</v>
      </c>
      <c r="AJ62" s="15">
        <v>10</v>
      </c>
      <c r="AK62" s="15">
        <v>30</v>
      </c>
      <c r="AL62" s="15">
        <f t="shared" si="5"/>
        <v>370</v>
      </c>
      <c r="AM62" s="29">
        <f t="shared" si="6"/>
        <v>420</v>
      </c>
      <c r="AN62" s="19">
        <v>300</v>
      </c>
      <c r="AO62" s="21">
        <v>0</v>
      </c>
      <c r="AP62" s="22">
        <v>1</v>
      </c>
      <c r="AQ62" s="26">
        <f t="shared" si="14"/>
        <v>299</v>
      </c>
      <c r="AR62" s="37">
        <f t="shared" si="18"/>
        <v>1</v>
      </c>
      <c r="AS62" s="38">
        <f t="shared" si="10"/>
        <v>0.7142857142857143</v>
      </c>
      <c r="AT62" s="38">
        <f t="shared" si="11"/>
        <v>0.9966666666666667</v>
      </c>
      <c r="AU62" s="27">
        <f t="shared" si="12"/>
        <v>0.71190476190476193</v>
      </c>
    </row>
    <row r="63" spans="1:47" s="1" customFormat="1" ht="21" customHeight="1" x14ac:dyDescent="0.25">
      <c r="A63" s="109">
        <v>46029</v>
      </c>
      <c r="B63" s="47" t="s">
        <v>49</v>
      </c>
      <c r="C63" s="107" t="s">
        <v>51</v>
      </c>
      <c r="D63" s="47" t="s">
        <v>124</v>
      </c>
      <c r="E63" s="48">
        <v>98992</v>
      </c>
      <c r="F63" s="48" t="s">
        <v>215</v>
      </c>
      <c r="G63" s="48" t="s">
        <v>125</v>
      </c>
      <c r="H63" s="30">
        <v>13105</v>
      </c>
      <c r="I63" s="30">
        <v>32</v>
      </c>
      <c r="J63" s="28">
        <f t="shared" ref="J63" si="23">3600/I63</f>
        <v>112.5</v>
      </c>
      <c r="K63" s="31">
        <v>0.58333333333333337</v>
      </c>
      <c r="L63" s="31">
        <v>0.9375</v>
      </c>
      <c r="M63" s="32">
        <f t="shared" si="22"/>
        <v>0.35416666666666663</v>
      </c>
      <c r="N63" s="36">
        <v>510</v>
      </c>
      <c r="O63" s="36">
        <f t="shared" si="8"/>
        <v>320</v>
      </c>
      <c r="P63" s="36">
        <f t="shared" si="3"/>
        <v>320</v>
      </c>
      <c r="Q63" s="15">
        <v>0</v>
      </c>
      <c r="R63" s="20">
        <v>0</v>
      </c>
      <c r="S63" s="16">
        <v>0</v>
      </c>
      <c r="T63" s="16">
        <v>0</v>
      </c>
      <c r="U63" s="20">
        <v>0</v>
      </c>
      <c r="V63" s="20">
        <v>0</v>
      </c>
      <c r="W63" s="19">
        <v>0</v>
      </c>
      <c r="X63" s="19">
        <v>0</v>
      </c>
      <c r="Y63" s="20">
        <v>0</v>
      </c>
      <c r="Z63" s="16">
        <v>0</v>
      </c>
      <c r="AA63" s="20">
        <v>0</v>
      </c>
      <c r="AB63" s="20">
        <v>0</v>
      </c>
      <c r="AC63" s="15">
        <f t="shared" si="4"/>
        <v>0</v>
      </c>
      <c r="AD63" s="15">
        <v>0</v>
      </c>
      <c r="AE63" s="19">
        <v>0</v>
      </c>
      <c r="AF63" s="20">
        <v>0</v>
      </c>
      <c r="AG63" s="15">
        <v>120</v>
      </c>
      <c r="AH63" s="15">
        <v>0</v>
      </c>
      <c r="AI63" s="15">
        <v>30</v>
      </c>
      <c r="AJ63" s="15">
        <v>10</v>
      </c>
      <c r="AK63" s="15">
        <v>30</v>
      </c>
      <c r="AL63" s="15">
        <f t="shared" si="5"/>
        <v>190</v>
      </c>
      <c r="AM63" s="29">
        <f t="shared" si="6"/>
        <v>600</v>
      </c>
      <c r="AN63" s="19">
        <v>573</v>
      </c>
      <c r="AO63" s="21">
        <v>0</v>
      </c>
      <c r="AP63" s="22">
        <v>0</v>
      </c>
      <c r="AQ63" s="26">
        <f t="shared" si="14"/>
        <v>573</v>
      </c>
      <c r="AR63" s="37">
        <f t="shared" si="18"/>
        <v>1</v>
      </c>
      <c r="AS63" s="38">
        <f t="shared" si="10"/>
        <v>0.95499999999999996</v>
      </c>
      <c r="AT63" s="38">
        <f t="shared" si="11"/>
        <v>1</v>
      </c>
      <c r="AU63" s="27">
        <f t="shared" si="12"/>
        <v>0.95499999999999996</v>
      </c>
    </row>
    <row r="64" spans="1:47" s="1" customFormat="1" ht="21" customHeight="1" x14ac:dyDescent="0.25">
      <c r="A64" s="109">
        <v>46029</v>
      </c>
      <c r="B64" s="47" t="s">
        <v>49</v>
      </c>
      <c r="C64" s="107" t="s">
        <v>51</v>
      </c>
      <c r="D64" s="47" t="s">
        <v>122</v>
      </c>
      <c r="E64" s="48">
        <v>98992</v>
      </c>
      <c r="F64" s="48" t="s">
        <v>169</v>
      </c>
      <c r="G64" s="48" t="s">
        <v>125</v>
      </c>
      <c r="H64" s="30">
        <v>13106</v>
      </c>
      <c r="I64" s="30">
        <v>32</v>
      </c>
      <c r="J64" s="28">
        <f t="shared" ref="J64:J69" si="24">3600/I64</f>
        <v>112.5</v>
      </c>
      <c r="K64" s="31">
        <v>0.58333333333333337</v>
      </c>
      <c r="L64" s="31">
        <v>0.9375</v>
      </c>
      <c r="M64" s="32">
        <f t="shared" si="22"/>
        <v>0.35416666666666663</v>
      </c>
      <c r="N64" s="36">
        <v>510</v>
      </c>
      <c r="O64" s="36">
        <f t="shared" si="8"/>
        <v>440</v>
      </c>
      <c r="P64" s="36">
        <f t="shared" si="3"/>
        <v>440</v>
      </c>
      <c r="Q64" s="15">
        <v>0</v>
      </c>
      <c r="R64" s="20">
        <v>0</v>
      </c>
      <c r="S64" s="16">
        <v>0</v>
      </c>
      <c r="T64" s="16">
        <v>0</v>
      </c>
      <c r="U64" s="20">
        <v>0</v>
      </c>
      <c r="V64" s="20">
        <v>0</v>
      </c>
      <c r="W64" s="19">
        <v>0</v>
      </c>
      <c r="X64" s="19">
        <v>0</v>
      </c>
      <c r="Y64" s="20">
        <v>0</v>
      </c>
      <c r="Z64" s="16">
        <v>0</v>
      </c>
      <c r="AA64" s="20">
        <v>0</v>
      </c>
      <c r="AB64" s="20">
        <v>0</v>
      </c>
      <c r="AC64" s="15">
        <f t="shared" si="4"/>
        <v>0</v>
      </c>
      <c r="AD64" s="15">
        <v>0</v>
      </c>
      <c r="AE64" s="19">
        <v>0</v>
      </c>
      <c r="AF64" s="20">
        <v>0</v>
      </c>
      <c r="AG64" s="15">
        <v>0</v>
      </c>
      <c r="AH64" s="15">
        <v>0</v>
      </c>
      <c r="AI64" s="15">
        <v>30</v>
      </c>
      <c r="AJ64" s="15">
        <v>10</v>
      </c>
      <c r="AK64" s="15">
        <v>30</v>
      </c>
      <c r="AL64" s="15">
        <f t="shared" si="5"/>
        <v>70</v>
      </c>
      <c r="AM64" s="29">
        <f t="shared" si="6"/>
        <v>825</v>
      </c>
      <c r="AN64" s="19">
        <v>656</v>
      </c>
      <c r="AO64" s="21">
        <v>0</v>
      </c>
      <c r="AP64" s="22">
        <v>1</v>
      </c>
      <c r="AQ64" s="26">
        <f t="shared" si="14"/>
        <v>655</v>
      </c>
      <c r="AR64" s="37">
        <f t="shared" si="18"/>
        <v>1</v>
      </c>
      <c r="AS64" s="38">
        <f t="shared" si="10"/>
        <v>0.79515151515151516</v>
      </c>
      <c r="AT64" s="38">
        <f t="shared" si="11"/>
        <v>0.99847560975609762</v>
      </c>
      <c r="AU64" s="27">
        <f t="shared" si="12"/>
        <v>0.79393939393939394</v>
      </c>
    </row>
    <row r="65" spans="1:47" s="1" customFormat="1" ht="21" customHeight="1" x14ac:dyDescent="0.25">
      <c r="A65" s="109">
        <v>46029</v>
      </c>
      <c r="B65" s="47" t="s">
        <v>49</v>
      </c>
      <c r="C65" s="107" t="s">
        <v>51</v>
      </c>
      <c r="D65" s="47" t="s">
        <v>128</v>
      </c>
      <c r="E65" s="48">
        <v>98992</v>
      </c>
      <c r="F65" s="48" t="s">
        <v>53</v>
      </c>
      <c r="G65" s="48" t="s">
        <v>125</v>
      </c>
      <c r="H65" s="30">
        <v>15618</v>
      </c>
      <c r="I65" s="30">
        <v>32</v>
      </c>
      <c r="J65" s="28">
        <f t="shared" si="24"/>
        <v>112.5</v>
      </c>
      <c r="K65" s="31">
        <v>0.58333333333333337</v>
      </c>
      <c r="L65" s="31">
        <v>0.9375</v>
      </c>
      <c r="M65" s="32">
        <f t="shared" si="22"/>
        <v>0.35416666666666663</v>
      </c>
      <c r="N65" s="36">
        <v>510</v>
      </c>
      <c r="O65" s="36">
        <f t="shared" si="8"/>
        <v>440</v>
      </c>
      <c r="P65" s="36">
        <f t="shared" si="3"/>
        <v>440</v>
      </c>
      <c r="Q65" s="15">
        <v>0</v>
      </c>
      <c r="R65" s="20">
        <v>0</v>
      </c>
      <c r="S65" s="16">
        <v>0</v>
      </c>
      <c r="T65" s="16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15">
        <f t="shared" si="4"/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30</v>
      </c>
      <c r="AJ65" s="15">
        <v>10</v>
      </c>
      <c r="AK65" s="15">
        <v>30</v>
      </c>
      <c r="AL65" s="15">
        <f t="shared" si="5"/>
        <v>70</v>
      </c>
      <c r="AM65" s="29">
        <f t="shared" si="6"/>
        <v>825</v>
      </c>
      <c r="AN65" s="19">
        <v>804</v>
      </c>
      <c r="AO65" s="21">
        <v>0</v>
      </c>
      <c r="AP65" s="22">
        <v>0</v>
      </c>
      <c r="AQ65" s="26">
        <f t="shared" si="14"/>
        <v>804</v>
      </c>
      <c r="AR65" s="37">
        <f t="shared" si="18"/>
        <v>1</v>
      </c>
      <c r="AS65" s="38">
        <f t="shared" si="10"/>
        <v>0.97454545454545449</v>
      </c>
      <c r="AT65" s="38">
        <f t="shared" si="11"/>
        <v>1</v>
      </c>
      <c r="AU65" s="27">
        <f t="shared" si="12"/>
        <v>0.97454545454545449</v>
      </c>
    </row>
    <row r="66" spans="1:47" s="1" customFormat="1" ht="21" customHeight="1" x14ac:dyDescent="0.25">
      <c r="A66" s="109">
        <v>46029</v>
      </c>
      <c r="B66" s="47" t="s">
        <v>49</v>
      </c>
      <c r="C66" s="107" t="s">
        <v>51</v>
      </c>
      <c r="D66" s="47" t="s">
        <v>170</v>
      </c>
      <c r="E66" s="48">
        <v>98992</v>
      </c>
      <c r="F66" s="48" t="s">
        <v>176</v>
      </c>
      <c r="G66" s="48" t="s">
        <v>125</v>
      </c>
      <c r="H66" s="30">
        <v>15036</v>
      </c>
      <c r="I66" s="30">
        <v>20</v>
      </c>
      <c r="J66" s="28">
        <f t="shared" si="24"/>
        <v>180</v>
      </c>
      <c r="K66" s="31">
        <v>0.58333333333333337</v>
      </c>
      <c r="L66" s="31">
        <v>0.9375</v>
      </c>
      <c r="M66" s="32">
        <f t="shared" si="22"/>
        <v>0.35416666666666663</v>
      </c>
      <c r="N66" s="36">
        <v>510</v>
      </c>
      <c r="O66" s="36">
        <f t="shared" si="8"/>
        <v>320</v>
      </c>
      <c r="P66" s="36">
        <f t="shared" si="3"/>
        <v>320</v>
      </c>
      <c r="Q66" s="15">
        <v>0</v>
      </c>
      <c r="R66" s="20">
        <v>0</v>
      </c>
      <c r="S66" s="16">
        <v>0</v>
      </c>
      <c r="T66" s="16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15">
        <f t="shared" si="4"/>
        <v>0</v>
      </c>
      <c r="AD66" s="15">
        <v>0</v>
      </c>
      <c r="AE66" s="15">
        <v>0</v>
      </c>
      <c r="AF66" s="15">
        <v>0</v>
      </c>
      <c r="AG66" s="15">
        <v>120</v>
      </c>
      <c r="AH66" s="15">
        <v>0</v>
      </c>
      <c r="AI66" s="15">
        <v>30</v>
      </c>
      <c r="AJ66" s="15">
        <v>10</v>
      </c>
      <c r="AK66" s="15">
        <v>30</v>
      </c>
      <c r="AL66" s="15">
        <f t="shared" si="5"/>
        <v>190</v>
      </c>
      <c r="AM66" s="29">
        <f t="shared" si="6"/>
        <v>960</v>
      </c>
      <c r="AN66" s="19">
        <v>684</v>
      </c>
      <c r="AO66" s="21">
        <v>0</v>
      </c>
      <c r="AP66" s="22">
        <v>1</v>
      </c>
      <c r="AQ66" s="26">
        <f t="shared" si="14"/>
        <v>683</v>
      </c>
      <c r="AR66" s="37">
        <f t="shared" si="18"/>
        <v>1</v>
      </c>
      <c r="AS66" s="38">
        <f t="shared" si="10"/>
        <v>0.71250000000000002</v>
      </c>
      <c r="AT66" s="38">
        <f t="shared" si="11"/>
        <v>0.99853801169590639</v>
      </c>
      <c r="AU66" s="27">
        <f t="shared" si="12"/>
        <v>0.7114583333333333</v>
      </c>
    </row>
    <row r="67" spans="1:47" s="1" customFormat="1" ht="21" customHeight="1" x14ac:dyDescent="0.25">
      <c r="A67" s="109">
        <v>46029</v>
      </c>
      <c r="B67" s="47" t="s">
        <v>49</v>
      </c>
      <c r="C67" s="107" t="s">
        <v>51</v>
      </c>
      <c r="D67" s="47" t="s">
        <v>127</v>
      </c>
      <c r="E67" s="48">
        <v>98992</v>
      </c>
      <c r="F67" s="48" t="s">
        <v>175</v>
      </c>
      <c r="G67" s="48" t="s">
        <v>125</v>
      </c>
      <c r="H67" s="30">
        <v>15710</v>
      </c>
      <c r="I67" s="30">
        <v>20</v>
      </c>
      <c r="J67" s="28">
        <f t="shared" si="24"/>
        <v>180</v>
      </c>
      <c r="K67" s="31">
        <v>0.58333333333333337</v>
      </c>
      <c r="L67" s="31">
        <v>0.9375</v>
      </c>
      <c r="M67" s="32">
        <f t="shared" si="22"/>
        <v>0.35416666666666663</v>
      </c>
      <c r="N67" s="36">
        <v>510</v>
      </c>
      <c r="O67" s="36">
        <f t="shared" si="8"/>
        <v>320</v>
      </c>
      <c r="P67" s="36">
        <f t="shared" si="3"/>
        <v>320</v>
      </c>
      <c r="Q67" s="15">
        <v>0</v>
      </c>
      <c r="R67" s="20">
        <v>0</v>
      </c>
      <c r="S67" s="16">
        <v>0</v>
      </c>
      <c r="T67" s="16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15">
        <f t="shared" si="4"/>
        <v>0</v>
      </c>
      <c r="AD67" s="15">
        <v>0</v>
      </c>
      <c r="AE67" s="15">
        <v>0</v>
      </c>
      <c r="AF67" s="15">
        <v>0</v>
      </c>
      <c r="AG67" s="15">
        <v>120</v>
      </c>
      <c r="AH67" s="15">
        <v>0</v>
      </c>
      <c r="AI67" s="15">
        <v>30</v>
      </c>
      <c r="AJ67" s="15">
        <v>10</v>
      </c>
      <c r="AK67" s="15">
        <v>30</v>
      </c>
      <c r="AL67" s="15">
        <f t="shared" si="5"/>
        <v>190</v>
      </c>
      <c r="AM67" s="29">
        <f t="shared" si="6"/>
        <v>960</v>
      </c>
      <c r="AN67" s="19">
        <v>684</v>
      </c>
      <c r="AO67" s="21">
        <v>0</v>
      </c>
      <c r="AP67" s="22">
        <v>0</v>
      </c>
      <c r="AQ67" s="26">
        <f t="shared" si="14"/>
        <v>684</v>
      </c>
      <c r="AR67" s="37">
        <f t="shared" si="18"/>
        <v>1</v>
      </c>
      <c r="AS67" s="38">
        <f t="shared" si="10"/>
        <v>0.71250000000000002</v>
      </c>
      <c r="AT67" s="38">
        <f t="shared" si="11"/>
        <v>1</v>
      </c>
      <c r="AU67" s="27">
        <f t="shared" si="12"/>
        <v>0.71250000000000002</v>
      </c>
    </row>
    <row r="68" spans="1:47" s="1" customFormat="1" ht="21" customHeight="1" x14ac:dyDescent="0.25">
      <c r="A68" s="109">
        <v>46029</v>
      </c>
      <c r="B68" s="47" t="s">
        <v>49</v>
      </c>
      <c r="C68" s="107" t="s">
        <v>51</v>
      </c>
      <c r="D68" s="47" t="s">
        <v>94</v>
      </c>
      <c r="E68" s="48">
        <v>98992</v>
      </c>
      <c r="F68" s="48" t="s">
        <v>67</v>
      </c>
      <c r="G68" s="48" t="s">
        <v>174</v>
      </c>
      <c r="H68" s="30">
        <v>13562</v>
      </c>
      <c r="I68" s="30">
        <v>20</v>
      </c>
      <c r="J68" s="28">
        <f t="shared" si="24"/>
        <v>180</v>
      </c>
      <c r="K68" s="31">
        <v>0.58333333333333337</v>
      </c>
      <c r="L68" s="31">
        <v>0.9375</v>
      </c>
      <c r="M68" s="32">
        <f t="shared" si="22"/>
        <v>0.35416666666666663</v>
      </c>
      <c r="N68" s="36">
        <v>510</v>
      </c>
      <c r="O68" s="36">
        <f t="shared" si="8"/>
        <v>440</v>
      </c>
      <c r="P68" s="36">
        <f t="shared" si="3"/>
        <v>440</v>
      </c>
      <c r="Q68" s="15">
        <v>0</v>
      </c>
      <c r="R68" s="20">
        <v>0</v>
      </c>
      <c r="S68" s="16">
        <v>0</v>
      </c>
      <c r="T68" s="16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15">
        <f t="shared" si="4"/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30</v>
      </c>
      <c r="AJ68" s="15">
        <v>10</v>
      </c>
      <c r="AK68" s="15">
        <v>30</v>
      </c>
      <c r="AL68" s="15">
        <f t="shared" si="5"/>
        <v>70</v>
      </c>
      <c r="AM68" s="29">
        <f t="shared" si="6"/>
        <v>1320</v>
      </c>
      <c r="AN68" s="19">
        <v>1014</v>
      </c>
      <c r="AO68" s="21">
        <v>0</v>
      </c>
      <c r="AP68" s="22">
        <v>0</v>
      </c>
      <c r="AQ68" s="26">
        <f t="shared" si="14"/>
        <v>1014</v>
      </c>
      <c r="AR68" s="37">
        <f t="shared" si="18"/>
        <v>1</v>
      </c>
      <c r="AS68" s="38">
        <f t="shared" si="10"/>
        <v>0.76818181818181819</v>
      </c>
      <c r="AT68" s="38">
        <f t="shared" si="11"/>
        <v>1</v>
      </c>
      <c r="AU68" s="27">
        <f t="shared" si="12"/>
        <v>0.76818181818181819</v>
      </c>
    </row>
    <row r="69" spans="1:47" s="1" customFormat="1" ht="21" customHeight="1" x14ac:dyDescent="0.25">
      <c r="A69" s="109">
        <v>46029</v>
      </c>
      <c r="B69" s="47" t="s">
        <v>49</v>
      </c>
      <c r="C69" s="107" t="s">
        <v>51</v>
      </c>
      <c r="D69" s="47" t="s">
        <v>88</v>
      </c>
      <c r="E69" s="48">
        <v>98992</v>
      </c>
      <c r="F69" s="48" t="s">
        <v>126</v>
      </c>
      <c r="G69" s="48" t="s">
        <v>87</v>
      </c>
      <c r="H69" s="30">
        <v>15114</v>
      </c>
      <c r="I69" s="30">
        <v>32</v>
      </c>
      <c r="J69" s="28">
        <f t="shared" si="24"/>
        <v>112.5</v>
      </c>
      <c r="K69" s="31">
        <v>0.58333333333333337</v>
      </c>
      <c r="L69" s="31">
        <v>0.9375</v>
      </c>
      <c r="M69" s="32">
        <f t="shared" si="22"/>
        <v>0.35416666666666663</v>
      </c>
      <c r="N69" s="36">
        <v>510</v>
      </c>
      <c r="O69" s="36">
        <f t="shared" si="8"/>
        <v>380</v>
      </c>
      <c r="P69" s="36">
        <f t="shared" si="3"/>
        <v>380</v>
      </c>
      <c r="Q69" s="15">
        <v>0</v>
      </c>
      <c r="R69" s="20">
        <v>0</v>
      </c>
      <c r="S69" s="16">
        <v>0</v>
      </c>
      <c r="T69" s="16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15">
        <f t="shared" si="4"/>
        <v>0</v>
      </c>
      <c r="AD69" s="15">
        <v>0</v>
      </c>
      <c r="AE69" s="15">
        <v>0</v>
      </c>
      <c r="AF69" s="15">
        <v>0</v>
      </c>
      <c r="AG69" s="15">
        <v>60</v>
      </c>
      <c r="AH69" s="15">
        <v>0</v>
      </c>
      <c r="AI69" s="15">
        <v>30</v>
      </c>
      <c r="AJ69" s="15">
        <v>10</v>
      </c>
      <c r="AK69" s="15">
        <v>30</v>
      </c>
      <c r="AL69" s="15">
        <f t="shared" si="5"/>
        <v>130</v>
      </c>
      <c r="AM69" s="29">
        <f t="shared" si="6"/>
        <v>712.5</v>
      </c>
      <c r="AN69" s="19">
        <v>605</v>
      </c>
      <c r="AO69" s="21">
        <v>0</v>
      </c>
      <c r="AP69" s="22">
        <v>0</v>
      </c>
      <c r="AQ69" s="26">
        <f t="shared" si="14"/>
        <v>605</v>
      </c>
      <c r="AR69" s="37">
        <f t="shared" si="18"/>
        <v>1</v>
      </c>
      <c r="AS69" s="38">
        <f t="shared" si="10"/>
        <v>0.84912280701754383</v>
      </c>
      <c r="AT69" s="38">
        <f t="shared" si="11"/>
        <v>1</v>
      </c>
      <c r="AU69" s="27">
        <f t="shared" si="12"/>
        <v>0.84912280701754383</v>
      </c>
    </row>
    <row r="70" spans="1:47" s="1" customFormat="1" ht="21" customHeight="1" x14ac:dyDescent="0.25">
      <c r="A70" s="109">
        <v>46029</v>
      </c>
      <c r="B70" s="47" t="s">
        <v>49</v>
      </c>
      <c r="C70" s="107" t="s">
        <v>51</v>
      </c>
      <c r="D70" s="47" t="s">
        <v>89</v>
      </c>
      <c r="E70" s="48">
        <v>98992</v>
      </c>
      <c r="F70" s="48" t="s">
        <v>169</v>
      </c>
      <c r="G70" s="48" t="s">
        <v>87</v>
      </c>
      <c r="H70" s="30">
        <v>16219</v>
      </c>
      <c r="I70" s="30">
        <v>32</v>
      </c>
      <c r="J70" s="28">
        <f t="shared" ref="J70:J75" si="25">3600/I70</f>
        <v>112.5</v>
      </c>
      <c r="K70" s="31">
        <v>0.58333333333333337</v>
      </c>
      <c r="L70" s="31">
        <v>0.9375</v>
      </c>
      <c r="M70" s="32">
        <f t="shared" si="22"/>
        <v>0.35416666666666663</v>
      </c>
      <c r="N70" s="36">
        <v>510</v>
      </c>
      <c r="O70" s="36">
        <f t="shared" si="8"/>
        <v>380</v>
      </c>
      <c r="P70" s="36">
        <f t="shared" si="3"/>
        <v>380</v>
      </c>
      <c r="Q70" s="15">
        <v>0</v>
      </c>
      <c r="R70" s="20">
        <v>0</v>
      </c>
      <c r="S70" s="16">
        <v>0</v>
      </c>
      <c r="T70" s="16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15">
        <f t="shared" si="4"/>
        <v>0</v>
      </c>
      <c r="AD70" s="15">
        <v>0</v>
      </c>
      <c r="AE70" s="15">
        <v>0</v>
      </c>
      <c r="AF70" s="15">
        <v>0</v>
      </c>
      <c r="AG70" s="15">
        <v>60</v>
      </c>
      <c r="AH70" s="15">
        <v>0</v>
      </c>
      <c r="AI70" s="15">
        <v>30</v>
      </c>
      <c r="AJ70" s="15">
        <v>10</v>
      </c>
      <c r="AK70" s="15">
        <v>30</v>
      </c>
      <c r="AL70" s="15">
        <f t="shared" si="5"/>
        <v>130</v>
      </c>
      <c r="AM70" s="29">
        <f t="shared" si="6"/>
        <v>712.5</v>
      </c>
      <c r="AN70" s="19">
        <v>650</v>
      </c>
      <c r="AO70" s="21">
        <v>0</v>
      </c>
      <c r="AP70" s="22">
        <v>1</v>
      </c>
      <c r="AQ70" s="26">
        <f t="shared" si="14"/>
        <v>649</v>
      </c>
      <c r="AR70" s="37">
        <f t="shared" si="18"/>
        <v>1</v>
      </c>
      <c r="AS70" s="38">
        <f t="shared" si="10"/>
        <v>0.91228070175438591</v>
      </c>
      <c r="AT70" s="38">
        <f t="shared" si="11"/>
        <v>0.99846153846153851</v>
      </c>
      <c r="AU70" s="27">
        <f t="shared" si="12"/>
        <v>0.91087719298245617</v>
      </c>
    </row>
    <row r="71" spans="1:47" s="1" customFormat="1" ht="21" customHeight="1" x14ac:dyDescent="0.25">
      <c r="A71" s="109">
        <v>46029</v>
      </c>
      <c r="B71" s="47" t="s">
        <v>49</v>
      </c>
      <c r="C71" s="107" t="s">
        <v>51</v>
      </c>
      <c r="D71" s="47" t="s">
        <v>52</v>
      </c>
      <c r="E71" s="48">
        <v>98992</v>
      </c>
      <c r="F71" s="48" t="s">
        <v>53</v>
      </c>
      <c r="G71" s="48" t="s">
        <v>87</v>
      </c>
      <c r="H71" s="30">
        <v>15731</v>
      </c>
      <c r="I71" s="30">
        <v>32</v>
      </c>
      <c r="J71" s="28">
        <f t="shared" si="25"/>
        <v>112.5</v>
      </c>
      <c r="K71" s="31">
        <v>0.58333333333333337</v>
      </c>
      <c r="L71" s="31">
        <v>0.9375</v>
      </c>
      <c r="M71" s="32">
        <f t="shared" si="22"/>
        <v>0.35416666666666663</v>
      </c>
      <c r="N71" s="36">
        <v>510</v>
      </c>
      <c r="O71" s="36">
        <f t="shared" si="8"/>
        <v>260</v>
      </c>
      <c r="P71" s="36">
        <f t="shared" si="3"/>
        <v>260</v>
      </c>
      <c r="Q71" s="15">
        <v>0</v>
      </c>
      <c r="R71" s="20">
        <v>0</v>
      </c>
      <c r="S71" s="16">
        <v>0</v>
      </c>
      <c r="T71" s="16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  <c r="AC71" s="15">
        <f t="shared" si="4"/>
        <v>0</v>
      </c>
      <c r="AD71" s="15">
        <v>0</v>
      </c>
      <c r="AE71" s="15">
        <v>0</v>
      </c>
      <c r="AF71" s="15">
        <v>0</v>
      </c>
      <c r="AG71" s="15">
        <v>180</v>
      </c>
      <c r="AH71" s="15">
        <v>0</v>
      </c>
      <c r="AI71" s="15">
        <v>30</v>
      </c>
      <c r="AJ71" s="15">
        <v>10</v>
      </c>
      <c r="AK71" s="15">
        <v>30</v>
      </c>
      <c r="AL71" s="15">
        <f t="shared" si="5"/>
        <v>250</v>
      </c>
      <c r="AM71" s="29">
        <f t="shared" si="6"/>
        <v>487.5</v>
      </c>
      <c r="AN71" s="19">
        <v>468</v>
      </c>
      <c r="AO71" s="21">
        <v>0</v>
      </c>
      <c r="AP71" s="22">
        <v>0</v>
      </c>
      <c r="AQ71" s="26">
        <f t="shared" si="14"/>
        <v>468</v>
      </c>
      <c r="AR71" s="37">
        <f t="shared" si="18"/>
        <v>1</v>
      </c>
      <c r="AS71" s="38">
        <f t="shared" si="10"/>
        <v>0.96</v>
      </c>
      <c r="AT71" s="38">
        <f t="shared" si="11"/>
        <v>1</v>
      </c>
      <c r="AU71" s="27">
        <f t="shared" si="12"/>
        <v>0.96</v>
      </c>
    </row>
    <row r="72" spans="1:47" s="1" customFormat="1" ht="21" customHeight="1" x14ac:dyDescent="0.25">
      <c r="A72" s="109">
        <v>46029</v>
      </c>
      <c r="B72" s="47" t="s">
        <v>49</v>
      </c>
      <c r="C72" s="107" t="s">
        <v>51</v>
      </c>
      <c r="D72" s="47" t="s">
        <v>86</v>
      </c>
      <c r="E72" s="48">
        <v>98992</v>
      </c>
      <c r="F72" s="48" t="s">
        <v>176</v>
      </c>
      <c r="G72" s="48" t="s">
        <v>87</v>
      </c>
      <c r="H72" s="30">
        <v>13669</v>
      </c>
      <c r="I72" s="30">
        <v>20</v>
      </c>
      <c r="J72" s="28">
        <f t="shared" si="25"/>
        <v>180</v>
      </c>
      <c r="K72" s="31">
        <v>0.58333333333333337</v>
      </c>
      <c r="L72" s="31">
        <v>0.9375</v>
      </c>
      <c r="M72" s="32">
        <f>IF(L72&gt;K72,L72-K72,1+L72-K72)</f>
        <v>0.35416666666666663</v>
      </c>
      <c r="N72" s="36">
        <v>510</v>
      </c>
      <c r="O72" s="36">
        <f t="shared" si="8"/>
        <v>190</v>
      </c>
      <c r="P72" s="36">
        <f t="shared" si="3"/>
        <v>190</v>
      </c>
      <c r="Q72" s="15">
        <v>0</v>
      </c>
      <c r="R72" s="20">
        <v>0</v>
      </c>
      <c r="S72" s="16">
        <v>0</v>
      </c>
      <c r="T72" s="16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15">
        <f t="shared" si="4"/>
        <v>0</v>
      </c>
      <c r="AD72" s="15">
        <v>0</v>
      </c>
      <c r="AE72" s="15">
        <v>0</v>
      </c>
      <c r="AF72" s="15">
        <v>0</v>
      </c>
      <c r="AG72" s="15">
        <v>250</v>
      </c>
      <c r="AH72" s="15">
        <v>0</v>
      </c>
      <c r="AI72" s="15">
        <v>30</v>
      </c>
      <c r="AJ72" s="15">
        <v>10</v>
      </c>
      <c r="AK72" s="15">
        <v>30</v>
      </c>
      <c r="AL72" s="15">
        <f t="shared" si="5"/>
        <v>320</v>
      </c>
      <c r="AM72" s="29">
        <f t="shared" si="6"/>
        <v>570</v>
      </c>
      <c r="AN72" s="19">
        <v>410</v>
      </c>
      <c r="AO72" s="21">
        <v>0</v>
      </c>
      <c r="AP72" s="22">
        <v>0</v>
      </c>
      <c r="AQ72" s="26">
        <f t="shared" si="14"/>
        <v>410</v>
      </c>
      <c r="AR72" s="37">
        <f t="shared" si="18"/>
        <v>1</v>
      </c>
      <c r="AS72" s="38">
        <f t="shared" si="10"/>
        <v>0.7192982456140351</v>
      </c>
      <c r="AT72" s="38">
        <f t="shared" si="11"/>
        <v>1</v>
      </c>
      <c r="AU72" s="27">
        <f t="shared" si="12"/>
        <v>0.7192982456140351</v>
      </c>
    </row>
    <row r="73" spans="1:47" s="1" customFormat="1" ht="21" customHeight="1" x14ac:dyDescent="0.25">
      <c r="A73" s="109">
        <v>46029</v>
      </c>
      <c r="B73" s="47" t="s">
        <v>49</v>
      </c>
      <c r="C73" s="107" t="s">
        <v>51</v>
      </c>
      <c r="D73" s="47" t="s">
        <v>172</v>
      </c>
      <c r="E73" s="48">
        <v>98992</v>
      </c>
      <c r="F73" s="48" t="s">
        <v>175</v>
      </c>
      <c r="G73" s="48" t="s">
        <v>87</v>
      </c>
      <c r="H73" s="30">
        <v>15710</v>
      </c>
      <c r="I73" s="30">
        <v>20</v>
      </c>
      <c r="J73" s="28">
        <f t="shared" si="25"/>
        <v>180</v>
      </c>
      <c r="K73" s="31">
        <v>0.58333333333333337</v>
      </c>
      <c r="L73" s="31">
        <v>0.9375</v>
      </c>
      <c r="M73" s="32">
        <f t="shared" ref="M73:M93" si="26">IF(L73&gt;K73,L73-K73,1+L73-K73)</f>
        <v>0.35416666666666663</v>
      </c>
      <c r="N73" s="36">
        <v>510</v>
      </c>
      <c r="O73" s="36">
        <f t="shared" si="8"/>
        <v>320</v>
      </c>
      <c r="P73" s="36">
        <f t="shared" si="3"/>
        <v>320</v>
      </c>
      <c r="Q73" s="15">
        <v>0</v>
      </c>
      <c r="R73" s="20">
        <v>0</v>
      </c>
      <c r="S73" s="16">
        <v>0</v>
      </c>
      <c r="T73" s="16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15">
        <f t="shared" si="4"/>
        <v>0</v>
      </c>
      <c r="AD73" s="15">
        <v>0</v>
      </c>
      <c r="AE73" s="15">
        <v>0</v>
      </c>
      <c r="AF73" s="15">
        <v>0</v>
      </c>
      <c r="AG73" s="15">
        <v>120</v>
      </c>
      <c r="AH73" s="15">
        <v>0</v>
      </c>
      <c r="AI73" s="15">
        <v>30</v>
      </c>
      <c r="AJ73" s="15">
        <v>10</v>
      </c>
      <c r="AK73" s="15">
        <v>30</v>
      </c>
      <c r="AL73" s="15">
        <f t="shared" si="5"/>
        <v>190</v>
      </c>
      <c r="AM73" s="29">
        <f t="shared" si="6"/>
        <v>960</v>
      </c>
      <c r="AN73" s="19">
        <v>560</v>
      </c>
      <c r="AO73" s="21">
        <v>0</v>
      </c>
      <c r="AP73" s="22">
        <v>0</v>
      </c>
      <c r="AQ73" s="26">
        <f t="shared" si="14"/>
        <v>560</v>
      </c>
      <c r="AR73" s="37">
        <f t="shared" si="18"/>
        <v>1</v>
      </c>
      <c r="AS73" s="38">
        <f t="shared" si="10"/>
        <v>0.58333333333333337</v>
      </c>
      <c r="AT73" s="38">
        <f t="shared" si="11"/>
        <v>1</v>
      </c>
      <c r="AU73" s="27">
        <f t="shared" si="12"/>
        <v>0.58333333333333337</v>
      </c>
    </row>
    <row r="74" spans="1:47" s="1" customFormat="1" ht="21" customHeight="1" x14ac:dyDescent="0.25">
      <c r="A74" s="109">
        <v>46029</v>
      </c>
      <c r="B74" s="47" t="s">
        <v>49</v>
      </c>
      <c r="C74" s="107" t="s">
        <v>254</v>
      </c>
      <c r="D74" s="47" t="s">
        <v>94</v>
      </c>
      <c r="E74" s="48">
        <v>98992</v>
      </c>
      <c r="F74" s="48" t="s">
        <v>67</v>
      </c>
      <c r="G74" s="48" t="s">
        <v>174</v>
      </c>
      <c r="H74" s="30">
        <v>14957</v>
      </c>
      <c r="I74" s="30">
        <v>24</v>
      </c>
      <c r="J74" s="28">
        <f t="shared" si="25"/>
        <v>150</v>
      </c>
      <c r="K74" s="31">
        <v>0.58333333333333337</v>
      </c>
      <c r="L74" s="31">
        <v>0.9375</v>
      </c>
      <c r="M74" s="32">
        <f t="shared" si="26"/>
        <v>0.35416666666666663</v>
      </c>
      <c r="N74" s="36">
        <v>510</v>
      </c>
      <c r="O74" s="36">
        <f t="shared" si="8"/>
        <v>450</v>
      </c>
      <c r="P74" s="36">
        <f t="shared" si="3"/>
        <v>450</v>
      </c>
      <c r="Q74" s="15">
        <v>0</v>
      </c>
      <c r="R74" s="20">
        <v>0</v>
      </c>
      <c r="S74" s="16">
        <v>0</v>
      </c>
      <c r="T74" s="16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15">
        <f t="shared" si="4"/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20</v>
      </c>
      <c r="AJ74" s="15">
        <v>10</v>
      </c>
      <c r="AK74" s="15">
        <v>30</v>
      </c>
      <c r="AL74" s="15">
        <f t="shared" si="5"/>
        <v>60</v>
      </c>
      <c r="AM74" s="29">
        <f t="shared" si="6"/>
        <v>1125</v>
      </c>
      <c r="AN74" s="19">
        <v>900</v>
      </c>
      <c r="AO74" s="21">
        <v>0</v>
      </c>
      <c r="AP74" s="22">
        <v>0</v>
      </c>
      <c r="AQ74" s="26">
        <f t="shared" si="14"/>
        <v>900</v>
      </c>
      <c r="AR74" s="37">
        <f t="shared" si="18"/>
        <v>1</v>
      </c>
      <c r="AS74" s="38">
        <f t="shared" si="10"/>
        <v>0.8</v>
      </c>
      <c r="AT74" s="38">
        <f t="shared" si="11"/>
        <v>1</v>
      </c>
      <c r="AU74" s="27">
        <f t="shared" si="12"/>
        <v>0.8</v>
      </c>
    </row>
    <row r="75" spans="1:47" s="1" customFormat="1" ht="21" customHeight="1" x14ac:dyDescent="0.25">
      <c r="A75" s="109">
        <v>46030</v>
      </c>
      <c r="B75" s="47" t="s">
        <v>49</v>
      </c>
      <c r="C75" s="107" t="s">
        <v>21</v>
      </c>
      <c r="D75" s="47" t="s">
        <v>94</v>
      </c>
      <c r="E75" s="48">
        <v>98992</v>
      </c>
      <c r="F75" s="48" t="s">
        <v>67</v>
      </c>
      <c r="G75" s="48" t="s">
        <v>174</v>
      </c>
      <c r="H75" s="30">
        <v>15126</v>
      </c>
      <c r="I75" s="30">
        <v>24</v>
      </c>
      <c r="J75" s="28">
        <f t="shared" si="25"/>
        <v>150</v>
      </c>
      <c r="K75" s="31">
        <v>0.25</v>
      </c>
      <c r="L75" s="31">
        <v>0.60416666666666663</v>
      </c>
      <c r="M75" s="32">
        <f t="shared" si="26"/>
        <v>0.35416666666666663</v>
      </c>
      <c r="N75" s="36">
        <v>510</v>
      </c>
      <c r="O75" s="36">
        <f t="shared" si="8"/>
        <v>440</v>
      </c>
      <c r="P75" s="36">
        <f t="shared" ref="P75:P135" si="27">N75-AL75</f>
        <v>440</v>
      </c>
      <c r="Q75" s="15">
        <v>0</v>
      </c>
      <c r="R75" s="20">
        <v>0</v>
      </c>
      <c r="S75" s="16">
        <v>0</v>
      </c>
      <c r="T75" s="16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15">
        <f t="shared" si="4"/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30</v>
      </c>
      <c r="AJ75" s="15">
        <v>10</v>
      </c>
      <c r="AK75" s="15">
        <v>30</v>
      </c>
      <c r="AL75" s="15">
        <f t="shared" si="5"/>
        <v>70</v>
      </c>
      <c r="AM75" s="29">
        <f t="shared" ref="AM75:AM135" si="28">P75*(J75/60)</f>
        <v>1100</v>
      </c>
      <c r="AN75" s="19">
        <v>1000</v>
      </c>
      <c r="AO75" s="21">
        <v>0</v>
      </c>
      <c r="AP75" s="22">
        <v>0</v>
      </c>
      <c r="AQ75" s="26">
        <f t="shared" si="14"/>
        <v>1000</v>
      </c>
      <c r="AR75" s="37">
        <f t="shared" si="18"/>
        <v>1</v>
      </c>
      <c r="AS75" s="38">
        <f t="shared" si="10"/>
        <v>0.90909090909090906</v>
      </c>
      <c r="AT75" s="38">
        <f t="shared" si="11"/>
        <v>1</v>
      </c>
      <c r="AU75" s="27">
        <f t="shared" si="12"/>
        <v>0.90909090909090906</v>
      </c>
    </row>
    <row r="76" spans="1:47" s="1" customFormat="1" ht="24" customHeight="1" x14ac:dyDescent="0.25">
      <c r="A76" s="109">
        <v>46030</v>
      </c>
      <c r="B76" s="47" t="s">
        <v>49</v>
      </c>
      <c r="C76" s="107" t="s">
        <v>21</v>
      </c>
      <c r="D76" s="47" t="s">
        <v>88</v>
      </c>
      <c r="E76" s="48">
        <v>98992</v>
      </c>
      <c r="F76" s="48" t="s">
        <v>126</v>
      </c>
      <c r="G76" s="48" t="s">
        <v>87</v>
      </c>
      <c r="H76" s="30">
        <v>11682</v>
      </c>
      <c r="I76" s="30">
        <v>32</v>
      </c>
      <c r="J76" s="28">
        <f t="shared" ref="J76:J89" si="29">3600/I76</f>
        <v>112.5</v>
      </c>
      <c r="K76" s="31">
        <v>0.25</v>
      </c>
      <c r="L76" s="31">
        <v>0.60416666666666663</v>
      </c>
      <c r="M76" s="32">
        <f t="shared" si="26"/>
        <v>0.35416666666666663</v>
      </c>
      <c r="N76" s="36">
        <v>510</v>
      </c>
      <c r="O76" s="36">
        <f t="shared" si="8"/>
        <v>440</v>
      </c>
      <c r="P76" s="36">
        <f t="shared" si="27"/>
        <v>440</v>
      </c>
      <c r="Q76" s="15">
        <v>0</v>
      </c>
      <c r="R76" s="20">
        <v>0</v>
      </c>
      <c r="S76" s="16">
        <v>0</v>
      </c>
      <c r="T76" s="16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15">
        <f t="shared" si="4"/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30</v>
      </c>
      <c r="AJ76" s="15">
        <v>10</v>
      </c>
      <c r="AK76" s="15">
        <v>30</v>
      </c>
      <c r="AL76" s="15">
        <f t="shared" si="5"/>
        <v>70</v>
      </c>
      <c r="AM76" s="29">
        <f t="shared" si="28"/>
        <v>825</v>
      </c>
      <c r="AN76" s="19">
        <v>751</v>
      </c>
      <c r="AO76" s="21">
        <v>0</v>
      </c>
      <c r="AP76" s="22">
        <v>0</v>
      </c>
      <c r="AQ76" s="26">
        <f t="shared" si="14"/>
        <v>751</v>
      </c>
      <c r="AR76" s="37">
        <f t="shared" si="18"/>
        <v>1</v>
      </c>
      <c r="AS76" s="38">
        <f t="shared" si="10"/>
        <v>0.91030303030303028</v>
      </c>
      <c r="AT76" s="38">
        <f t="shared" si="11"/>
        <v>1</v>
      </c>
      <c r="AU76" s="27">
        <f t="shared" si="12"/>
        <v>0.91030303030303028</v>
      </c>
    </row>
    <row r="77" spans="1:47" s="1" customFormat="1" ht="21" customHeight="1" x14ac:dyDescent="0.25">
      <c r="A77" s="109">
        <v>46030</v>
      </c>
      <c r="B77" s="47" t="s">
        <v>49</v>
      </c>
      <c r="C77" s="107" t="s">
        <v>21</v>
      </c>
      <c r="D77" s="47" t="s">
        <v>89</v>
      </c>
      <c r="E77" s="48">
        <v>98992</v>
      </c>
      <c r="F77" s="48" t="s">
        <v>169</v>
      </c>
      <c r="G77" s="48" t="s">
        <v>87</v>
      </c>
      <c r="H77" s="30">
        <v>15727</v>
      </c>
      <c r="I77" s="30">
        <v>32</v>
      </c>
      <c r="J77" s="28">
        <f t="shared" si="29"/>
        <v>112.5</v>
      </c>
      <c r="K77" s="31">
        <v>0.25</v>
      </c>
      <c r="L77" s="31">
        <v>0.60416666666666663</v>
      </c>
      <c r="M77" s="32">
        <f t="shared" si="26"/>
        <v>0.35416666666666663</v>
      </c>
      <c r="N77" s="36">
        <v>510</v>
      </c>
      <c r="O77" s="36">
        <f t="shared" si="8"/>
        <v>440</v>
      </c>
      <c r="P77" s="36">
        <f t="shared" si="27"/>
        <v>440</v>
      </c>
      <c r="Q77" s="15">
        <v>0</v>
      </c>
      <c r="R77" s="20">
        <v>0</v>
      </c>
      <c r="S77" s="16">
        <v>0</v>
      </c>
      <c r="T77" s="16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  <c r="AC77" s="15">
        <f t="shared" si="4"/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30</v>
      </c>
      <c r="AJ77" s="15">
        <v>10</v>
      </c>
      <c r="AK77" s="15">
        <v>30</v>
      </c>
      <c r="AL77" s="15">
        <f t="shared" si="5"/>
        <v>70</v>
      </c>
      <c r="AM77" s="29">
        <f t="shared" si="28"/>
        <v>825</v>
      </c>
      <c r="AN77" s="19">
        <v>651</v>
      </c>
      <c r="AO77" s="21">
        <v>0</v>
      </c>
      <c r="AP77" s="22">
        <v>0</v>
      </c>
      <c r="AQ77" s="26">
        <f t="shared" si="14"/>
        <v>651</v>
      </c>
      <c r="AR77" s="37">
        <f t="shared" si="18"/>
        <v>1</v>
      </c>
      <c r="AS77" s="38">
        <f t="shared" ref="AS77:AS106" si="30">AN77/AM77</f>
        <v>0.78909090909090907</v>
      </c>
      <c r="AT77" s="38">
        <f t="shared" ref="AT77:AT106" si="31">AQ77/AN77</f>
        <v>1</v>
      </c>
      <c r="AU77" s="27">
        <f t="shared" ref="AU77:AU106" si="32">AR77*AS77*AT77</f>
        <v>0.78909090909090907</v>
      </c>
    </row>
    <row r="78" spans="1:47" s="1" customFormat="1" ht="21" customHeight="1" x14ac:dyDescent="0.25">
      <c r="A78" s="109">
        <v>46030</v>
      </c>
      <c r="B78" s="47" t="s">
        <v>49</v>
      </c>
      <c r="C78" s="107" t="s">
        <v>21</v>
      </c>
      <c r="D78" s="47" t="s">
        <v>52</v>
      </c>
      <c r="E78" s="48">
        <v>98992</v>
      </c>
      <c r="F78" s="48" t="s">
        <v>53</v>
      </c>
      <c r="G78" s="48" t="s">
        <v>87</v>
      </c>
      <c r="H78" s="30">
        <v>16146</v>
      </c>
      <c r="I78" s="30">
        <v>32</v>
      </c>
      <c r="J78" s="28">
        <f t="shared" si="29"/>
        <v>112.5</v>
      </c>
      <c r="K78" s="31">
        <v>0.25</v>
      </c>
      <c r="L78" s="31">
        <v>0.60416666666666663</v>
      </c>
      <c r="M78" s="32">
        <f t="shared" si="26"/>
        <v>0.35416666666666663</v>
      </c>
      <c r="N78" s="36">
        <v>510</v>
      </c>
      <c r="O78" s="36">
        <f t="shared" si="8"/>
        <v>460</v>
      </c>
      <c r="P78" s="36">
        <f t="shared" si="27"/>
        <v>460</v>
      </c>
      <c r="Q78" s="15">
        <v>0</v>
      </c>
      <c r="R78" s="20">
        <v>0</v>
      </c>
      <c r="S78" s="16">
        <v>0</v>
      </c>
      <c r="T78" s="16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15">
        <f t="shared" si="4"/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20</v>
      </c>
      <c r="AJ78" s="15">
        <v>10</v>
      </c>
      <c r="AK78" s="15">
        <v>20</v>
      </c>
      <c r="AL78" s="15">
        <f t="shared" si="5"/>
        <v>50</v>
      </c>
      <c r="AM78" s="29">
        <f t="shared" si="28"/>
        <v>862.5</v>
      </c>
      <c r="AN78" s="19">
        <v>745</v>
      </c>
      <c r="AO78" s="21">
        <v>0</v>
      </c>
      <c r="AP78" s="22">
        <v>1</v>
      </c>
      <c r="AQ78" s="26">
        <f t="shared" si="14"/>
        <v>744</v>
      </c>
      <c r="AR78" s="37">
        <f t="shared" si="18"/>
        <v>1</v>
      </c>
      <c r="AS78" s="38">
        <f t="shared" si="30"/>
        <v>0.86376811594202896</v>
      </c>
      <c r="AT78" s="38">
        <f t="shared" si="31"/>
        <v>0.99865771812080539</v>
      </c>
      <c r="AU78" s="27">
        <f t="shared" si="32"/>
        <v>0.86260869565217391</v>
      </c>
    </row>
    <row r="79" spans="1:47" s="1" customFormat="1" ht="21" customHeight="1" x14ac:dyDescent="0.25">
      <c r="A79" s="109">
        <v>46030</v>
      </c>
      <c r="B79" s="47" t="s">
        <v>49</v>
      </c>
      <c r="C79" s="107" t="s">
        <v>21</v>
      </c>
      <c r="D79" s="47" t="s">
        <v>86</v>
      </c>
      <c r="E79" s="48">
        <v>98992</v>
      </c>
      <c r="F79" s="48" t="s">
        <v>176</v>
      </c>
      <c r="G79" s="48" t="s">
        <v>87</v>
      </c>
      <c r="H79" s="30">
        <v>15773</v>
      </c>
      <c r="I79" s="30">
        <v>20</v>
      </c>
      <c r="J79" s="28">
        <f t="shared" si="29"/>
        <v>180</v>
      </c>
      <c r="K79" s="31">
        <v>0.25</v>
      </c>
      <c r="L79" s="31">
        <v>0.60416666666666663</v>
      </c>
      <c r="M79" s="32">
        <f t="shared" si="26"/>
        <v>0.35416666666666663</v>
      </c>
      <c r="N79" s="36">
        <v>510</v>
      </c>
      <c r="O79" s="36">
        <f t="shared" si="8"/>
        <v>180</v>
      </c>
      <c r="P79" s="36">
        <f t="shared" si="27"/>
        <v>180</v>
      </c>
      <c r="Q79" s="15">
        <v>0</v>
      </c>
      <c r="R79" s="20">
        <v>0</v>
      </c>
      <c r="S79" s="16">
        <v>0</v>
      </c>
      <c r="T79" s="16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15">
        <f t="shared" si="4"/>
        <v>0</v>
      </c>
      <c r="AD79" s="15">
        <v>0</v>
      </c>
      <c r="AE79" s="15">
        <v>0</v>
      </c>
      <c r="AF79" s="15">
        <v>0</v>
      </c>
      <c r="AG79" s="15">
        <v>260</v>
      </c>
      <c r="AH79" s="15">
        <v>0</v>
      </c>
      <c r="AI79" s="15">
        <v>30</v>
      </c>
      <c r="AJ79" s="15">
        <v>10</v>
      </c>
      <c r="AK79" s="15">
        <v>30</v>
      </c>
      <c r="AL79" s="15">
        <f t="shared" si="5"/>
        <v>330</v>
      </c>
      <c r="AM79" s="29">
        <f t="shared" si="28"/>
        <v>540</v>
      </c>
      <c r="AN79" s="19">
        <v>408</v>
      </c>
      <c r="AO79" s="21">
        <v>0</v>
      </c>
      <c r="AP79" s="22">
        <v>0</v>
      </c>
      <c r="AQ79" s="26">
        <f t="shared" si="14"/>
        <v>408</v>
      </c>
      <c r="AR79" s="37">
        <f t="shared" si="18"/>
        <v>1</v>
      </c>
      <c r="AS79" s="38">
        <f t="shared" si="30"/>
        <v>0.75555555555555554</v>
      </c>
      <c r="AT79" s="38">
        <f t="shared" si="31"/>
        <v>1</v>
      </c>
      <c r="AU79" s="27">
        <f t="shared" si="32"/>
        <v>0.75555555555555554</v>
      </c>
    </row>
    <row r="80" spans="1:47" s="1" customFormat="1" ht="21" customHeight="1" x14ac:dyDescent="0.25">
      <c r="A80" s="109">
        <v>46030</v>
      </c>
      <c r="B80" s="47" t="s">
        <v>49</v>
      </c>
      <c r="C80" s="107" t="s">
        <v>21</v>
      </c>
      <c r="D80" s="47" t="s">
        <v>172</v>
      </c>
      <c r="E80" s="48">
        <v>98992</v>
      </c>
      <c r="F80" s="48" t="s">
        <v>175</v>
      </c>
      <c r="G80" s="48" t="s">
        <v>87</v>
      </c>
      <c r="H80" s="30">
        <v>15838</v>
      </c>
      <c r="I80" s="30">
        <v>20</v>
      </c>
      <c r="J80" s="28">
        <f t="shared" si="29"/>
        <v>180</v>
      </c>
      <c r="K80" s="31">
        <v>0.25</v>
      </c>
      <c r="L80" s="31">
        <v>0.60416666666666663</v>
      </c>
      <c r="M80" s="32">
        <f t="shared" si="26"/>
        <v>0.35416666666666663</v>
      </c>
      <c r="N80" s="36">
        <v>510</v>
      </c>
      <c r="O80" s="36">
        <f t="shared" si="8"/>
        <v>190</v>
      </c>
      <c r="P80" s="36">
        <f t="shared" si="27"/>
        <v>190</v>
      </c>
      <c r="Q80" s="15">
        <v>0</v>
      </c>
      <c r="R80" s="20">
        <v>0</v>
      </c>
      <c r="S80" s="16">
        <v>0</v>
      </c>
      <c r="T80" s="16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15">
        <f t="shared" si="4"/>
        <v>0</v>
      </c>
      <c r="AD80" s="15">
        <v>0</v>
      </c>
      <c r="AE80" s="15">
        <v>0</v>
      </c>
      <c r="AF80" s="15">
        <v>0</v>
      </c>
      <c r="AG80" s="15">
        <v>250</v>
      </c>
      <c r="AH80" s="15">
        <v>0</v>
      </c>
      <c r="AI80" s="15">
        <v>30</v>
      </c>
      <c r="AJ80" s="15">
        <v>10</v>
      </c>
      <c r="AK80" s="15">
        <v>30</v>
      </c>
      <c r="AL80" s="15">
        <f t="shared" si="5"/>
        <v>320</v>
      </c>
      <c r="AM80" s="29">
        <f t="shared" si="28"/>
        <v>570</v>
      </c>
      <c r="AN80" s="19">
        <v>494</v>
      </c>
      <c r="AO80" s="21">
        <v>0</v>
      </c>
      <c r="AP80" s="22">
        <v>1</v>
      </c>
      <c r="AQ80" s="26">
        <f t="shared" si="14"/>
        <v>493</v>
      </c>
      <c r="AR80" s="37">
        <f t="shared" si="18"/>
        <v>1</v>
      </c>
      <c r="AS80" s="38">
        <f t="shared" si="30"/>
        <v>0.8666666666666667</v>
      </c>
      <c r="AT80" s="38">
        <f t="shared" si="31"/>
        <v>0.99797570850202433</v>
      </c>
      <c r="AU80" s="27">
        <f t="shared" si="32"/>
        <v>0.86491228070175441</v>
      </c>
    </row>
    <row r="81" spans="1:47" s="1" customFormat="1" ht="21" customHeight="1" x14ac:dyDescent="0.25">
      <c r="A81" s="109">
        <v>46030</v>
      </c>
      <c r="B81" s="47" t="s">
        <v>49</v>
      </c>
      <c r="C81" s="107" t="s">
        <v>21</v>
      </c>
      <c r="D81" s="47" t="s">
        <v>124</v>
      </c>
      <c r="E81" s="48">
        <v>98992</v>
      </c>
      <c r="F81" s="48" t="s">
        <v>215</v>
      </c>
      <c r="G81" s="48" t="s">
        <v>125</v>
      </c>
      <c r="H81" s="30">
        <v>14972</v>
      </c>
      <c r="I81" s="30">
        <v>32</v>
      </c>
      <c r="J81" s="28">
        <f t="shared" si="29"/>
        <v>112.5</v>
      </c>
      <c r="K81" s="31">
        <v>0.25</v>
      </c>
      <c r="L81" s="31">
        <v>0.60416666666666663</v>
      </c>
      <c r="M81" s="32">
        <f t="shared" si="26"/>
        <v>0.35416666666666663</v>
      </c>
      <c r="N81" s="36">
        <v>510</v>
      </c>
      <c r="O81" s="36">
        <f t="shared" si="8"/>
        <v>220</v>
      </c>
      <c r="P81" s="36">
        <f t="shared" si="27"/>
        <v>220</v>
      </c>
      <c r="Q81" s="15">
        <v>0</v>
      </c>
      <c r="R81" s="20">
        <v>0</v>
      </c>
      <c r="S81" s="16">
        <v>0</v>
      </c>
      <c r="T81" s="16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15">
        <f t="shared" si="4"/>
        <v>0</v>
      </c>
      <c r="AD81" s="15">
        <v>0</v>
      </c>
      <c r="AE81" s="15">
        <v>0</v>
      </c>
      <c r="AF81" s="15">
        <v>0</v>
      </c>
      <c r="AG81" s="15">
        <v>220</v>
      </c>
      <c r="AH81" s="15">
        <v>0</v>
      </c>
      <c r="AI81" s="15">
        <v>30</v>
      </c>
      <c r="AJ81" s="15">
        <v>10</v>
      </c>
      <c r="AK81" s="15">
        <v>30</v>
      </c>
      <c r="AL81" s="15">
        <f t="shared" si="5"/>
        <v>290</v>
      </c>
      <c r="AM81" s="29">
        <f t="shared" si="28"/>
        <v>412.5</v>
      </c>
      <c r="AN81" s="19">
        <v>370</v>
      </c>
      <c r="AO81" s="21">
        <v>0</v>
      </c>
      <c r="AP81" s="22">
        <v>0</v>
      </c>
      <c r="AQ81" s="26">
        <f t="shared" si="14"/>
        <v>370</v>
      </c>
      <c r="AR81" s="37">
        <f t="shared" si="18"/>
        <v>1</v>
      </c>
      <c r="AS81" s="38">
        <f t="shared" si="30"/>
        <v>0.89696969696969697</v>
      </c>
      <c r="AT81" s="38">
        <f t="shared" si="31"/>
        <v>1</v>
      </c>
      <c r="AU81" s="27">
        <f t="shared" si="32"/>
        <v>0.89696969696969697</v>
      </c>
    </row>
    <row r="82" spans="1:47" s="1" customFormat="1" ht="21" customHeight="1" x14ac:dyDescent="0.25">
      <c r="A82" s="109">
        <v>46030</v>
      </c>
      <c r="B82" s="47" t="s">
        <v>49</v>
      </c>
      <c r="C82" s="107" t="s">
        <v>21</v>
      </c>
      <c r="D82" s="47" t="s">
        <v>122</v>
      </c>
      <c r="E82" s="48">
        <v>98992</v>
      </c>
      <c r="F82" s="48" t="s">
        <v>169</v>
      </c>
      <c r="G82" s="48" t="s">
        <v>125</v>
      </c>
      <c r="H82" s="30">
        <v>15676</v>
      </c>
      <c r="I82" s="30">
        <v>32</v>
      </c>
      <c r="J82" s="28">
        <f t="shared" si="29"/>
        <v>112.5</v>
      </c>
      <c r="K82" s="31">
        <v>0.25</v>
      </c>
      <c r="L82" s="31">
        <v>0.60416666666666663</v>
      </c>
      <c r="M82" s="32">
        <f t="shared" si="26"/>
        <v>0.35416666666666663</v>
      </c>
      <c r="N82" s="36">
        <v>510</v>
      </c>
      <c r="O82" s="36">
        <f t="shared" si="8"/>
        <v>440</v>
      </c>
      <c r="P82" s="36">
        <f t="shared" si="27"/>
        <v>440</v>
      </c>
      <c r="Q82" s="15">
        <v>0</v>
      </c>
      <c r="R82" s="20">
        <v>0</v>
      </c>
      <c r="S82" s="16">
        <v>0</v>
      </c>
      <c r="T82" s="16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15">
        <f t="shared" si="4"/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30</v>
      </c>
      <c r="AJ82" s="15">
        <v>10</v>
      </c>
      <c r="AK82" s="15">
        <v>30</v>
      </c>
      <c r="AL82" s="15">
        <f t="shared" si="5"/>
        <v>70</v>
      </c>
      <c r="AM82" s="29">
        <f t="shared" si="28"/>
        <v>825</v>
      </c>
      <c r="AN82" s="19">
        <v>702</v>
      </c>
      <c r="AO82" s="21">
        <v>0</v>
      </c>
      <c r="AP82" s="22">
        <v>0</v>
      </c>
      <c r="AQ82" s="26">
        <f t="shared" si="14"/>
        <v>702</v>
      </c>
      <c r="AR82" s="37">
        <f t="shared" si="18"/>
        <v>1</v>
      </c>
      <c r="AS82" s="38">
        <f t="shared" si="30"/>
        <v>0.85090909090909095</v>
      </c>
      <c r="AT82" s="38">
        <f t="shared" si="31"/>
        <v>1</v>
      </c>
      <c r="AU82" s="27">
        <f t="shared" si="32"/>
        <v>0.85090909090909095</v>
      </c>
    </row>
    <row r="83" spans="1:47" s="1" customFormat="1" ht="21" customHeight="1" x14ac:dyDescent="0.25">
      <c r="A83" s="109">
        <v>46030</v>
      </c>
      <c r="B83" s="47" t="s">
        <v>49</v>
      </c>
      <c r="C83" s="107" t="s">
        <v>21</v>
      </c>
      <c r="D83" s="47" t="s">
        <v>128</v>
      </c>
      <c r="E83" s="48">
        <v>98992</v>
      </c>
      <c r="F83" s="48" t="s">
        <v>53</v>
      </c>
      <c r="G83" s="48" t="s">
        <v>125</v>
      </c>
      <c r="H83" s="30">
        <v>14976</v>
      </c>
      <c r="I83" s="30">
        <v>32</v>
      </c>
      <c r="J83" s="28">
        <f t="shared" si="29"/>
        <v>112.5</v>
      </c>
      <c r="K83" s="31">
        <v>0.25</v>
      </c>
      <c r="L83" s="31">
        <v>0.60416666666666663</v>
      </c>
      <c r="M83" s="32">
        <f t="shared" si="26"/>
        <v>0.35416666666666663</v>
      </c>
      <c r="N83" s="36">
        <v>510</v>
      </c>
      <c r="O83" s="36">
        <f t="shared" si="8"/>
        <v>320</v>
      </c>
      <c r="P83" s="36">
        <f t="shared" si="27"/>
        <v>320</v>
      </c>
      <c r="Q83" s="15">
        <v>0</v>
      </c>
      <c r="R83" s="20">
        <v>0</v>
      </c>
      <c r="S83" s="16">
        <v>0</v>
      </c>
      <c r="T83" s="16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15">
        <f t="shared" si="4"/>
        <v>0</v>
      </c>
      <c r="AD83" s="15">
        <v>0</v>
      </c>
      <c r="AE83" s="15">
        <v>0</v>
      </c>
      <c r="AF83" s="15">
        <v>0</v>
      </c>
      <c r="AG83" s="15">
        <v>120</v>
      </c>
      <c r="AH83" s="15">
        <v>0</v>
      </c>
      <c r="AI83" s="15">
        <v>30</v>
      </c>
      <c r="AJ83" s="15">
        <v>10</v>
      </c>
      <c r="AK83" s="15">
        <v>30</v>
      </c>
      <c r="AL83" s="15">
        <f t="shared" si="5"/>
        <v>190</v>
      </c>
      <c r="AM83" s="29">
        <f t="shared" si="28"/>
        <v>600</v>
      </c>
      <c r="AN83" s="19">
        <v>563</v>
      </c>
      <c r="AO83" s="21">
        <v>0</v>
      </c>
      <c r="AP83" s="22">
        <v>0</v>
      </c>
      <c r="AQ83" s="26">
        <f t="shared" si="14"/>
        <v>563</v>
      </c>
      <c r="AR83" s="37">
        <f t="shared" si="18"/>
        <v>1</v>
      </c>
      <c r="AS83" s="38">
        <f t="shared" si="30"/>
        <v>0.93833333333333335</v>
      </c>
      <c r="AT83" s="38">
        <f t="shared" si="31"/>
        <v>1</v>
      </c>
      <c r="AU83" s="27">
        <f t="shared" si="32"/>
        <v>0.93833333333333335</v>
      </c>
    </row>
    <row r="84" spans="1:47" s="1" customFormat="1" ht="21" customHeight="1" x14ac:dyDescent="0.25">
      <c r="A84" s="109">
        <v>46030</v>
      </c>
      <c r="B84" s="47" t="s">
        <v>49</v>
      </c>
      <c r="C84" s="107" t="s">
        <v>21</v>
      </c>
      <c r="D84" s="47" t="s">
        <v>170</v>
      </c>
      <c r="E84" s="48">
        <v>98992</v>
      </c>
      <c r="F84" s="48" t="s">
        <v>176</v>
      </c>
      <c r="G84" s="48" t="s">
        <v>125</v>
      </c>
      <c r="H84" s="30">
        <v>15773</v>
      </c>
      <c r="I84" s="30">
        <v>20</v>
      </c>
      <c r="J84" s="28">
        <f t="shared" si="29"/>
        <v>180</v>
      </c>
      <c r="K84" s="31">
        <v>0.25</v>
      </c>
      <c r="L84" s="31">
        <v>0.60416666666666663</v>
      </c>
      <c r="M84" s="32">
        <f t="shared" si="26"/>
        <v>0.35416666666666663</v>
      </c>
      <c r="N84" s="36">
        <v>510</v>
      </c>
      <c r="O84" s="36">
        <f t="shared" si="8"/>
        <v>220</v>
      </c>
      <c r="P84" s="36">
        <f t="shared" si="27"/>
        <v>220</v>
      </c>
      <c r="Q84" s="15">
        <v>0</v>
      </c>
      <c r="R84" s="20">
        <v>0</v>
      </c>
      <c r="S84" s="16">
        <v>0</v>
      </c>
      <c r="T84" s="16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15">
        <f t="shared" si="4"/>
        <v>0</v>
      </c>
      <c r="AD84" s="15">
        <v>0</v>
      </c>
      <c r="AE84" s="15">
        <v>0</v>
      </c>
      <c r="AF84" s="15">
        <v>0</v>
      </c>
      <c r="AG84" s="15">
        <v>220</v>
      </c>
      <c r="AH84" s="15">
        <v>0</v>
      </c>
      <c r="AI84" s="15">
        <v>30</v>
      </c>
      <c r="AJ84" s="15">
        <v>10</v>
      </c>
      <c r="AK84" s="15">
        <v>30</v>
      </c>
      <c r="AL84" s="15">
        <f t="shared" si="5"/>
        <v>290</v>
      </c>
      <c r="AM84" s="29">
        <f t="shared" si="28"/>
        <v>660</v>
      </c>
      <c r="AN84" s="19">
        <v>516</v>
      </c>
      <c r="AO84" s="21">
        <v>0</v>
      </c>
      <c r="AP84" s="22">
        <v>0</v>
      </c>
      <c r="AQ84" s="26">
        <f t="shared" si="14"/>
        <v>516</v>
      </c>
      <c r="AR84" s="37">
        <f t="shared" si="18"/>
        <v>1</v>
      </c>
      <c r="AS84" s="38">
        <f t="shared" si="30"/>
        <v>0.78181818181818186</v>
      </c>
      <c r="AT84" s="38">
        <f t="shared" si="31"/>
        <v>1</v>
      </c>
      <c r="AU84" s="27">
        <f t="shared" si="32"/>
        <v>0.78181818181818186</v>
      </c>
    </row>
    <row r="85" spans="1:47" s="1" customFormat="1" ht="21" customHeight="1" x14ac:dyDescent="0.25">
      <c r="A85" s="109">
        <v>46030</v>
      </c>
      <c r="B85" s="47" t="s">
        <v>49</v>
      </c>
      <c r="C85" s="107" t="s">
        <v>21</v>
      </c>
      <c r="D85" s="47" t="s">
        <v>127</v>
      </c>
      <c r="E85" s="48">
        <v>98992</v>
      </c>
      <c r="F85" s="48" t="s">
        <v>175</v>
      </c>
      <c r="G85" s="48" t="s">
        <v>125</v>
      </c>
      <c r="H85" s="30">
        <v>15837</v>
      </c>
      <c r="I85" s="30">
        <v>20</v>
      </c>
      <c r="J85" s="28">
        <f t="shared" si="29"/>
        <v>180</v>
      </c>
      <c r="K85" s="31">
        <v>0.25</v>
      </c>
      <c r="L85" s="31">
        <v>0.60416666666666663</v>
      </c>
      <c r="M85" s="32">
        <f t="shared" si="26"/>
        <v>0.35416666666666663</v>
      </c>
      <c r="N85" s="36">
        <v>510</v>
      </c>
      <c r="O85" s="36">
        <f t="shared" si="8"/>
        <v>240</v>
      </c>
      <c r="P85" s="36">
        <f t="shared" si="27"/>
        <v>240</v>
      </c>
      <c r="Q85" s="15">
        <v>0</v>
      </c>
      <c r="R85" s="20">
        <v>0</v>
      </c>
      <c r="S85" s="16">
        <v>0</v>
      </c>
      <c r="T85" s="16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15">
        <f t="shared" si="4"/>
        <v>0</v>
      </c>
      <c r="AD85" s="15">
        <v>0</v>
      </c>
      <c r="AE85" s="15">
        <v>0</v>
      </c>
      <c r="AF85" s="15">
        <v>0</v>
      </c>
      <c r="AG85" s="15">
        <v>200</v>
      </c>
      <c r="AH85" s="15">
        <v>0</v>
      </c>
      <c r="AI85" s="15">
        <v>30</v>
      </c>
      <c r="AJ85" s="15">
        <v>10</v>
      </c>
      <c r="AK85" s="15">
        <v>30</v>
      </c>
      <c r="AL85" s="15">
        <f t="shared" si="5"/>
        <v>270</v>
      </c>
      <c r="AM85" s="29">
        <f t="shared" si="28"/>
        <v>720</v>
      </c>
      <c r="AN85" s="19">
        <v>612</v>
      </c>
      <c r="AO85" s="21">
        <v>0</v>
      </c>
      <c r="AP85" s="22">
        <v>0</v>
      </c>
      <c r="AQ85" s="26">
        <f t="shared" si="14"/>
        <v>612</v>
      </c>
      <c r="AR85" s="37">
        <f t="shared" si="18"/>
        <v>1</v>
      </c>
      <c r="AS85" s="38">
        <f t="shared" si="30"/>
        <v>0.85</v>
      </c>
      <c r="AT85" s="38">
        <f t="shared" si="31"/>
        <v>1</v>
      </c>
      <c r="AU85" s="27">
        <f t="shared" si="32"/>
        <v>0.85</v>
      </c>
    </row>
    <row r="86" spans="1:47" s="1" customFormat="1" ht="21" customHeight="1" x14ac:dyDescent="0.25">
      <c r="A86" s="109">
        <v>46030</v>
      </c>
      <c r="B86" s="47" t="s">
        <v>49</v>
      </c>
      <c r="C86" s="107" t="s">
        <v>51</v>
      </c>
      <c r="D86" s="47" t="s">
        <v>94</v>
      </c>
      <c r="E86" s="48">
        <v>98992</v>
      </c>
      <c r="F86" s="48" t="s">
        <v>67</v>
      </c>
      <c r="G86" s="48" t="s">
        <v>174</v>
      </c>
      <c r="H86" s="30">
        <v>13562</v>
      </c>
      <c r="I86" s="30">
        <v>26</v>
      </c>
      <c r="J86" s="28">
        <f t="shared" si="29"/>
        <v>138.46153846153845</v>
      </c>
      <c r="K86" s="31">
        <v>0.58333333333333337</v>
      </c>
      <c r="L86" s="31">
        <v>0.9375</v>
      </c>
      <c r="M86" s="32">
        <f t="shared" si="26"/>
        <v>0.35416666666666663</v>
      </c>
      <c r="N86" s="36">
        <v>510</v>
      </c>
      <c r="O86" s="36">
        <f t="shared" si="8"/>
        <v>440</v>
      </c>
      <c r="P86" s="36">
        <f t="shared" si="27"/>
        <v>440</v>
      </c>
      <c r="Q86" s="15">
        <v>0</v>
      </c>
      <c r="R86" s="20">
        <v>0</v>
      </c>
      <c r="S86" s="16">
        <v>0</v>
      </c>
      <c r="T86" s="16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15">
        <f t="shared" si="4"/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30</v>
      </c>
      <c r="AJ86" s="15">
        <v>10</v>
      </c>
      <c r="AK86" s="15">
        <v>30</v>
      </c>
      <c r="AL86" s="15">
        <f t="shared" si="5"/>
        <v>70</v>
      </c>
      <c r="AM86" s="29">
        <f t="shared" si="28"/>
        <v>1015.3846153846152</v>
      </c>
      <c r="AN86" s="19">
        <v>780</v>
      </c>
      <c r="AO86" s="21">
        <v>0</v>
      </c>
      <c r="AP86" s="22">
        <v>0</v>
      </c>
      <c r="AQ86" s="26">
        <f t="shared" si="14"/>
        <v>780</v>
      </c>
      <c r="AR86" s="37">
        <f t="shared" si="18"/>
        <v>1</v>
      </c>
      <c r="AS86" s="38">
        <f t="shared" si="30"/>
        <v>0.7681818181818183</v>
      </c>
      <c r="AT86" s="38">
        <f t="shared" si="31"/>
        <v>1</v>
      </c>
      <c r="AU86" s="27">
        <f t="shared" si="32"/>
        <v>0.7681818181818183</v>
      </c>
    </row>
    <row r="87" spans="1:47" s="1" customFormat="1" ht="21" customHeight="1" x14ac:dyDescent="0.25">
      <c r="A87" s="109">
        <v>46030</v>
      </c>
      <c r="B87" s="47" t="s">
        <v>49</v>
      </c>
      <c r="C87" s="107" t="s">
        <v>51</v>
      </c>
      <c r="D87" s="47" t="s">
        <v>88</v>
      </c>
      <c r="E87" s="48">
        <v>98992</v>
      </c>
      <c r="F87" s="48" t="s">
        <v>126</v>
      </c>
      <c r="G87" s="48" t="s">
        <v>87</v>
      </c>
      <c r="H87" s="30">
        <v>13106</v>
      </c>
      <c r="I87" s="30">
        <v>32</v>
      </c>
      <c r="J87" s="28">
        <f t="shared" si="29"/>
        <v>112.5</v>
      </c>
      <c r="K87" s="31">
        <v>0.58333333333333337</v>
      </c>
      <c r="L87" s="31">
        <v>0.9375</v>
      </c>
      <c r="M87" s="32">
        <f t="shared" si="26"/>
        <v>0.35416666666666663</v>
      </c>
      <c r="N87" s="36">
        <v>510</v>
      </c>
      <c r="O87" s="36">
        <f t="shared" si="8"/>
        <v>440</v>
      </c>
      <c r="P87" s="36">
        <f t="shared" si="27"/>
        <v>440</v>
      </c>
      <c r="Q87" s="15">
        <v>0</v>
      </c>
      <c r="R87" s="20">
        <v>0</v>
      </c>
      <c r="S87" s="16">
        <v>0</v>
      </c>
      <c r="T87" s="16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15">
        <f t="shared" si="4"/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30</v>
      </c>
      <c r="AJ87" s="15">
        <v>10</v>
      </c>
      <c r="AK87" s="15">
        <v>30</v>
      </c>
      <c r="AL87" s="15">
        <f t="shared" si="5"/>
        <v>70</v>
      </c>
      <c r="AM87" s="29">
        <f t="shared" si="28"/>
        <v>825</v>
      </c>
      <c r="AN87" s="19">
        <v>680</v>
      </c>
      <c r="AO87" s="21">
        <v>0</v>
      </c>
      <c r="AP87" s="22">
        <v>0</v>
      </c>
      <c r="AQ87" s="26">
        <f t="shared" ref="AQ87:AQ165" si="33">AN87-(AP87+AO87)</f>
        <v>680</v>
      </c>
      <c r="AR87" s="37">
        <f t="shared" si="18"/>
        <v>1</v>
      </c>
      <c r="AS87" s="38">
        <f t="shared" si="30"/>
        <v>0.82424242424242422</v>
      </c>
      <c r="AT87" s="38">
        <f t="shared" si="31"/>
        <v>1</v>
      </c>
      <c r="AU87" s="27">
        <f t="shared" si="32"/>
        <v>0.82424242424242422</v>
      </c>
    </row>
    <row r="88" spans="1:47" s="1" customFormat="1" ht="21" customHeight="1" x14ac:dyDescent="0.25">
      <c r="A88" s="109">
        <v>46030</v>
      </c>
      <c r="B88" s="47" t="s">
        <v>49</v>
      </c>
      <c r="C88" s="107" t="s">
        <v>51</v>
      </c>
      <c r="D88" s="47" t="s">
        <v>89</v>
      </c>
      <c r="E88" s="48">
        <v>98992</v>
      </c>
      <c r="F88" s="48" t="s">
        <v>169</v>
      </c>
      <c r="G88" s="48" t="s">
        <v>87</v>
      </c>
      <c r="H88" s="30">
        <v>16219</v>
      </c>
      <c r="I88" s="30">
        <v>32</v>
      </c>
      <c r="J88" s="28">
        <f t="shared" si="29"/>
        <v>112.5</v>
      </c>
      <c r="K88" s="31">
        <v>0.58333333333333337</v>
      </c>
      <c r="L88" s="31">
        <v>0.9375</v>
      </c>
      <c r="M88" s="32">
        <f t="shared" si="26"/>
        <v>0.35416666666666663</v>
      </c>
      <c r="N88" s="36">
        <v>510</v>
      </c>
      <c r="O88" s="36">
        <f t="shared" si="8"/>
        <v>440</v>
      </c>
      <c r="P88" s="36">
        <f t="shared" si="27"/>
        <v>440</v>
      </c>
      <c r="Q88" s="15">
        <v>0</v>
      </c>
      <c r="R88" s="20">
        <v>0</v>
      </c>
      <c r="S88" s="16">
        <v>0</v>
      </c>
      <c r="T88" s="16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15">
        <f t="shared" si="4"/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30</v>
      </c>
      <c r="AJ88" s="15">
        <v>10</v>
      </c>
      <c r="AK88" s="15">
        <v>30</v>
      </c>
      <c r="AL88" s="15">
        <f t="shared" si="5"/>
        <v>70</v>
      </c>
      <c r="AM88" s="29">
        <f t="shared" si="28"/>
        <v>825</v>
      </c>
      <c r="AN88" s="19">
        <v>564</v>
      </c>
      <c r="AO88" s="21">
        <v>0</v>
      </c>
      <c r="AP88" s="22">
        <v>0</v>
      </c>
      <c r="AQ88" s="26">
        <f t="shared" si="33"/>
        <v>564</v>
      </c>
      <c r="AR88" s="37">
        <f t="shared" si="18"/>
        <v>1</v>
      </c>
      <c r="AS88" s="38">
        <f t="shared" si="30"/>
        <v>0.6836363636363636</v>
      </c>
      <c r="AT88" s="38">
        <f t="shared" si="31"/>
        <v>1</v>
      </c>
      <c r="AU88" s="27">
        <f t="shared" si="32"/>
        <v>0.6836363636363636</v>
      </c>
    </row>
    <row r="89" spans="1:47" s="1" customFormat="1" ht="21" customHeight="1" x14ac:dyDescent="0.25">
      <c r="A89" s="109">
        <v>46030</v>
      </c>
      <c r="B89" s="47" t="s">
        <v>49</v>
      </c>
      <c r="C89" s="107" t="s">
        <v>51</v>
      </c>
      <c r="D89" s="47" t="s">
        <v>52</v>
      </c>
      <c r="E89" s="48">
        <v>98992</v>
      </c>
      <c r="F89" s="48" t="s">
        <v>53</v>
      </c>
      <c r="G89" s="48" t="s">
        <v>87</v>
      </c>
      <c r="H89" s="30">
        <v>15710</v>
      </c>
      <c r="I89" s="30">
        <v>32</v>
      </c>
      <c r="J89" s="28">
        <f t="shared" si="29"/>
        <v>112.5</v>
      </c>
      <c r="K89" s="31">
        <v>0.58333333333333337</v>
      </c>
      <c r="L89" s="31">
        <v>0.9375</v>
      </c>
      <c r="M89" s="32">
        <f t="shared" si="26"/>
        <v>0.35416666666666663</v>
      </c>
      <c r="N89" s="36">
        <v>510</v>
      </c>
      <c r="O89" s="36">
        <f t="shared" si="8"/>
        <v>320</v>
      </c>
      <c r="P89" s="36">
        <f t="shared" si="27"/>
        <v>320</v>
      </c>
      <c r="Q89" s="15">
        <v>0</v>
      </c>
      <c r="R89" s="20">
        <v>0</v>
      </c>
      <c r="S89" s="16">
        <v>0</v>
      </c>
      <c r="T89" s="16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15">
        <f t="shared" si="4"/>
        <v>0</v>
      </c>
      <c r="AD89" s="15">
        <v>0</v>
      </c>
      <c r="AE89" s="15">
        <v>0</v>
      </c>
      <c r="AF89" s="15">
        <v>0</v>
      </c>
      <c r="AG89" s="15">
        <v>120</v>
      </c>
      <c r="AH89" s="15">
        <v>0</v>
      </c>
      <c r="AI89" s="15">
        <v>30</v>
      </c>
      <c r="AJ89" s="15">
        <v>10</v>
      </c>
      <c r="AK89" s="15">
        <v>30</v>
      </c>
      <c r="AL89" s="15">
        <f t="shared" si="5"/>
        <v>190</v>
      </c>
      <c r="AM89" s="29">
        <f t="shared" si="28"/>
        <v>600</v>
      </c>
      <c r="AN89" s="19">
        <v>560</v>
      </c>
      <c r="AO89" s="21">
        <v>0</v>
      </c>
      <c r="AP89" s="22">
        <v>0</v>
      </c>
      <c r="AQ89" s="26">
        <f t="shared" si="33"/>
        <v>560</v>
      </c>
      <c r="AR89" s="37">
        <f t="shared" si="18"/>
        <v>1</v>
      </c>
      <c r="AS89" s="38">
        <f t="shared" si="30"/>
        <v>0.93333333333333335</v>
      </c>
      <c r="AT89" s="38">
        <f t="shared" si="31"/>
        <v>1</v>
      </c>
      <c r="AU89" s="27">
        <f t="shared" si="32"/>
        <v>0.93333333333333335</v>
      </c>
    </row>
    <row r="90" spans="1:47" s="1" customFormat="1" ht="21" customHeight="1" x14ac:dyDescent="0.25">
      <c r="A90" s="109">
        <v>46030</v>
      </c>
      <c r="B90" s="47" t="s">
        <v>49</v>
      </c>
      <c r="C90" s="107" t="s">
        <v>51</v>
      </c>
      <c r="D90" s="47" t="s">
        <v>86</v>
      </c>
      <c r="E90" s="48">
        <v>98992</v>
      </c>
      <c r="F90" s="48" t="s">
        <v>176</v>
      </c>
      <c r="G90" s="48" t="s">
        <v>87</v>
      </c>
      <c r="H90" s="30">
        <v>16146</v>
      </c>
      <c r="I90" s="30">
        <v>20</v>
      </c>
      <c r="J90" s="28">
        <f t="shared" ref="J90:J96" si="34">3600/I90</f>
        <v>180</v>
      </c>
      <c r="K90" s="31">
        <v>0.58333333333333337</v>
      </c>
      <c r="L90" s="31">
        <v>0.9375</v>
      </c>
      <c r="M90" s="32">
        <f t="shared" si="26"/>
        <v>0.35416666666666663</v>
      </c>
      <c r="N90" s="36">
        <v>510</v>
      </c>
      <c r="O90" s="36">
        <f t="shared" si="8"/>
        <v>320</v>
      </c>
      <c r="P90" s="36">
        <f t="shared" si="27"/>
        <v>320</v>
      </c>
      <c r="Q90" s="15">
        <v>0</v>
      </c>
      <c r="R90" s="20">
        <v>0</v>
      </c>
      <c r="S90" s="16">
        <v>0</v>
      </c>
      <c r="T90" s="16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15">
        <f t="shared" si="4"/>
        <v>0</v>
      </c>
      <c r="AD90" s="15">
        <v>0</v>
      </c>
      <c r="AE90" s="15">
        <v>0</v>
      </c>
      <c r="AF90" s="15">
        <v>0</v>
      </c>
      <c r="AG90" s="15">
        <v>120</v>
      </c>
      <c r="AH90" s="15">
        <v>0</v>
      </c>
      <c r="AI90" s="15">
        <v>30</v>
      </c>
      <c r="AJ90" s="15">
        <v>10</v>
      </c>
      <c r="AK90" s="15">
        <v>30</v>
      </c>
      <c r="AL90" s="15">
        <f t="shared" si="5"/>
        <v>190</v>
      </c>
      <c r="AM90" s="29">
        <f t="shared" si="28"/>
        <v>960</v>
      </c>
      <c r="AN90" s="19">
        <v>732</v>
      </c>
      <c r="AO90" s="21">
        <v>0</v>
      </c>
      <c r="AP90" s="22">
        <v>0</v>
      </c>
      <c r="AQ90" s="26">
        <f t="shared" si="33"/>
        <v>732</v>
      </c>
      <c r="AR90" s="37">
        <f t="shared" si="18"/>
        <v>1</v>
      </c>
      <c r="AS90" s="38">
        <f t="shared" si="30"/>
        <v>0.76249999999999996</v>
      </c>
      <c r="AT90" s="38">
        <f t="shared" si="31"/>
        <v>1</v>
      </c>
      <c r="AU90" s="27">
        <f t="shared" si="32"/>
        <v>0.76249999999999996</v>
      </c>
    </row>
    <row r="91" spans="1:47" s="1" customFormat="1" ht="21" customHeight="1" x14ac:dyDescent="0.25">
      <c r="A91" s="109">
        <v>46030</v>
      </c>
      <c r="B91" s="47" t="s">
        <v>49</v>
      </c>
      <c r="C91" s="107" t="s">
        <v>51</v>
      </c>
      <c r="D91" s="47" t="s">
        <v>124</v>
      </c>
      <c r="E91" s="48">
        <v>98992</v>
      </c>
      <c r="F91" s="48" t="s">
        <v>215</v>
      </c>
      <c r="G91" s="48" t="s">
        <v>125</v>
      </c>
      <c r="H91" s="30">
        <v>13105</v>
      </c>
      <c r="I91" s="30">
        <v>32</v>
      </c>
      <c r="J91" s="28">
        <f t="shared" si="34"/>
        <v>112.5</v>
      </c>
      <c r="K91" s="31">
        <v>0.58333333333333337</v>
      </c>
      <c r="L91" s="31">
        <v>0.9375</v>
      </c>
      <c r="M91" s="32">
        <f t="shared" si="26"/>
        <v>0.35416666666666663</v>
      </c>
      <c r="N91" s="36">
        <v>510</v>
      </c>
      <c r="O91" s="36">
        <f t="shared" si="8"/>
        <v>320</v>
      </c>
      <c r="P91" s="36">
        <f t="shared" si="27"/>
        <v>320</v>
      </c>
      <c r="Q91" s="15">
        <v>0</v>
      </c>
      <c r="R91" s="20">
        <v>0</v>
      </c>
      <c r="S91" s="16">
        <v>0</v>
      </c>
      <c r="T91" s="16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15">
        <f t="shared" si="4"/>
        <v>0</v>
      </c>
      <c r="AD91" s="15">
        <v>0</v>
      </c>
      <c r="AE91" s="15">
        <v>0</v>
      </c>
      <c r="AF91" s="15">
        <v>0</v>
      </c>
      <c r="AG91" s="15">
        <v>120</v>
      </c>
      <c r="AH91" s="15">
        <v>0</v>
      </c>
      <c r="AI91" s="15">
        <v>30</v>
      </c>
      <c r="AJ91" s="15">
        <v>10</v>
      </c>
      <c r="AK91" s="15">
        <v>30</v>
      </c>
      <c r="AL91" s="15">
        <f t="shared" si="5"/>
        <v>190</v>
      </c>
      <c r="AM91" s="29">
        <f t="shared" si="28"/>
        <v>600</v>
      </c>
      <c r="AN91" s="19">
        <v>510</v>
      </c>
      <c r="AO91" s="21">
        <v>0</v>
      </c>
      <c r="AP91" s="22">
        <v>0</v>
      </c>
      <c r="AQ91" s="26">
        <f t="shared" si="33"/>
        <v>510</v>
      </c>
      <c r="AR91" s="37">
        <f t="shared" si="18"/>
        <v>1</v>
      </c>
      <c r="AS91" s="38">
        <f t="shared" si="30"/>
        <v>0.85</v>
      </c>
      <c r="AT91" s="38">
        <f t="shared" si="31"/>
        <v>1</v>
      </c>
      <c r="AU91" s="27">
        <f t="shared" si="32"/>
        <v>0.85</v>
      </c>
    </row>
    <row r="92" spans="1:47" s="1" customFormat="1" ht="21" customHeight="1" x14ac:dyDescent="0.25">
      <c r="A92" s="109">
        <v>46030</v>
      </c>
      <c r="B92" s="47" t="s">
        <v>49</v>
      </c>
      <c r="C92" s="107" t="s">
        <v>51</v>
      </c>
      <c r="D92" s="47" t="s">
        <v>122</v>
      </c>
      <c r="E92" s="48">
        <v>98992</v>
      </c>
      <c r="F92" s="48" t="s">
        <v>169</v>
      </c>
      <c r="G92" s="48" t="s">
        <v>125</v>
      </c>
      <c r="H92" s="30">
        <v>15689</v>
      </c>
      <c r="I92" s="30">
        <v>32</v>
      </c>
      <c r="J92" s="28">
        <f t="shared" si="34"/>
        <v>112.5</v>
      </c>
      <c r="K92" s="31">
        <v>0.58333333333333337</v>
      </c>
      <c r="L92" s="31">
        <v>0.9375</v>
      </c>
      <c r="M92" s="32">
        <f t="shared" si="26"/>
        <v>0.35416666666666663</v>
      </c>
      <c r="N92" s="36">
        <v>510</v>
      </c>
      <c r="O92" s="36">
        <f t="shared" si="8"/>
        <v>440</v>
      </c>
      <c r="P92" s="36">
        <f t="shared" si="27"/>
        <v>440</v>
      </c>
      <c r="Q92" s="15">
        <v>0</v>
      </c>
      <c r="R92" s="20">
        <v>0</v>
      </c>
      <c r="S92" s="16">
        <v>0</v>
      </c>
      <c r="T92" s="16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15">
        <f t="shared" si="4"/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30</v>
      </c>
      <c r="AJ92" s="15">
        <v>10</v>
      </c>
      <c r="AK92" s="15">
        <v>30</v>
      </c>
      <c r="AL92" s="15">
        <f t="shared" si="5"/>
        <v>70</v>
      </c>
      <c r="AM92" s="29">
        <f t="shared" si="28"/>
        <v>825</v>
      </c>
      <c r="AN92" s="19">
        <v>602</v>
      </c>
      <c r="AO92" s="21">
        <v>0</v>
      </c>
      <c r="AP92" s="22">
        <v>0</v>
      </c>
      <c r="AQ92" s="26">
        <f t="shared" si="33"/>
        <v>602</v>
      </c>
      <c r="AR92" s="37">
        <f t="shared" si="18"/>
        <v>1</v>
      </c>
      <c r="AS92" s="38">
        <f t="shared" si="30"/>
        <v>0.72969696969696973</v>
      </c>
      <c r="AT92" s="38">
        <f t="shared" si="31"/>
        <v>1</v>
      </c>
      <c r="AU92" s="27">
        <f t="shared" si="32"/>
        <v>0.72969696969696973</v>
      </c>
    </row>
    <row r="93" spans="1:47" s="1" customFormat="1" ht="21" customHeight="1" x14ac:dyDescent="0.25">
      <c r="A93" s="109">
        <v>46030</v>
      </c>
      <c r="B93" s="47" t="s">
        <v>49</v>
      </c>
      <c r="C93" s="107" t="s">
        <v>51</v>
      </c>
      <c r="D93" s="47" t="s">
        <v>128</v>
      </c>
      <c r="E93" s="48">
        <v>98992</v>
      </c>
      <c r="F93" s="48" t="s">
        <v>53</v>
      </c>
      <c r="G93" s="48" t="s">
        <v>125</v>
      </c>
      <c r="H93" s="30">
        <v>15618</v>
      </c>
      <c r="I93" s="30">
        <v>32</v>
      </c>
      <c r="J93" s="28">
        <f t="shared" si="34"/>
        <v>112.5</v>
      </c>
      <c r="K93" s="31">
        <v>0.58333333333333337</v>
      </c>
      <c r="L93" s="31">
        <v>0.9375</v>
      </c>
      <c r="M93" s="32">
        <f t="shared" si="26"/>
        <v>0.35416666666666663</v>
      </c>
      <c r="N93" s="36">
        <v>510</v>
      </c>
      <c r="O93" s="36">
        <f t="shared" si="8"/>
        <v>380</v>
      </c>
      <c r="P93" s="36">
        <f t="shared" si="27"/>
        <v>380</v>
      </c>
      <c r="Q93" s="15">
        <v>0</v>
      </c>
      <c r="R93" s="20">
        <v>0</v>
      </c>
      <c r="S93" s="16">
        <v>0</v>
      </c>
      <c r="T93" s="16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15">
        <f t="shared" si="4"/>
        <v>0</v>
      </c>
      <c r="AD93" s="15">
        <v>0</v>
      </c>
      <c r="AE93" s="15">
        <v>0</v>
      </c>
      <c r="AF93" s="15">
        <v>0</v>
      </c>
      <c r="AG93" s="15">
        <v>60</v>
      </c>
      <c r="AH93" s="15">
        <v>0</v>
      </c>
      <c r="AI93" s="15">
        <v>30</v>
      </c>
      <c r="AJ93" s="15">
        <v>10</v>
      </c>
      <c r="AK93" s="15">
        <v>30</v>
      </c>
      <c r="AL93" s="15">
        <f t="shared" si="5"/>
        <v>130</v>
      </c>
      <c r="AM93" s="29">
        <f t="shared" si="28"/>
        <v>712.5</v>
      </c>
      <c r="AN93" s="19">
        <v>572</v>
      </c>
      <c r="AO93" s="21">
        <v>0</v>
      </c>
      <c r="AP93" s="22">
        <v>0</v>
      </c>
      <c r="AQ93" s="26">
        <f t="shared" si="33"/>
        <v>572</v>
      </c>
      <c r="AR93" s="37">
        <f t="shared" si="18"/>
        <v>1</v>
      </c>
      <c r="AS93" s="38">
        <f t="shared" si="30"/>
        <v>0.80280701754385964</v>
      </c>
      <c r="AT93" s="38">
        <f t="shared" si="31"/>
        <v>1</v>
      </c>
      <c r="AU93" s="27">
        <f t="shared" si="32"/>
        <v>0.80280701754385964</v>
      </c>
    </row>
    <row r="94" spans="1:47" s="1" customFormat="1" ht="21" customHeight="1" x14ac:dyDescent="0.25">
      <c r="A94" s="109">
        <v>46030</v>
      </c>
      <c r="B94" s="47" t="s">
        <v>49</v>
      </c>
      <c r="C94" s="107" t="s">
        <v>51</v>
      </c>
      <c r="D94" s="47" t="s">
        <v>170</v>
      </c>
      <c r="E94" s="48">
        <v>98992</v>
      </c>
      <c r="F94" s="48" t="s">
        <v>176</v>
      </c>
      <c r="G94" s="48" t="s">
        <v>125</v>
      </c>
      <c r="H94" s="30">
        <v>15859</v>
      </c>
      <c r="I94" s="30">
        <v>20</v>
      </c>
      <c r="J94" s="28">
        <f t="shared" si="34"/>
        <v>180</v>
      </c>
      <c r="K94" s="31">
        <v>0.58333333333333337</v>
      </c>
      <c r="L94" s="31">
        <v>0.9375</v>
      </c>
      <c r="M94" s="32">
        <f>IF(L94&gt;K94,L94-K94,1+L94-K94)</f>
        <v>0.35416666666666663</v>
      </c>
      <c r="N94" s="36">
        <v>510</v>
      </c>
      <c r="O94" s="36">
        <f t="shared" si="8"/>
        <v>240</v>
      </c>
      <c r="P94" s="36">
        <f t="shared" si="27"/>
        <v>240</v>
      </c>
      <c r="Q94" s="15">
        <v>0</v>
      </c>
      <c r="R94" s="20">
        <v>0</v>
      </c>
      <c r="S94" s="16">
        <v>0</v>
      </c>
      <c r="T94" s="16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15">
        <f t="shared" si="4"/>
        <v>0</v>
      </c>
      <c r="AD94" s="15">
        <v>0</v>
      </c>
      <c r="AE94" s="15">
        <v>0</v>
      </c>
      <c r="AF94" s="15">
        <v>0</v>
      </c>
      <c r="AG94" s="15">
        <v>200</v>
      </c>
      <c r="AH94" s="15">
        <v>0</v>
      </c>
      <c r="AI94" s="15">
        <v>30</v>
      </c>
      <c r="AJ94" s="15">
        <v>10</v>
      </c>
      <c r="AK94" s="15">
        <v>30</v>
      </c>
      <c r="AL94" s="15">
        <f t="shared" si="5"/>
        <v>270</v>
      </c>
      <c r="AM94" s="29">
        <f t="shared" si="28"/>
        <v>720</v>
      </c>
      <c r="AN94" s="19">
        <v>615</v>
      </c>
      <c r="AO94" s="21">
        <v>0</v>
      </c>
      <c r="AP94" s="22">
        <v>0</v>
      </c>
      <c r="AQ94" s="26">
        <f t="shared" si="33"/>
        <v>615</v>
      </c>
      <c r="AR94" s="37">
        <f t="shared" si="18"/>
        <v>1</v>
      </c>
      <c r="AS94" s="38">
        <f t="shared" si="30"/>
        <v>0.85416666666666663</v>
      </c>
      <c r="AT94" s="38">
        <f t="shared" si="31"/>
        <v>1</v>
      </c>
      <c r="AU94" s="27">
        <f t="shared" si="32"/>
        <v>0.85416666666666663</v>
      </c>
    </row>
    <row r="95" spans="1:47" s="1" customFormat="1" ht="21" customHeight="1" x14ac:dyDescent="0.25">
      <c r="A95" s="109">
        <v>46030</v>
      </c>
      <c r="B95" s="47" t="s">
        <v>49</v>
      </c>
      <c r="C95" s="107" t="s">
        <v>51</v>
      </c>
      <c r="D95" s="47" t="s">
        <v>172</v>
      </c>
      <c r="E95" s="48">
        <v>98992</v>
      </c>
      <c r="F95" s="48" t="s">
        <v>175</v>
      </c>
      <c r="G95" s="48" t="s">
        <v>87</v>
      </c>
      <c r="H95" s="30">
        <v>15669</v>
      </c>
      <c r="I95" s="30">
        <v>20</v>
      </c>
      <c r="J95" s="28">
        <f t="shared" si="34"/>
        <v>180</v>
      </c>
      <c r="K95" s="31">
        <v>0.58333333333333337</v>
      </c>
      <c r="L95" s="31">
        <v>0.9375</v>
      </c>
      <c r="M95" s="32">
        <f t="shared" ref="M95:M103" si="35">IF(L95&gt;K95,L95-K95,1+L95-K95)</f>
        <v>0.35416666666666663</v>
      </c>
      <c r="N95" s="36">
        <v>510</v>
      </c>
      <c r="O95" s="36">
        <f t="shared" si="8"/>
        <v>140</v>
      </c>
      <c r="P95" s="36">
        <f t="shared" si="27"/>
        <v>140</v>
      </c>
      <c r="Q95" s="15">
        <v>0</v>
      </c>
      <c r="R95" s="20">
        <v>0</v>
      </c>
      <c r="S95" s="16">
        <v>0</v>
      </c>
      <c r="T95" s="16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15">
        <f t="shared" si="4"/>
        <v>0</v>
      </c>
      <c r="AD95" s="15">
        <v>0</v>
      </c>
      <c r="AE95" s="15">
        <v>0</v>
      </c>
      <c r="AF95" s="15">
        <v>0</v>
      </c>
      <c r="AG95" s="15">
        <v>300</v>
      </c>
      <c r="AH95" s="15">
        <v>0</v>
      </c>
      <c r="AI95" s="15">
        <v>30</v>
      </c>
      <c r="AJ95" s="15">
        <v>10</v>
      </c>
      <c r="AK95" s="15">
        <v>30</v>
      </c>
      <c r="AL95" s="15">
        <f t="shared" si="5"/>
        <v>370</v>
      </c>
      <c r="AM95" s="29">
        <f t="shared" si="28"/>
        <v>420</v>
      </c>
      <c r="AN95" s="19">
        <v>324</v>
      </c>
      <c r="AO95" s="21">
        <v>0</v>
      </c>
      <c r="AP95" s="22">
        <v>0</v>
      </c>
      <c r="AQ95" s="26">
        <f t="shared" si="33"/>
        <v>324</v>
      </c>
      <c r="AR95" s="37">
        <f t="shared" si="18"/>
        <v>1</v>
      </c>
      <c r="AS95" s="38">
        <f t="shared" si="30"/>
        <v>0.77142857142857146</v>
      </c>
      <c r="AT95" s="38">
        <f t="shared" si="31"/>
        <v>1</v>
      </c>
      <c r="AU95" s="27">
        <f t="shared" si="32"/>
        <v>0.77142857142857146</v>
      </c>
    </row>
    <row r="96" spans="1:47" s="1" customFormat="1" ht="21" customHeight="1" x14ac:dyDescent="0.25">
      <c r="A96" s="109">
        <v>46031</v>
      </c>
      <c r="B96" s="47" t="s">
        <v>49</v>
      </c>
      <c r="C96" s="78" t="s">
        <v>21</v>
      </c>
      <c r="D96" s="47" t="s">
        <v>88</v>
      </c>
      <c r="E96" s="48">
        <v>98992</v>
      </c>
      <c r="F96" s="48" t="s">
        <v>126</v>
      </c>
      <c r="G96" s="48" t="s">
        <v>87</v>
      </c>
      <c r="H96" s="30">
        <v>15036</v>
      </c>
      <c r="I96" s="30">
        <v>32</v>
      </c>
      <c r="J96" s="28">
        <f t="shared" si="34"/>
        <v>112.5</v>
      </c>
      <c r="K96" s="31">
        <v>0.25</v>
      </c>
      <c r="L96" s="31">
        <v>0.60416666666666663</v>
      </c>
      <c r="M96" s="32">
        <f t="shared" si="35"/>
        <v>0.35416666666666663</v>
      </c>
      <c r="N96" s="36">
        <v>510</v>
      </c>
      <c r="O96" s="36">
        <f t="shared" si="8"/>
        <v>90</v>
      </c>
      <c r="P96" s="36">
        <f t="shared" si="27"/>
        <v>90</v>
      </c>
      <c r="Q96" s="15">
        <v>0</v>
      </c>
      <c r="R96" s="20">
        <v>0</v>
      </c>
      <c r="S96" s="16">
        <v>0</v>
      </c>
      <c r="T96" s="16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15">
        <f t="shared" si="4"/>
        <v>0</v>
      </c>
      <c r="AD96" s="15">
        <v>0</v>
      </c>
      <c r="AE96" s="15">
        <v>0</v>
      </c>
      <c r="AF96" s="15">
        <v>0</v>
      </c>
      <c r="AG96" s="15">
        <v>350</v>
      </c>
      <c r="AH96" s="15">
        <v>0</v>
      </c>
      <c r="AI96" s="15">
        <v>30</v>
      </c>
      <c r="AJ96" s="15">
        <v>10</v>
      </c>
      <c r="AK96" s="15">
        <v>30</v>
      </c>
      <c r="AL96" s="15">
        <f t="shared" si="5"/>
        <v>420</v>
      </c>
      <c r="AM96" s="29">
        <f t="shared" si="28"/>
        <v>168.75</v>
      </c>
      <c r="AN96" s="19">
        <v>140</v>
      </c>
      <c r="AO96" s="21">
        <v>0</v>
      </c>
      <c r="AP96" s="22">
        <v>0</v>
      </c>
      <c r="AQ96" s="26">
        <f t="shared" si="33"/>
        <v>140</v>
      </c>
      <c r="AR96" s="37">
        <f t="shared" si="18"/>
        <v>1</v>
      </c>
      <c r="AS96" s="38">
        <f t="shared" si="30"/>
        <v>0.82962962962962961</v>
      </c>
      <c r="AT96" s="38">
        <f t="shared" si="31"/>
        <v>1</v>
      </c>
      <c r="AU96" s="27">
        <f t="shared" si="32"/>
        <v>0.82962962962962961</v>
      </c>
    </row>
    <row r="97" spans="1:47" s="1" customFormat="1" ht="21" customHeight="1" x14ac:dyDescent="0.25">
      <c r="A97" s="109">
        <v>46031</v>
      </c>
      <c r="B97" s="47" t="s">
        <v>49</v>
      </c>
      <c r="C97" s="78" t="s">
        <v>21</v>
      </c>
      <c r="D97" s="47" t="s">
        <v>89</v>
      </c>
      <c r="E97" s="48">
        <v>98992</v>
      </c>
      <c r="F97" s="48" t="s">
        <v>169</v>
      </c>
      <c r="G97" s="48" t="s">
        <v>87</v>
      </c>
      <c r="H97" s="30">
        <v>11682</v>
      </c>
      <c r="I97" s="30">
        <v>32</v>
      </c>
      <c r="J97" s="28">
        <f t="shared" ref="J97:J106" si="36">3600/I97</f>
        <v>112.5</v>
      </c>
      <c r="K97" s="31">
        <v>0.25</v>
      </c>
      <c r="L97" s="31">
        <v>0.60416666666666663</v>
      </c>
      <c r="M97" s="32">
        <f t="shared" si="35"/>
        <v>0.35416666666666663</v>
      </c>
      <c r="N97" s="36">
        <v>510</v>
      </c>
      <c r="O97" s="36">
        <f t="shared" si="8"/>
        <v>220</v>
      </c>
      <c r="P97" s="36">
        <f t="shared" si="27"/>
        <v>220</v>
      </c>
      <c r="Q97" s="15">
        <v>0</v>
      </c>
      <c r="R97" s="20">
        <v>0</v>
      </c>
      <c r="S97" s="16">
        <v>0</v>
      </c>
      <c r="T97" s="16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15">
        <f t="shared" si="4"/>
        <v>0</v>
      </c>
      <c r="AD97" s="15">
        <v>0</v>
      </c>
      <c r="AE97" s="15">
        <v>0</v>
      </c>
      <c r="AF97" s="15">
        <v>0</v>
      </c>
      <c r="AG97" s="15">
        <v>220</v>
      </c>
      <c r="AH97" s="15">
        <v>0</v>
      </c>
      <c r="AI97" s="15">
        <v>30</v>
      </c>
      <c r="AJ97" s="15">
        <v>10</v>
      </c>
      <c r="AK97" s="15">
        <v>30</v>
      </c>
      <c r="AL97" s="15">
        <f t="shared" si="5"/>
        <v>290</v>
      </c>
      <c r="AM97" s="29">
        <f t="shared" si="28"/>
        <v>412.5</v>
      </c>
      <c r="AN97" s="19">
        <v>370</v>
      </c>
      <c r="AO97" s="21">
        <v>0</v>
      </c>
      <c r="AP97" s="22">
        <v>0</v>
      </c>
      <c r="AQ97" s="26">
        <f t="shared" si="33"/>
        <v>370</v>
      </c>
      <c r="AR97" s="37">
        <f t="shared" si="18"/>
        <v>1</v>
      </c>
      <c r="AS97" s="38">
        <f t="shared" si="30"/>
        <v>0.89696969696969697</v>
      </c>
      <c r="AT97" s="38">
        <f t="shared" si="31"/>
        <v>1</v>
      </c>
      <c r="AU97" s="27">
        <f t="shared" si="32"/>
        <v>0.89696969696969697</v>
      </c>
    </row>
    <row r="98" spans="1:47" s="1" customFormat="1" ht="21" customHeight="1" x14ac:dyDescent="0.25">
      <c r="A98" s="109">
        <v>46031</v>
      </c>
      <c r="B98" s="47" t="s">
        <v>49</v>
      </c>
      <c r="C98" s="78" t="s">
        <v>21</v>
      </c>
      <c r="D98" s="47" t="s">
        <v>52</v>
      </c>
      <c r="E98" s="48">
        <v>98992</v>
      </c>
      <c r="F98" s="48" t="s">
        <v>53</v>
      </c>
      <c r="G98" s="48" t="s">
        <v>87</v>
      </c>
      <c r="H98" s="30">
        <v>15676</v>
      </c>
      <c r="I98" s="30">
        <v>32</v>
      </c>
      <c r="J98" s="28">
        <f t="shared" si="36"/>
        <v>112.5</v>
      </c>
      <c r="K98" s="31">
        <v>0.25</v>
      </c>
      <c r="L98" s="31">
        <v>0.60416666666666663</v>
      </c>
      <c r="M98" s="32">
        <f t="shared" si="35"/>
        <v>0.35416666666666663</v>
      </c>
      <c r="N98" s="36">
        <v>510</v>
      </c>
      <c r="O98" s="36">
        <f t="shared" si="8"/>
        <v>320</v>
      </c>
      <c r="P98" s="36">
        <f t="shared" si="27"/>
        <v>320</v>
      </c>
      <c r="Q98" s="15">
        <v>0</v>
      </c>
      <c r="R98" s="20">
        <v>0</v>
      </c>
      <c r="S98" s="16">
        <v>0</v>
      </c>
      <c r="T98" s="16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15">
        <f t="shared" si="4"/>
        <v>0</v>
      </c>
      <c r="AD98" s="15">
        <v>0</v>
      </c>
      <c r="AE98" s="15">
        <v>0</v>
      </c>
      <c r="AF98" s="15">
        <v>0</v>
      </c>
      <c r="AG98" s="15">
        <v>120</v>
      </c>
      <c r="AH98" s="15">
        <v>0</v>
      </c>
      <c r="AI98" s="15">
        <v>30</v>
      </c>
      <c r="AJ98" s="15">
        <v>10</v>
      </c>
      <c r="AK98" s="15">
        <v>30</v>
      </c>
      <c r="AL98" s="15">
        <f t="shared" si="5"/>
        <v>190</v>
      </c>
      <c r="AM98" s="29">
        <f t="shared" si="28"/>
        <v>600</v>
      </c>
      <c r="AN98" s="19">
        <v>580</v>
      </c>
      <c r="AO98" s="21">
        <v>0</v>
      </c>
      <c r="AP98" s="22">
        <v>0</v>
      </c>
      <c r="AQ98" s="26">
        <f t="shared" si="33"/>
        <v>580</v>
      </c>
      <c r="AR98" s="37">
        <f t="shared" si="18"/>
        <v>1</v>
      </c>
      <c r="AS98" s="38">
        <f t="shared" si="30"/>
        <v>0.96666666666666667</v>
      </c>
      <c r="AT98" s="38">
        <f t="shared" si="31"/>
        <v>1</v>
      </c>
      <c r="AU98" s="27">
        <f t="shared" si="32"/>
        <v>0.96666666666666667</v>
      </c>
    </row>
    <row r="99" spans="1:47" s="1" customFormat="1" ht="21" customHeight="1" x14ac:dyDescent="0.25">
      <c r="A99" s="109">
        <v>46031</v>
      </c>
      <c r="B99" s="47" t="s">
        <v>49</v>
      </c>
      <c r="C99" s="78" t="s">
        <v>21</v>
      </c>
      <c r="D99" s="47" t="s">
        <v>86</v>
      </c>
      <c r="E99" s="48">
        <v>98992</v>
      </c>
      <c r="F99" s="48" t="s">
        <v>176</v>
      </c>
      <c r="G99" s="48" t="s">
        <v>87</v>
      </c>
      <c r="H99" s="30">
        <v>15733</v>
      </c>
      <c r="I99" s="30">
        <v>20</v>
      </c>
      <c r="J99" s="28">
        <f t="shared" si="36"/>
        <v>180</v>
      </c>
      <c r="K99" s="31">
        <v>0.25</v>
      </c>
      <c r="L99" s="31">
        <v>0.60416666666666663</v>
      </c>
      <c r="M99" s="32">
        <f t="shared" si="35"/>
        <v>0.35416666666666663</v>
      </c>
      <c r="N99" s="36">
        <v>510</v>
      </c>
      <c r="O99" s="36">
        <f t="shared" si="8"/>
        <v>320</v>
      </c>
      <c r="P99" s="36">
        <f t="shared" si="27"/>
        <v>320</v>
      </c>
      <c r="Q99" s="15">
        <v>0</v>
      </c>
      <c r="R99" s="20">
        <v>0</v>
      </c>
      <c r="S99" s="16">
        <v>0</v>
      </c>
      <c r="T99" s="16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15">
        <f t="shared" si="4"/>
        <v>0</v>
      </c>
      <c r="AD99" s="15">
        <v>0</v>
      </c>
      <c r="AE99" s="15">
        <v>0</v>
      </c>
      <c r="AF99" s="15">
        <v>0</v>
      </c>
      <c r="AG99" s="15">
        <v>120</v>
      </c>
      <c r="AH99" s="15">
        <v>0</v>
      </c>
      <c r="AI99" s="15">
        <v>30</v>
      </c>
      <c r="AJ99" s="15">
        <v>10</v>
      </c>
      <c r="AK99" s="15">
        <v>30</v>
      </c>
      <c r="AL99" s="15">
        <f t="shared" si="5"/>
        <v>190</v>
      </c>
      <c r="AM99" s="29">
        <f t="shared" si="28"/>
        <v>960</v>
      </c>
      <c r="AN99" s="19">
        <v>850</v>
      </c>
      <c r="AO99" s="21">
        <v>0</v>
      </c>
      <c r="AP99" s="22">
        <v>1</v>
      </c>
      <c r="AQ99" s="26">
        <f t="shared" si="33"/>
        <v>849</v>
      </c>
      <c r="AR99" s="37">
        <f t="shared" si="18"/>
        <v>1</v>
      </c>
      <c r="AS99" s="38">
        <f t="shared" si="30"/>
        <v>0.88541666666666663</v>
      </c>
      <c r="AT99" s="38">
        <f t="shared" si="31"/>
        <v>0.99882352941176467</v>
      </c>
      <c r="AU99" s="27">
        <f t="shared" si="32"/>
        <v>0.88437499999999991</v>
      </c>
    </row>
    <row r="100" spans="1:47" s="1" customFormat="1" ht="21" customHeight="1" x14ac:dyDescent="0.25">
      <c r="A100" s="109">
        <v>46031</v>
      </c>
      <c r="B100" s="47" t="s">
        <v>49</v>
      </c>
      <c r="C100" s="78" t="s">
        <v>21</v>
      </c>
      <c r="D100" s="47" t="s">
        <v>172</v>
      </c>
      <c r="E100" s="48">
        <v>98992</v>
      </c>
      <c r="F100" s="48" t="s">
        <v>175</v>
      </c>
      <c r="G100" s="48" t="s">
        <v>87</v>
      </c>
      <c r="H100" s="30">
        <v>15838</v>
      </c>
      <c r="I100" s="30">
        <v>20</v>
      </c>
      <c r="J100" s="28">
        <f t="shared" si="36"/>
        <v>180</v>
      </c>
      <c r="K100" s="31">
        <v>0.25</v>
      </c>
      <c r="L100" s="31">
        <v>0.60416666666666663</v>
      </c>
      <c r="M100" s="32">
        <f t="shared" si="35"/>
        <v>0.35416666666666663</v>
      </c>
      <c r="N100" s="36">
        <v>510</v>
      </c>
      <c r="O100" s="36">
        <f t="shared" si="8"/>
        <v>190</v>
      </c>
      <c r="P100" s="36">
        <f t="shared" si="27"/>
        <v>190</v>
      </c>
      <c r="Q100" s="15">
        <v>0</v>
      </c>
      <c r="R100" s="20">
        <v>0</v>
      </c>
      <c r="S100" s="16">
        <v>0</v>
      </c>
      <c r="T100" s="16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15">
        <f t="shared" si="4"/>
        <v>0</v>
      </c>
      <c r="AD100" s="15">
        <v>0</v>
      </c>
      <c r="AE100" s="15">
        <v>0</v>
      </c>
      <c r="AF100" s="15">
        <v>0</v>
      </c>
      <c r="AG100" s="15">
        <v>250</v>
      </c>
      <c r="AH100" s="15">
        <v>0</v>
      </c>
      <c r="AI100" s="15">
        <v>30</v>
      </c>
      <c r="AJ100" s="15">
        <v>10</v>
      </c>
      <c r="AK100" s="15">
        <v>30</v>
      </c>
      <c r="AL100" s="15">
        <f t="shared" si="5"/>
        <v>320</v>
      </c>
      <c r="AM100" s="29">
        <f t="shared" si="28"/>
        <v>570</v>
      </c>
      <c r="AN100" s="19">
        <v>421</v>
      </c>
      <c r="AO100" s="21">
        <v>0</v>
      </c>
      <c r="AP100" s="22">
        <v>0</v>
      </c>
      <c r="AQ100" s="26">
        <f t="shared" si="33"/>
        <v>421</v>
      </c>
      <c r="AR100" s="37">
        <f t="shared" ref="AR100:AR106" si="37">O100/P100</f>
        <v>1</v>
      </c>
      <c r="AS100" s="38">
        <f t="shared" si="30"/>
        <v>0.73859649122807014</v>
      </c>
      <c r="AT100" s="38">
        <f t="shared" si="31"/>
        <v>1</v>
      </c>
      <c r="AU100" s="27">
        <f t="shared" si="32"/>
        <v>0.73859649122807014</v>
      </c>
    </row>
    <row r="101" spans="1:47" s="1" customFormat="1" ht="21" customHeight="1" x14ac:dyDescent="0.25">
      <c r="A101" s="109">
        <v>46031</v>
      </c>
      <c r="B101" s="47" t="s">
        <v>49</v>
      </c>
      <c r="C101" s="78" t="s">
        <v>21</v>
      </c>
      <c r="D101" s="47" t="s">
        <v>128</v>
      </c>
      <c r="E101" s="48">
        <v>98992</v>
      </c>
      <c r="F101" s="48" t="s">
        <v>53</v>
      </c>
      <c r="G101" s="48" t="s">
        <v>125</v>
      </c>
      <c r="H101" s="30">
        <v>15126</v>
      </c>
      <c r="I101" s="30">
        <v>32</v>
      </c>
      <c r="J101" s="28">
        <f t="shared" si="36"/>
        <v>112.5</v>
      </c>
      <c r="K101" s="31">
        <v>0.25</v>
      </c>
      <c r="L101" s="31">
        <v>0.60416666666666663</v>
      </c>
      <c r="M101" s="32">
        <f t="shared" si="35"/>
        <v>0.35416666666666663</v>
      </c>
      <c r="N101" s="36">
        <v>510</v>
      </c>
      <c r="O101" s="36">
        <f t="shared" si="8"/>
        <v>260</v>
      </c>
      <c r="P101" s="36">
        <f t="shared" si="27"/>
        <v>260</v>
      </c>
      <c r="Q101" s="15">
        <v>0</v>
      </c>
      <c r="R101" s="20">
        <v>0</v>
      </c>
      <c r="S101" s="16">
        <v>0</v>
      </c>
      <c r="T101" s="16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15">
        <f t="shared" si="4"/>
        <v>0</v>
      </c>
      <c r="AD101" s="15">
        <v>0</v>
      </c>
      <c r="AE101" s="15">
        <v>0</v>
      </c>
      <c r="AF101" s="15">
        <v>0</v>
      </c>
      <c r="AG101" s="15">
        <v>180</v>
      </c>
      <c r="AH101" s="15">
        <v>0</v>
      </c>
      <c r="AI101" s="15">
        <v>30</v>
      </c>
      <c r="AJ101" s="15">
        <v>10</v>
      </c>
      <c r="AK101" s="15">
        <v>30</v>
      </c>
      <c r="AL101" s="15">
        <f t="shared" si="5"/>
        <v>250</v>
      </c>
      <c r="AM101" s="29">
        <f t="shared" si="28"/>
        <v>487.5</v>
      </c>
      <c r="AN101" s="19">
        <v>400</v>
      </c>
      <c r="AO101" s="21">
        <v>0</v>
      </c>
      <c r="AP101" s="22">
        <v>0</v>
      </c>
      <c r="AQ101" s="26">
        <f t="shared" si="33"/>
        <v>400</v>
      </c>
      <c r="AR101" s="37">
        <f t="shared" si="37"/>
        <v>1</v>
      </c>
      <c r="AS101" s="38">
        <f t="shared" si="30"/>
        <v>0.82051282051282048</v>
      </c>
      <c r="AT101" s="38">
        <f t="shared" si="31"/>
        <v>1</v>
      </c>
      <c r="AU101" s="27">
        <f t="shared" si="32"/>
        <v>0.82051282051282048</v>
      </c>
    </row>
    <row r="102" spans="1:47" s="1" customFormat="1" ht="21" customHeight="1" x14ac:dyDescent="0.25">
      <c r="A102" s="109">
        <v>46031</v>
      </c>
      <c r="B102" s="47" t="s">
        <v>49</v>
      </c>
      <c r="C102" s="78" t="s">
        <v>21</v>
      </c>
      <c r="D102" s="47" t="s">
        <v>170</v>
      </c>
      <c r="E102" s="48">
        <v>98992</v>
      </c>
      <c r="F102" s="48" t="s">
        <v>176</v>
      </c>
      <c r="G102" s="48" t="s">
        <v>125</v>
      </c>
      <c r="H102" s="30">
        <v>15036</v>
      </c>
      <c r="I102" s="30">
        <v>20</v>
      </c>
      <c r="J102" s="28">
        <f t="shared" si="36"/>
        <v>180</v>
      </c>
      <c r="K102" s="31">
        <v>0.25</v>
      </c>
      <c r="L102" s="31">
        <v>0.60416666666666663</v>
      </c>
      <c r="M102" s="32">
        <f t="shared" si="35"/>
        <v>0.35416666666666663</v>
      </c>
      <c r="N102" s="36">
        <v>510</v>
      </c>
      <c r="O102" s="36">
        <f t="shared" si="8"/>
        <v>60</v>
      </c>
      <c r="P102" s="36">
        <f t="shared" si="27"/>
        <v>60</v>
      </c>
      <c r="Q102" s="15">
        <v>0</v>
      </c>
      <c r="R102" s="20">
        <v>0</v>
      </c>
      <c r="S102" s="16">
        <v>0</v>
      </c>
      <c r="T102" s="16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15">
        <f t="shared" si="4"/>
        <v>0</v>
      </c>
      <c r="AD102" s="15">
        <v>0</v>
      </c>
      <c r="AE102" s="15">
        <v>0</v>
      </c>
      <c r="AF102" s="15">
        <v>0</v>
      </c>
      <c r="AG102" s="15">
        <v>380</v>
      </c>
      <c r="AH102" s="15">
        <v>0</v>
      </c>
      <c r="AI102" s="15">
        <v>30</v>
      </c>
      <c r="AJ102" s="15">
        <v>10</v>
      </c>
      <c r="AK102" s="15">
        <v>30</v>
      </c>
      <c r="AL102" s="15">
        <f t="shared" si="5"/>
        <v>450</v>
      </c>
      <c r="AM102" s="29">
        <f t="shared" si="28"/>
        <v>180</v>
      </c>
      <c r="AN102" s="19">
        <v>156</v>
      </c>
      <c r="AO102" s="21">
        <v>0</v>
      </c>
      <c r="AP102" s="22">
        <v>0</v>
      </c>
      <c r="AQ102" s="26">
        <f t="shared" si="33"/>
        <v>156</v>
      </c>
      <c r="AR102" s="37">
        <f t="shared" si="37"/>
        <v>1</v>
      </c>
      <c r="AS102" s="38">
        <f t="shared" si="30"/>
        <v>0.8666666666666667</v>
      </c>
      <c r="AT102" s="38">
        <f t="shared" si="31"/>
        <v>1</v>
      </c>
      <c r="AU102" s="27">
        <f t="shared" si="32"/>
        <v>0.8666666666666667</v>
      </c>
    </row>
    <row r="103" spans="1:47" s="1" customFormat="1" ht="21" customHeight="1" x14ac:dyDescent="0.25">
      <c r="A103" s="109">
        <v>46031</v>
      </c>
      <c r="B103" s="47" t="s">
        <v>49</v>
      </c>
      <c r="C103" s="78" t="s">
        <v>21</v>
      </c>
      <c r="D103" s="47" t="s">
        <v>127</v>
      </c>
      <c r="E103" s="48">
        <v>98992</v>
      </c>
      <c r="F103" s="48" t="s">
        <v>175</v>
      </c>
      <c r="G103" s="48" t="s">
        <v>125</v>
      </c>
      <c r="H103" s="30">
        <v>15882</v>
      </c>
      <c r="I103" s="30">
        <v>20</v>
      </c>
      <c r="J103" s="28">
        <f t="shared" si="36"/>
        <v>180</v>
      </c>
      <c r="K103" s="31">
        <v>0.25</v>
      </c>
      <c r="L103" s="31">
        <v>0.60416666666666663</v>
      </c>
      <c r="M103" s="32">
        <f t="shared" si="35"/>
        <v>0.35416666666666663</v>
      </c>
      <c r="N103" s="36">
        <v>510</v>
      </c>
      <c r="O103" s="36">
        <f t="shared" si="8"/>
        <v>220</v>
      </c>
      <c r="P103" s="36">
        <f t="shared" si="27"/>
        <v>220</v>
      </c>
      <c r="Q103" s="15">
        <v>0</v>
      </c>
      <c r="R103" s="20">
        <v>0</v>
      </c>
      <c r="S103" s="16">
        <v>0</v>
      </c>
      <c r="T103" s="16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15">
        <f t="shared" si="4"/>
        <v>0</v>
      </c>
      <c r="AD103" s="15">
        <v>0</v>
      </c>
      <c r="AE103" s="15">
        <v>0</v>
      </c>
      <c r="AF103" s="15">
        <v>0</v>
      </c>
      <c r="AG103" s="15">
        <v>220</v>
      </c>
      <c r="AH103" s="15">
        <v>0</v>
      </c>
      <c r="AI103" s="15">
        <v>30</v>
      </c>
      <c r="AJ103" s="15">
        <v>10</v>
      </c>
      <c r="AK103" s="15">
        <v>30</v>
      </c>
      <c r="AL103" s="15">
        <f t="shared" si="5"/>
        <v>290</v>
      </c>
      <c r="AM103" s="29">
        <f t="shared" si="28"/>
        <v>660</v>
      </c>
      <c r="AN103" s="19">
        <v>480</v>
      </c>
      <c r="AO103" s="21">
        <v>0</v>
      </c>
      <c r="AP103" s="22">
        <v>0</v>
      </c>
      <c r="AQ103" s="26">
        <f t="shared" si="33"/>
        <v>480</v>
      </c>
      <c r="AR103" s="37">
        <f t="shared" si="37"/>
        <v>1</v>
      </c>
      <c r="AS103" s="38">
        <f t="shared" si="30"/>
        <v>0.72727272727272729</v>
      </c>
      <c r="AT103" s="38">
        <f t="shared" si="31"/>
        <v>1</v>
      </c>
      <c r="AU103" s="27">
        <f t="shared" si="32"/>
        <v>0.72727272727272729</v>
      </c>
    </row>
    <row r="104" spans="1:47" s="1" customFormat="1" ht="21" customHeight="1" x14ac:dyDescent="0.25">
      <c r="A104" s="109">
        <v>46031</v>
      </c>
      <c r="B104" s="47" t="s">
        <v>49</v>
      </c>
      <c r="C104" s="78" t="s">
        <v>21</v>
      </c>
      <c r="D104" s="47" t="s">
        <v>94</v>
      </c>
      <c r="E104" s="48">
        <v>98992</v>
      </c>
      <c r="F104" s="48" t="s">
        <v>67</v>
      </c>
      <c r="G104" s="48" t="s">
        <v>174</v>
      </c>
      <c r="H104" s="30">
        <v>14033</v>
      </c>
      <c r="I104" s="30">
        <v>24</v>
      </c>
      <c r="J104" s="28">
        <f t="shared" si="36"/>
        <v>150</v>
      </c>
      <c r="K104" s="31">
        <v>0.25</v>
      </c>
      <c r="L104" s="31">
        <v>0.60416666666666663</v>
      </c>
      <c r="M104" s="32">
        <f t="shared" ref="M104:M165" si="38">IF(L104&gt;K104,L104-K104,1+L104-K104)</f>
        <v>0.35416666666666663</v>
      </c>
      <c r="N104" s="36">
        <v>510</v>
      </c>
      <c r="O104" s="36">
        <f t="shared" si="8"/>
        <v>260</v>
      </c>
      <c r="P104" s="36">
        <f t="shared" si="27"/>
        <v>260</v>
      </c>
      <c r="Q104" s="15">
        <v>0</v>
      </c>
      <c r="R104" s="20">
        <v>0</v>
      </c>
      <c r="S104" s="16">
        <v>0</v>
      </c>
      <c r="T104" s="16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15">
        <f t="shared" si="4"/>
        <v>0</v>
      </c>
      <c r="AD104" s="15">
        <v>0</v>
      </c>
      <c r="AE104" s="15">
        <v>0</v>
      </c>
      <c r="AF104" s="15">
        <v>0</v>
      </c>
      <c r="AG104" s="15">
        <v>180</v>
      </c>
      <c r="AH104" s="15">
        <v>0</v>
      </c>
      <c r="AI104" s="15">
        <v>30</v>
      </c>
      <c r="AJ104" s="15">
        <v>10</v>
      </c>
      <c r="AK104" s="15">
        <v>30</v>
      </c>
      <c r="AL104" s="15">
        <f t="shared" si="5"/>
        <v>250</v>
      </c>
      <c r="AM104" s="29">
        <f t="shared" si="28"/>
        <v>650</v>
      </c>
      <c r="AN104" s="19">
        <v>600</v>
      </c>
      <c r="AO104" s="21">
        <v>0</v>
      </c>
      <c r="AP104" s="22">
        <v>0</v>
      </c>
      <c r="AQ104" s="26">
        <f t="shared" si="33"/>
        <v>600</v>
      </c>
      <c r="AR104" s="37">
        <f t="shared" si="37"/>
        <v>1</v>
      </c>
      <c r="AS104" s="38">
        <f t="shared" si="30"/>
        <v>0.92307692307692313</v>
      </c>
      <c r="AT104" s="38">
        <f t="shared" si="31"/>
        <v>1</v>
      </c>
      <c r="AU104" s="27">
        <f t="shared" si="32"/>
        <v>0.92307692307692313</v>
      </c>
    </row>
    <row r="105" spans="1:47" s="1" customFormat="1" ht="21" customHeight="1" x14ac:dyDescent="0.25">
      <c r="A105" s="109">
        <v>46031</v>
      </c>
      <c r="B105" s="47" t="s">
        <v>49</v>
      </c>
      <c r="C105" s="78" t="s">
        <v>51</v>
      </c>
      <c r="D105" s="47" t="s">
        <v>88</v>
      </c>
      <c r="E105" s="48">
        <v>98992</v>
      </c>
      <c r="F105" s="48" t="s">
        <v>126</v>
      </c>
      <c r="G105" s="48" t="s">
        <v>87</v>
      </c>
      <c r="H105" s="30">
        <v>15114</v>
      </c>
      <c r="I105" s="30">
        <v>32</v>
      </c>
      <c r="J105" s="28">
        <f t="shared" si="36"/>
        <v>112.5</v>
      </c>
      <c r="K105" s="31">
        <v>0.58333333333333337</v>
      </c>
      <c r="L105" s="31">
        <v>0.9375</v>
      </c>
      <c r="M105" s="32">
        <f t="shared" si="38"/>
        <v>0.35416666666666663</v>
      </c>
      <c r="N105" s="36">
        <v>510</v>
      </c>
      <c r="O105" s="36">
        <f t="shared" si="8"/>
        <v>440</v>
      </c>
      <c r="P105" s="36">
        <f t="shared" si="27"/>
        <v>440</v>
      </c>
      <c r="Q105" s="15">
        <v>0</v>
      </c>
      <c r="R105" s="20">
        <v>0</v>
      </c>
      <c r="S105" s="16">
        <v>0</v>
      </c>
      <c r="T105" s="16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15">
        <f t="shared" si="4"/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30</v>
      </c>
      <c r="AJ105" s="15">
        <v>10</v>
      </c>
      <c r="AK105" s="15">
        <v>30</v>
      </c>
      <c r="AL105" s="15">
        <f t="shared" si="5"/>
        <v>70</v>
      </c>
      <c r="AM105" s="29">
        <f t="shared" si="28"/>
        <v>825</v>
      </c>
      <c r="AN105" s="19">
        <v>675</v>
      </c>
      <c r="AO105" s="21">
        <v>0</v>
      </c>
      <c r="AP105" s="22">
        <v>1</v>
      </c>
      <c r="AQ105" s="26">
        <f t="shared" si="33"/>
        <v>674</v>
      </c>
      <c r="AR105" s="37">
        <f t="shared" si="37"/>
        <v>1</v>
      </c>
      <c r="AS105" s="38">
        <f t="shared" si="30"/>
        <v>0.81818181818181823</v>
      </c>
      <c r="AT105" s="38">
        <f t="shared" si="31"/>
        <v>0.99851851851851847</v>
      </c>
      <c r="AU105" s="27">
        <f t="shared" si="32"/>
        <v>0.81696969696969701</v>
      </c>
    </row>
    <row r="106" spans="1:47" s="1" customFormat="1" ht="21" customHeight="1" x14ac:dyDescent="0.25">
      <c r="A106" s="109">
        <v>46031</v>
      </c>
      <c r="B106" s="47" t="s">
        <v>49</v>
      </c>
      <c r="C106" s="78" t="s">
        <v>51</v>
      </c>
      <c r="D106" s="47" t="s">
        <v>89</v>
      </c>
      <c r="E106" s="48">
        <v>98992</v>
      </c>
      <c r="F106" s="48" t="s">
        <v>169</v>
      </c>
      <c r="G106" s="48" t="s">
        <v>87</v>
      </c>
      <c r="H106" s="30">
        <v>16219</v>
      </c>
      <c r="I106" s="30">
        <v>32</v>
      </c>
      <c r="J106" s="28">
        <f t="shared" si="36"/>
        <v>112.5</v>
      </c>
      <c r="K106" s="31">
        <v>0.58333333333333337</v>
      </c>
      <c r="L106" s="31">
        <v>0.9375</v>
      </c>
      <c r="M106" s="32">
        <f t="shared" si="38"/>
        <v>0.35416666666666663</v>
      </c>
      <c r="N106" s="36">
        <v>510</v>
      </c>
      <c r="O106" s="36">
        <f t="shared" si="8"/>
        <v>260</v>
      </c>
      <c r="P106" s="36">
        <f t="shared" si="27"/>
        <v>260</v>
      </c>
      <c r="Q106" s="15">
        <v>0</v>
      </c>
      <c r="R106" s="20">
        <v>0</v>
      </c>
      <c r="S106" s="16">
        <v>0</v>
      </c>
      <c r="T106" s="16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15">
        <f t="shared" si="4"/>
        <v>0</v>
      </c>
      <c r="AD106" s="15">
        <v>0</v>
      </c>
      <c r="AE106" s="15">
        <v>0</v>
      </c>
      <c r="AF106" s="15">
        <v>0</v>
      </c>
      <c r="AG106" s="15">
        <v>180</v>
      </c>
      <c r="AH106" s="15">
        <v>0</v>
      </c>
      <c r="AI106" s="15">
        <v>30</v>
      </c>
      <c r="AJ106" s="15">
        <v>10</v>
      </c>
      <c r="AK106" s="15">
        <v>30</v>
      </c>
      <c r="AL106" s="15">
        <f t="shared" si="5"/>
        <v>250</v>
      </c>
      <c r="AM106" s="29">
        <f t="shared" si="28"/>
        <v>487.5</v>
      </c>
      <c r="AN106" s="19">
        <v>423</v>
      </c>
      <c r="AO106" s="21">
        <v>0</v>
      </c>
      <c r="AP106" s="22">
        <v>0</v>
      </c>
      <c r="AQ106" s="26">
        <f t="shared" si="33"/>
        <v>423</v>
      </c>
      <c r="AR106" s="37">
        <f t="shared" si="37"/>
        <v>1</v>
      </c>
      <c r="AS106" s="38">
        <f t="shared" si="30"/>
        <v>0.86769230769230765</v>
      </c>
      <c r="AT106" s="38">
        <f t="shared" si="31"/>
        <v>1</v>
      </c>
      <c r="AU106" s="27">
        <f t="shared" si="32"/>
        <v>0.86769230769230765</v>
      </c>
    </row>
    <row r="107" spans="1:47" s="1" customFormat="1" ht="21" customHeight="1" x14ac:dyDescent="0.25">
      <c r="A107" s="109">
        <v>46031</v>
      </c>
      <c r="B107" s="47" t="s">
        <v>49</v>
      </c>
      <c r="C107" s="78" t="s">
        <v>51</v>
      </c>
      <c r="D107" s="47" t="s">
        <v>52</v>
      </c>
      <c r="E107" s="48">
        <v>98992</v>
      </c>
      <c r="F107" s="48" t="s">
        <v>53</v>
      </c>
      <c r="G107" s="48" t="s">
        <v>87</v>
      </c>
      <c r="H107" s="30">
        <v>15669</v>
      </c>
      <c r="I107" s="30">
        <v>32</v>
      </c>
      <c r="J107" s="28">
        <f t="shared" ref="J107:J114" si="39">3600/I107</f>
        <v>112.5</v>
      </c>
      <c r="K107" s="31">
        <v>0.58333333333333337</v>
      </c>
      <c r="L107" s="31">
        <v>0.9375</v>
      </c>
      <c r="M107" s="32">
        <f t="shared" si="38"/>
        <v>0.35416666666666663</v>
      </c>
      <c r="N107" s="36">
        <v>510</v>
      </c>
      <c r="O107" s="36">
        <f t="shared" si="8"/>
        <v>260</v>
      </c>
      <c r="P107" s="36">
        <f t="shared" si="27"/>
        <v>260</v>
      </c>
      <c r="Q107" s="15">
        <v>0</v>
      </c>
      <c r="R107" s="20">
        <v>0</v>
      </c>
      <c r="S107" s="16">
        <v>0</v>
      </c>
      <c r="T107" s="16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15">
        <f t="shared" si="4"/>
        <v>0</v>
      </c>
      <c r="AD107" s="15">
        <v>0</v>
      </c>
      <c r="AE107" s="15">
        <v>0</v>
      </c>
      <c r="AF107" s="15">
        <v>0</v>
      </c>
      <c r="AG107" s="15">
        <v>180</v>
      </c>
      <c r="AH107" s="15">
        <v>0</v>
      </c>
      <c r="AI107" s="15">
        <v>30</v>
      </c>
      <c r="AJ107" s="15">
        <v>10</v>
      </c>
      <c r="AK107" s="15">
        <v>30</v>
      </c>
      <c r="AL107" s="15">
        <f t="shared" si="5"/>
        <v>250</v>
      </c>
      <c r="AM107" s="29">
        <f t="shared" si="28"/>
        <v>487.5</v>
      </c>
      <c r="AN107" s="19">
        <v>422</v>
      </c>
      <c r="AO107" s="21">
        <v>0</v>
      </c>
      <c r="AP107" s="22">
        <v>1</v>
      </c>
      <c r="AQ107" s="26">
        <f t="shared" si="33"/>
        <v>421</v>
      </c>
      <c r="AR107" s="37">
        <f t="shared" ref="AR107:AR147" si="40">O107/P107</f>
        <v>1</v>
      </c>
      <c r="AS107" s="38">
        <f t="shared" ref="AS107:AS147" si="41">AN107/AM107</f>
        <v>0.86564102564102563</v>
      </c>
      <c r="AT107" s="38">
        <f t="shared" ref="AT107:AT147" si="42">AQ107/AN107</f>
        <v>0.99763033175355453</v>
      </c>
      <c r="AU107" s="27">
        <f t="shared" ref="AU107:AU147" si="43">AR107*AS107*AT107</f>
        <v>0.86358974358974361</v>
      </c>
    </row>
    <row r="108" spans="1:47" s="1" customFormat="1" ht="21" customHeight="1" x14ac:dyDescent="0.25">
      <c r="A108" s="109">
        <v>46031</v>
      </c>
      <c r="B108" s="47" t="s">
        <v>49</v>
      </c>
      <c r="C108" s="78" t="s">
        <v>51</v>
      </c>
      <c r="D108" s="47" t="s">
        <v>86</v>
      </c>
      <c r="E108" s="48">
        <v>98992</v>
      </c>
      <c r="F108" s="48" t="s">
        <v>176</v>
      </c>
      <c r="G108" s="48" t="s">
        <v>87</v>
      </c>
      <c r="H108" s="30">
        <v>15859</v>
      </c>
      <c r="I108" s="30">
        <v>20</v>
      </c>
      <c r="J108" s="28">
        <f t="shared" si="39"/>
        <v>180</v>
      </c>
      <c r="K108" s="31">
        <v>0.58333333333333337</v>
      </c>
      <c r="L108" s="31">
        <v>0.9375</v>
      </c>
      <c r="M108" s="32">
        <f t="shared" si="38"/>
        <v>0.35416666666666663</v>
      </c>
      <c r="N108" s="36">
        <v>510</v>
      </c>
      <c r="O108" s="36">
        <f t="shared" si="8"/>
        <v>190</v>
      </c>
      <c r="P108" s="36">
        <f t="shared" si="27"/>
        <v>190</v>
      </c>
      <c r="Q108" s="15">
        <v>0</v>
      </c>
      <c r="R108" s="20">
        <v>0</v>
      </c>
      <c r="S108" s="16">
        <v>0</v>
      </c>
      <c r="T108" s="16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15">
        <f t="shared" si="4"/>
        <v>0</v>
      </c>
      <c r="AD108" s="15">
        <v>0</v>
      </c>
      <c r="AE108" s="15">
        <v>0</v>
      </c>
      <c r="AF108" s="15">
        <v>0</v>
      </c>
      <c r="AG108" s="15">
        <v>250</v>
      </c>
      <c r="AH108" s="15">
        <v>0</v>
      </c>
      <c r="AI108" s="15">
        <v>30</v>
      </c>
      <c r="AJ108" s="15">
        <v>10</v>
      </c>
      <c r="AK108" s="15">
        <v>30</v>
      </c>
      <c r="AL108" s="15">
        <f t="shared" si="5"/>
        <v>320</v>
      </c>
      <c r="AM108" s="29">
        <f t="shared" si="28"/>
        <v>570</v>
      </c>
      <c r="AN108" s="19">
        <v>468</v>
      </c>
      <c r="AO108" s="21">
        <v>0</v>
      </c>
      <c r="AP108" s="22">
        <v>0</v>
      </c>
      <c r="AQ108" s="26">
        <f t="shared" si="33"/>
        <v>468</v>
      </c>
      <c r="AR108" s="37">
        <f t="shared" si="40"/>
        <v>1</v>
      </c>
      <c r="AS108" s="38">
        <f t="shared" si="41"/>
        <v>0.82105263157894737</v>
      </c>
      <c r="AT108" s="38">
        <f t="shared" si="42"/>
        <v>1</v>
      </c>
      <c r="AU108" s="27">
        <f t="shared" si="43"/>
        <v>0.82105263157894737</v>
      </c>
    </row>
    <row r="109" spans="1:47" s="1" customFormat="1" ht="21" customHeight="1" x14ac:dyDescent="0.25">
      <c r="A109" s="109">
        <v>46031</v>
      </c>
      <c r="B109" s="47" t="s">
        <v>49</v>
      </c>
      <c r="C109" s="78" t="s">
        <v>51</v>
      </c>
      <c r="D109" s="47" t="s">
        <v>94</v>
      </c>
      <c r="E109" s="48">
        <v>98992</v>
      </c>
      <c r="F109" s="48" t="s">
        <v>67</v>
      </c>
      <c r="G109" s="48" t="s">
        <v>174</v>
      </c>
      <c r="H109" s="30">
        <v>15726</v>
      </c>
      <c r="I109" s="30">
        <v>26</v>
      </c>
      <c r="J109" s="28">
        <f t="shared" si="39"/>
        <v>138.46153846153845</v>
      </c>
      <c r="K109" s="31">
        <v>0.58333333333333337</v>
      </c>
      <c r="L109" s="31">
        <v>0.9375</v>
      </c>
      <c r="M109" s="32">
        <f t="shared" si="38"/>
        <v>0.35416666666666663</v>
      </c>
      <c r="N109" s="36">
        <v>510</v>
      </c>
      <c r="O109" s="36">
        <f t="shared" si="8"/>
        <v>440</v>
      </c>
      <c r="P109" s="36">
        <f t="shared" si="27"/>
        <v>440</v>
      </c>
      <c r="Q109" s="15">
        <v>0</v>
      </c>
      <c r="R109" s="20">
        <v>0</v>
      </c>
      <c r="S109" s="16">
        <v>0</v>
      </c>
      <c r="T109" s="16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15">
        <f t="shared" si="4"/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30</v>
      </c>
      <c r="AJ109" s="15">
        <v>10</v>
      </c>
      <c r="AK109" s="15">
        <v>30</v>
      </c>
      <c r="AL109" s="15">
        <f t="shared" si="5"/>
        <v>70</v>
      </c>
      <c r="AM109" s="29">
        <f t="shared" si="28"/>
        <v>1015.3846153846152</v>
      </c>
      <c r="AN109" s="19">
        <v>1001</v>
      </c>
      <c r="AO109" s="21">
        <v>0</v>
      </c>
      <c r="AP109" s="22">
        <v>0</v>
      </c>
      <c r="AQ109" s="26">
        <f t="shared" si="33"/>
        <v>1001</v>
      </c>
      <c r="AR109" s="37">
        <f t="shared" si="40"/>
        <v>1</v>
      </c>
      <c r="AS109" s="38">
        <f t="shared" si="41"/>
        <v>0.98583333333333345</v>
      </c>
      <c r="AT109" s="38">
        <f t="shared" si="42"/>
        <v>1</v>
      </c>
      <c r="AU109" s="27">
        <f t="shared" si="43"/>
        <v>0.98583333333333345</v>
      </c>
    </row>
    <row r="110" spans="1:47" s="1" customFormat="1" ht="21" customHeight="1" x14ac:dyDescent="0.25">
      <c r="A110" s="109">
        <v>46031</v>
      </c>
      <c r="B110" s="47" t="s">
        <v>49</v>
      </c>
      <c r="C110" s="78" t="s">
        <v>51</v>
      </c>
      <c r="D110" s="47" t="s">
        <v>172</v>
      </c>
      <c r="E110" s="48">
        <v>98992</v>
      </c>
      <c r="F110" s="48" t="s">
        <v>175</v>
      </c>
      <c r="G110" s="48" t="s">
        <v>87</v>
      </c>
      <c r="H110" s="30">
        <v>14976</v>
      </c>
      <c r="I110" s="30">
        <v>20</v>
      </c>
      <c r="J110" s="28">
        <f t="shared" si="39"/>
        <v>180</v>
      </c>
      <c r="K110" s="31">
        <v>0.58333333333333337</v>
      </c>
      <c r="L110" s="31">
        <v>0.9375</v>
      </c>
      <c r="M110" s="32">
        <f t="shared" si="38"/>
        <v>0.35416666666666663</v>
      </c>
      <c r="N110" s="36">
        <v>510</v>
      </c>
      <c r="O110" s="36">
        <f t="shared" si="8"/>
        <v>440</v>
      </c>
      <c r="P110" s="36">
        <f t="shared" si="27"/>
        <v>440</v>
      </c>
      <c r="Q110" s="15">
        <v>0</v>
      </c>
      <c r="R110" s="20">
        <v>0</v>
      </c>
      <c r="S110" s="16">
        <v>0</v>
      </c>
      <c r="T110" s="16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15">
        <f t="shared" si="4"/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30</v>
      </c>
      <c r="AJ110" s="15">
        <v>10</v>
      </c>
      <c r="AK110" s="15">
        <v>30</v>
      </c>
      <c r="AL110" s="15">
        <f t="shared" si="5"/>
        <v>70</v>
      </c>
      <c r="AM110" s="29">
        <f t="shared" si="28"/>
        <v>1320</v>
      </c>
      <c r="AN110" s="19">
        <v>1180</v>
      </c>
      <c r="AO110" s="21">
        <v>0</v>
      </c>
      <c r="AP110" s="22">
        <v>0</v>
      </c>
      <c r="AQ110" s="26">
        <f t="shared" si="33"/>
        <v>1180</v>
      </c>
      <c r="AR110" s="37">
        <f t="shared" si="40"/>
        <v>1</v>
      </c>
      <c r="AS110" s="38">
        <f t="shared" si="41"/>
        <v>0.89393939393939392</v>
      </c>
      <c r="AT110" s="38">
        <f t="shared" si="42"/>
        <v>1</v>
      </c>
      <c r="AU110" s="27">
        <f t="shared" si="43"/>
        <v>0.89393939393939392</v>
      </c>
    </row>
    <row r="111" spans="1:47" s="1" customFormat="1" ht="21" customHeight="1" x14ac:dyDescent="0.25">
      <c r="A111" s="109">
        <v>46031</v>
      </c>
      <c r="B111" s="47" t="s">
        <v>49</v>
      </c>
      <c r="C111" s="78" t="s">
        <v>51</v>
      </c>
      <c r="D111" s="47" t="s">
        <v>122</v>
      </c>
      <c r="E111" s="48">
        <v>98992</v>
      </c>
      <c r="F111" s="48" t="s">
        <v>169</v>
      </c>
      <c r="G111" s="48" t="s">
        <v>125</v>
      </c>
      <c r="H111" s="30">
        <v>13669</v>
      </c>
      <c r="I111" s="30">
        <v>32</v>
      </c>
      <c r="J111" s="28">
        <f t="shared" si="39"/>
        <v>112.5</v>
      </c>
      <c r="K111" s="31">
        <v>0.58333333333333337</v>
      </c>
      <c r="L111" s="31">
        <v>0.9375</v>
      </c>
      <c r="M111" s="32">
        <f t="shared" si="38"/>
        <v>0.35416666666666663</v>
      </c>
      <c r="N111" s="36">
        <v>510</v>
      </c>
      <c r="O111" s="36">
        <f t="shared" si="8"/>
        <v>80</v>
      </c>
      <c r="P111" s="36">
        <f t="shared" si="27"/>
        <v>80</v>
      </c>
      <c r="Q111" s="15">
        <v>0</v>
      </c>
      <c r="R111" s="20">
        <v>0</v>
      </c>
      <c r="S111" s="16">
        <v>0</v>
      </c>
      <c r="T111" s="16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15">
        <f t="shared" si="4"/>
        <v>0</v>
      </c>
      <c r="AD111" s="15">
        <v>0</v>
      </c>
      <c r="AE111" s="15">
        <v>0</v>
      </c>
      <c r="AF111" s="15">
        <v>0</v>
      </c>
      <c r="AG111" s="15">
        <v>360</v>
      </c>
      <c r="AH111" s="15">
        <v>0</v>
      </c>
      <c r="AI111" s="15">
        <v>30</v>
      </c>
      <c r="AJ111" s="15">
        <v>10</v>
      </c>
      <c r="AK111" s="15">
        <v>30</v>
      </c>
      <c r="AL111" s="15">
        <f t="shared" si="5"/>
        <v>430</v>
      </c>
      <c r="AM111" s="29">
        <f t="shared" si="28"/>
        <v>150</v>
      </c>
      <c r="AN111" s="19">
        <v>114</v>
      </c>
      <c r="AO111" s="21">
        <v>0</v>
      </c>
      <c r="AP111" s="22">
        <v>0</v>
      </c>
      <c r="AQ111" s="26">
        <f t="shared" si="33"/>
        <v>114</v>
      </c>
      <c r="AR111" s="37">
        <f t="shared" si="40"/>
        <v>1</v>
      </c>
      <c r="AS111" s="38">
        <f t="shared" si="41"/>
        <v>0.76</v>
      </c>
      <c r="AT111" s="38">
        <f t="shared" si="42"/>
        <v>1</v>
      </c>
      <c r="AU111" s="27">
        <f t="shared" si="43"/>
        <v>0.76</v>
      </c>
    </row>
    <row r="112" spans="1:47" s="1" customFormat="1" ht="21" customHeight="1" x14ac:dyDescent="0.25">
      <c r="A112" s="109">
        <v>46031</v>
      </c>
      <c r="B112" s="47" t="s">
        <v>49</v>
      </c>
      <c r="C112" s="78" t="s">
        <v>254</v>
      </c>
      <c r="D112" s="47" t="s">
        <v>94</v>
      </c>
      <c r="E112" s="48">
        <v>98992</v>
      </c>
      <c r="F112" s="48" t="s">
        <v>67</v>
      </c>
      <c r="G112" s="48" t="s">
        <v>174</v>
      </c>
      <c r="H112" s="30">
        <v>14957</v>
      </c>
      <c r="I112" s="30">
        <v>24</v>
      </c>
      <c r="J112" s="28">
        <f t="shared" si="39"/>
        <v>150</v>
      </c>
      <c r="K112" s="31">
        <v>0.58333333333333337</v>
      </c>
      <c r="L112" s="31">
        <v>0.9375</v>
      </c>
      <c r="M112" s="32">
        <f t="shared" si="38"/>
        <v>0.35416666666666663</v>
      </c>
      <c r="N112" s="36">
        <v>510</v>
      </c>
      <c r="O112" s="36">
        <f t="shared" si="8"/>
        <v>190</v>
      </c>
      <c r="P112" s="36">
        <f t="shared" si="27"/>
        <v>190</v>
      </c>
      <c r="Q112" s="15">
        <v>0</v>
      </c>
      <c r="R112" s="20">
        <v>0</v>
      </c>
      <c r="S112" s="16">
        <v>0</v>
      </c>
      <c r="T112" s="16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15">
        <f t="shared" si="4"/>
        <v>0</v>
      </c>
      <c r="AD112" s="15">
        <v>0</v>
      </c>
      <c r="AE112" s="15">
        <v>0</v>
      </c>
      <c r="AF112" s="15">
        <v>0</v>
      </c>
      <c r="AG112" s="15">
        <v>250</v>
      </c>
      <c r="AH112" s="15">
        <v>0</v>
      </c>
      <c r="AI112" s="15">
        <v>30</v>
      </c>
      <c r="AJ112" s="15">
        <v>10</v>
      </c>
      <c r="AK112" s="15">
        <v>30</v>
      </c>
      <c r="AL112" s="15">
        <f t="shared" si="5"/>
        <v>320</v>
      </c>
      <c r="AM112" s="29">
        <f t="shared" si="28"/>
        <v>475</v>
      </c>
      <c r="AN112" s="19">
        <v>400</v>
      </c>
      <c r="AO112" s="21">
        <v>0</v>
      </c>
      <c r="AP112" s="22">
        <v>0</v>
      </c>
      <c r="AQ112" s="26">
        <f t="shared" si="33"/>
        <v>400</v>
      </c>
      <c r="AR112" s="37">
        <f t="shared" si="40"/>
        <v>1</v>
      </c>
      <c r="AS112" s="38">
        <f t="shared" si="41"/>
        <v>0.84210526315789469</v>
      </c>
      <c r="AT112" s="38">
        <f t="shared" si="42"/>
        <v>1</v>
      </c>
      <c r="AU112" s="27">
        <f t="shared" si="43"/>
        <v>0.84210526315789469</v>
      </c>
    </row>
    <row r="113" spans="1:47" s="1" customFormat="1" ht="21" customHeight="1" x14ac:dyDescent="0.25">
      <c r="A113" s="109">
        <v>46032</v>
      </c>
      <c r="B113" s="47" t="s">
        <v>49</v>
      </c>
      <c r="C113" s="78" t="s">
        <v>21</v>
      </c>
      <c r="D113" s="47" t="s">
        <v>94</v>
      </c>
      <c r="E113" s="48">
        <v>98992</v>
      </c>
      <c r="F113" s="48" t="s">
        <v>67</v>
      </c>
      <c r="G113" s="48" t="s">
        <v>174</v>
      </c>
      <c r="H113" s="30">
        <v>14033</v>
      </c>
      <c r="I113" s="30">
        <v>24</v>
      </c>
      <c r="J113" s="28">
        <f t="shared" si="39"/>
        <v>150</v>
      </c>
      <c r="K113" s="31">
        <v>0.25</v>
      </c>
      <c r="L113" s="31">
        <v>0.60416666666666663</v>
      </c>
      <c r="M113" s="32">
        <f t="shared" si="38"/>
        <v>0.35416666666666663</v>
      </c>
      <c r="N113" s="36">
        <v>510</v>
      </c>
      <c r="O113" s="36">
        <f t="shared" si="8"/>
        <v>440</v>
      </c>
      <c r="P113" s="36">
        <f t="shared" si="27"/>
        <v>440</v>
      </c>
      <c r="Q113" s="15">
        <v>0</v>
      </c>
      <c r="R113" s="20">
        <v>0</v>
      </c>
      <c r="S113" s="16">
        <v>0</v>
      </c>
      <c r="T113" s="16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15">
        <f t="shared" ref="AC113:AC176" si="44">SUM(Q113:AB113)</f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30</v>
      </c>
      <c r="AJ113" s="15">
        <v>10</v>
      </c>
      <c r="AK113" s="15">
        <v>30</v>
      </c>
      <c r="AL113" s="15">
        <f t="shared" si="5"/>
        <v>70</v>
      </c>
      <c r="AM113" s="29">
        <f t="shared" si="28"/>
        <v>1100</v>
      </c>
      <c r="AN113" s="19">
        <v>1008</v>
      </c>
      <c r="AO113" s="21">
        <v>0</v>
      </c>
      <c r="AP113" s="22">
        <v>0</v>
      </c>
      <c r="AQ113" s="26">
        <f t="shared" si="33"/>
        <v>1008</v>
      </c>
      <c r="AR113" s="37">
        <f t="shared" si="40"/>
        <v>1</v>
      </c>
      <c r="AS113" s="38">
        <f t="shared" si="41"/>
        <v>0.91636363636363638</v>
      </c>
      <c r="AT113" s="38">
        <f t="shared" si="42"/>
        <v>1</v>
      </c>
      <c r="AU113" s="27">
        <f t="shared" si="43"/>
        <v>0.91636363636363638</v>
      </c>
    </row>
    <row r="114" spans="1:47" s="1" customFormat="1" ht="21" customHeight="1" x14ac:dyDescent="0.25">
      <c r="A114" s="109">
        <v>46032</v>
      </c>
      <c r="B114" s="47" t="s">
        <v>49</v>
      </c>
      <c r="C114" s="78" t="s">
        <v>21</v>
      </c>
      <c r="D114" s="47" t="s">
        <v>88</v>
      </c>
      <c r="E114" s="48">
        <v>98992</v>
      </c>
      <c r="F114" s="48" t="s">
        <v>126</v>
      </c>
      <c r="G114" s="48" t="s">
        <v>87</v>
      </c>
      <c r="H114" s="30">
        <v>15036</v>
      </c>
      <c r="I114" s="30">
        <v>32</v>
      </c>
      <c r="J114" s="28">
        <f t="shared" si="39"/>
        <v>112.5</v>
      </c>
      <c r="K114" s="31">
        <v>0.25</v>
      </c>
      <c r="L114" s="31">
        <v>0.60416666666666663</v>
      </c>
      <c r="M114" s="32">
        <f t="shared" si="38"/>
        <v>0.35416666666666663</v>
      </c>
      <c r="N114" s="36">
        <v>510</v>
      </c>
      <c r="O114" s="36">
        <f t="shared" si="8"/>
        <v>140</v>
      </c>
      <c r="P114" s="36">
        <f t="shared" si="27"/>
        <v>140</v>
      </c>
      <c r="Q114" s="15">
        <v>0</v>
      </c>
      <c r="R114" s="20">
        <v>0</v>
      </c>
      <c r="S114" s="16">
        <v>0</v>
      </c>
      <c r="T114" s="16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15">
        <f t="shared" si="44"/>
        <v>0</v>
      </c>
      <c r="AD114" s="15">
        <v>0</v>
      </c>
      <c r="AE114" s="15">
        <v>0</v>
      </c>
      <c r="AF114" s="15">
        <v>0</v>
      </c>
      <c r="AG114" s="15">
        <v>300</v>
      </c>
      <c r="AH114" s="15">
        <v>0</v>
      </c>
      <c r="AI114" s="15">
        <v>30</v>
      </c>
      <c r="AJ114" s="15">
        <v>10</v>
      </c>
      <c r="AK114" s="15">
        <v>30</v>
      </c>
      <c r="AL114" s="15">
        <f t="shared" si="5"/>
        <v>370</v>
      </c>
      <c r="AM114" s="29">
        <f t="shared" si="28"/>
        <v>262.5</v>
      </c>
      <c r="AN114" s="19">
        <v>256</v>
      </c>
      <c r="AO114" s="21">
        <v>0</v>
      </c>
      <c r="AP114" s="22">
        <v>0</v>
      </c>
      <c r="AQ114" s="26">
        <f t="shared" si="33"/>
        <v>256</v>
      </c>
      <c r="AR114" s="37">
        <f t="shared" si="40"/>
        <v>1</v>
      </c>
      <c r="AS114" s="38">
        <f t="shared" si="41"/>
        <v>0.97523809523809524</v>
      </c>
      <c r="AT114" s="38">
        <f t="shared" si="42"/>
        <v>1</v>
      </c>
      <c r="AU114" s="27">
        <f t="shared" si="43"/>
        <v>0.97523809523809524</v>
      </c>
    </row>
    <row r="115" spans="1:47" s="1" customFormat="1" ht="21" customHeight="1" x14ac:dyDescent="0.25">
      <c r="A115" s="109">
        <v>46032</v>
      </c>
      <c r="B115" s="47" t="s">
        <v>49</v>
      </c>
      <c r="C115" s="78" t="s">
        <v>21</v>
      </c>
      <c r="D115" s="47" t="s">
        <v>89</v>
      </c>
      <c r="E115" s="48">
        <v>98992</v>
      </c>
      <c r="F115" s="48" t="s">
        <v>169</v>
      </c>
      <c r="G115" s="48" t="s">
        <v>87</v>
      </c>
      <c r="H115" s="30">
        <v>11682</v>
      </c>
      <c r="I115" s="30">
        <v>32</v>
      </c>
      <c r="J115" s="28">
        <f t="shared" ref="J115:J133" si="45">3600/I115</f>
        <v>112.5</v>
      </c>
      <c r="K115" s="31">
        <v>0.25</v>
      </c>
      <c r="L115" s="31">
        <v>0.60416666666666663</v>
      </c>
      <c r="M115" s="32">
        <f t="shared" si="38"/>
        <v>0.35416666666666663</v>
      </c>
      <c r="N115" s="36">
        <v>510</v>
      </c>
      <c r="O115" s="36">
        <f t="shared" si="8"/>
        <v>380</v>
      </c>
      <c r="P115" s="36">
        <f t="shared" si="27"/>
        <v>380</v>
      </c>
      <c r="Q115" s="15">
        <v>0</v>
      </c>
      <c r="R115" s="20">
        <v>0</v>
      </c>
      <c r="S115" s="16">
        <v>0</v>
      </c>
      <c r="T115" s="16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15">
        <f t="shared" si="44"/>
        <v>0</v>
      </c>
      <c r="AD115" s="15">
        <v>0</v>
      </c>
      <c r="AE115" s="15">
        <v>0</v>
      </c>
      <c r="AF115" s="15">
        <v>0</v>
      </c>
      <c r="AG115" s="15">
        <v>60</v>
      </c>
      <c r="AH115" s="15">
        <v>0</v>
      </c>
      <c r="AI115" s="15">
        <v>30</v>
      </c>
      <c r="AJ115" s="15">
        <v>10</v>
      </c>
      <c r="AK115" s="15">
        <v>30</v>
      </c>
      <c r="AL115" s="15">
        <f t="shared" si="5"/>
        <v>130</v>
      </c>
      <c r="AM115" s="29">
        <f t="shared" si="28"/>
        <v>712.5</v>
      </c>
      <c r="AN115" s="19">
        <v>608</v>
      </c>
      <c r="AO115" s="21">
        <v>0</v>
      </c>
      <c r="AP115" s="22">
        <v>0</v>
      </c>
      <c r="AQ115" s="26">
        <f t="shared" si="33"/>
        <v>608</v>
      </c>
      <c r="AR115" s="37">
        <f t="shared" si="40"/>
        <v>1</v>
      </c>
      <c r="AS115" s="38">
        <f t="shared" si="41"/>
        <v>0.85333333333333339</v>
      </c>
      <c r="AT115" s="38">
        <f t="shared" si="42"/>
        <v>1</v>
      </c>
      <c r="AU115" s="27">
        <f t="shared" si="43"/>
        <v>0.85333333333333339</v>
      </c>
    </row>
    <row r="116" spans="1:47" s="1" customFormat="1" ht="21" customHeight="1" x14ac:dyDescent="0.25">
      <c r="A116" s="109">
        <v>46032</v>
      </c>
      <c r="B116" s="47" t="s">
        <v>49</v>
      </c>
      <c r="C116" s="88" t="s">
        <v>21</v>
      </c>
      <c r="D116" s="47" t="s">
        <v>52</v>
      </c>
      <c r="E116" s="48">
        <v>98992</v>
      </c>
      <c r="F116" s="48" t="s">
        <v>53</v>
      </c>
      <c r="G116" s="48" t="s">
        <v>87</v>
      </c>
      <c r="H116" s="30">
        <v>16146</v>
      </c>
      <c r="I116" s="30">
        <v>32</v>
      </c>
      <c r="J116" s="28">
        <f t="shared" si="45"/>
        <v>112.5</v>
      </c>
      <c r="K116" s="31">
        <v>0.25</v>
      </c>
      <c r="L116" s="31">
        <v>0.60416666666666663</v>
      </c>
      <c r="M116" s="32">
        <f t="shared" si="38"/>
        <v>0.35416666666666663</v>
      </c>
      <c r="N116" s="36">
        <v>510</v>
      </c>
      <c r="O116" s="36">
        <f t="shared" si="8"/>
        <v>90</v>
      </c>
      <c r="P116" s="36">
        <f t="shared" si="27"/>
        <v>90</v>
      </c>
      <c r="Q116" s="15">
        <v>0</v>
      </c>
      <c r="R116" s="20">
        <v>0</v>
      </c>
      <c r="S116" s="16">
        <v>0</v>
      </c>
      <c r="T116" s="16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15">
        <f t="shared" si="44"/>
        <v>0</v>
      </c>
      <c r="AD116" s="15">
        <v>0</v>
      </c>
      <c r="AE116" s="15">
        <v>0</v>
      </c>
      <c r="AF116" s="15">
        <v>0</v>
      </c>
      <c r="AG116" s="15">
        <v>350</v>
      </c>
      <c r="AH116" s="15">
        <v>0</v>
      </c>
      <c r="AI116" s="15">
        <v>30</v>
      </c>
      <c r="AJ116" s="15">
        <v>10</v>
      </c>
      <c r="AK116" s="15">
        <v>30</v>
      </c>
      <c r="AL116" s="15">
        <f t="shared" si="5"/>
        <v>420</v>
      </c>
      <c r="AM116" s="29">
        <f t="shared" si="28"/>
        <v>168.75</v>
      </c>
      <c r="AN116" s="19">
        <v>149</v>
      </c>
      <c r="AO116" s="21">
        <v>0</v>
      </c>
      <c r="AP116" s="22">
        <v>0</v>
      </c>
      <c r="AQ116" s="26">
        <f t="shared" si="33"/>
        <v>149</v>
      </c>
      <c r="AR116" s="37">
        <f t="shared" si="40"/>
        <v>1</v>
      </c>
      <c r="AS116" s="38">
        <f t="shared" si="41"/>
        <v>0.88296296296296295</v>
      </c>
      <c r="AT116" s="38">
        <f t="shared" si="42"/>
        <v>1</v>
      </c>
      <c r="AU116" s="27">
        <f t="shared" si="43"/>
        <v>0.88296296296296295</v>
      </c>
    </row>
    <row r="117" spans="1:47" s="1" customFormat="1" ht="21" customHeight="1" x14ac:dyDescent="0.25">
      <c r="A117" s="109">
        <v>46032</v>
      </c>
      <c r="B117" s="47" t="s">
        <v>49</v>
      </c>
      <c r="C117" s="88" t="s">
        <v>21</v>
      </c>
      <c r="D117" s="47" t="s">
        <v>86</v>
      </c>
      <c r="E117" s="48">
        <v>98992</v>
      </c>
      <c r="F117" s="48" t="s">
        <v>176</v>
      </c>
      <c r="G117" s="48" t="s">
        <v>87</v>
      </c>
      <c r="H117" s="30">
        <v>15114</v>
      </c>
      <c r="I117" s="30">
        <v>20</v>
      </c>
      <c r="J117" s="28">
        <f t="shared" si="45"/>
        <v>180</v>
      </c>
      <c r="K117" s="31">
        <v>0.25</v>
      </c>
      <c r="L117" s="31">
        <v>0.60416666666666663</v>
      </c>
      <c r="M117" s="32">
        <f t="shared" si="38"/>
        <v>0.35416666666666663</v>
      </c>
      <c r="N117" s="36">
        <v>510</v>
      </c>
      <c r="O117" s="36">
        <f t="shared" si="8"/>
        <v>60</v>
      </c>
      <c r="P117" s="36">
        <f t="shared" si="27"/>
        <v>60</v>
      </c>
      <c r="Q117" s="15">
        <v>0</v>
      </c>
      <c r="R117" s="20">
        <v>0</v>
      </c>
      <c r="S117" s="16">
        <v>0</v>
      </c>
      <c r="T117" s="16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15">
        <f t="shared" si="44"/>
        <v>0</v>
      </c>
      <c r="AD117" s="15">
        <v>0</v>
      </c>
      <c r="AE117" s="15">
        <v>0</v>
      </c>
      <c r="AF117" s="15">
        <v>0</v>
      </c>
      <c r="AG117" s="15">
        <v>380</v>
      </c>
      <c r="AH117" s="15">
        <v>0</v>
      </c>
      <c r="AI117" s="15">
        <v>30</v>
      </c>
      <c r="AJ117" s="15">
        <v>10</v>
      </c>
      <c r="AK117" s="15">
        <v>30</v>
      </c>
      <c r="AL117" s="15">
        <f t="shared" si="5"/>
        <v>450</v>
      </c>
      <c r="AM117" s="29">
        <f t="shared" si="28"/>
        <v>180</v>
      </c>
      <c r="AN117" s="19">
        <v>132</v>
      </c>
      <c r="AO117" s="21">
        <v>0</v>
      </c>
      <c r="AP117" s="22">
        <v>0</v>
      </c>
      <c r="AQ117" s="26">
        <f t="shared" si="33"/>
        <v>132</v>
      </c>
      <c r="AR117" s="37">
        <f t="shared" si="40"/>
        <v>1</v>
      </c>
      <c r="AS117" s="38">
        <f t="shared" si="41"/>
        <v>0.73333333333333328</v>
      </c>
      <c r="AT117" s="38">
        <f t="shared" si="42"/>
        <v>1</v>
      </c>
      <c r="AU117" s="27">
        <f t="shared" si="43"/>
        <v>0.73333333333333328</v>
      </c>
    </row>
    <row r="118" spans="1:47" s="1" customFormat="1" ht="21" customHeight="1" x14ac:dyDescent="0.25">
      <c r="A118" s="109">
        <v>46032</v>
      </c>
      <c r="B118" s="47" t="s">
        <v>49</v>
      </c>
      <c r="C118" s="88" t="s">
        <v>21</v>
      </c>
      <c r="D118" s="47" t="s">
        <v>172</v>
      </c>
      <c r="E118" s="48">
        <v>98992</v>
      </c>
      <c r="F118" s="48" t="s">
        <v>175</v>
      </c>
      <c r="G118" s="48" t="s">
        <v>87</v>
      </c>
      <c r="H118" s="30">
        <v>15036</v>
      </c>
      <c r="I118" s="30">
        <v>20</v>
      </c>
      <c r="J118" s="28">
        <f t="shared" si="45"/>
        <v>180</v>
      </c>
      <c r="K118" s="31">
        <v>0.25</v>
      </c>
      <c r="L118" s="31">
        <v>0.60416666666666663</v>
      </c>
      <c r="M118" s="32">
        <f t="shared" si="38"/>
        <v>0.35416666666666663</v>
      </c>
      <c r="N118" s="36">
        <v>510</v>
      </c>
      <c r="O118" s="36">
        <f t="shared" si="8"/>
        <v>90</v>
      </c>
      <c r="P118" s="36">
        <f t="shared" si="27"/>
        <v>90</v>
      </c>
      <c r="Q118" s="15">
        <v>0</v>
      </c>
      <c r="R118" s="20">
        <v>0</v>
      </c>
      <c r="S118" s="16">
        <v>0</v>
      </c>
      <c r="T118" s="16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  <c r="AC118" s="15">
        <f t="shared" si="44"/>
        <v>0</v>
      </c>
      <c r="AD118" s="15">
        <v>0</v>
      </c>
      <c r="AE118" s="15">
        <v>0</v>
      </c>
      <c r="AF118" s="15">
        <v>0</v>
      </c>
      <c r="AG118" s="15">
        <v>350</v>
      </c>
      <c r="AH118" s="15">
        <v>0</v>
      </c>
      <c r="AI118" s="15">
        <v>30</v>
      </c>
      <c r="AJ118" s="15">
        <v>10</v>
      </c>
      <c r="AK118" s="15">
        <v>30</v>
      </c>
      <c r="AL118" s="15">
        <f t="shared" si="5"/>
        <v>420</v>
      </c>
      <c r="AM118" s="29">
        <f t="shared" si="28"/>
        <v>270</v>
      </c>
      <c r="AN118" s="19">
        <v>228</v>
      </c>
      <c r="AO118" s="21">
        <v>0</v>
      </c>
      <c r="AP118" s="22">
        <v>0</v>
      </c>
      <c r="AQ118" s="26">
        <f t="shared" si="33"/>
        <v>228</v>
      </c>
      <c r="AR118" s="37">
        <f t="shared" si="40"/>
        <v>1</v>
      </c>
      <c r="AS118" s="38">
        <f t="shared" si="41"/>
        <v>0.84444444444444444</v>
      </c>
      <c r="AT118" s="38">
        <f t="shared" si="42"/>
        <v>1</v>
      </c>
      <c r="AU118" s="27">
        <f t="shared" si="43"/>
        <v>0.84444444444444444</v>
      </c>
    </row>
    <row r="119" spans="1:47" s="1" customFormat="1" ht="21" customHeight="1" x14ac:dyDescent="0.25">
      <c r="A119" s="109">
        <v>46032</v>
      </c>
      <c r="B119" s="47" t="s">
        <v>49</v>
      </c>
      <c r="C119" s="88" t="s">
        <v>21</v>
      </c>
      <c r="D119" s="47" t="s">
        <v>124</v>
      </c>
      <c r="E119" s="48">
        <v>98992</v>
      </c>
      <c r="F119" s="48" t="s">
        <v>215</v>
      </c>
      <c r="G119" s="48" t="s">
        <v>125</v>
      </c>
      <c r="H119" s="30">
        <v>15671</v>
      </c>
      <c r="I119" s="30">
        <v>32</v>
      </c>
      <c r="J119" s="28">
        <f t="shared" si="45"/>
        <v>112.5</v>
      </c>
      <c r="K119" s="31">
        <v>0.25</v>
      </c>
      <c r="L119" s="31">
        <v>0.60416666666666663</v>
      </c>
      <c r="M119" s="32">
        <f t="shared" si="38"/>
        <v>0.35416666666666663</v>
      </c>
      <c r="N119" s="36">
        <v>510</v>
      </c>
      <c r="O119" s="36">
        <f t="shared" si="8"/>
        <v>440</v>
      </c>
      <c r="P119" s="36">
        <f t="shared" si="27"/>
        <v>440</v>
      </c>
      <c r="Q119" s="15">
        <v>0</v>
      </c>
      <c r="R119" s="20">
        <v>0</v>
      </c>
      <c r="S119" s="16">
        <v>0</v>
      </c>
      <c r="T119" s="16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15">
        <f t="shared" si="44"/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30</v>
      </c>
      <c r="AJ119" s="15">
        <v>10</v>
      </c>
      <c r="AK119" s="15">
        <v>30</v>
      </c>
      <c r="AL119" s="15">
        <f t="shared" si="5"/>
        <v>70</v>
      </c>
      <c r="AM119" s="29">
        <f t="shared" si="28"/>
        <v>825</v>
      </c>
      <c r="AN119" s="19">
        <v>722</v>
      </c>
      <c r="AO119" s="21">
        <v>0</v>
      </c>
      <c r="AP119" s="22">
        <v>0</v>
      </c>
      <c r="AQ119" s="26">
        <f t="shared" si="33"/>
        <v>722</v>
      </c>
      <c r="AR119" s="37">
        <f t="shared" si="40"/>
        <v>1</v>
      </c>
      <c r="AS119" s="38">
        <f t="shared" si="41"/>
        <v>0.87515151515151512</v>
      </c>
      <c r="AT119" s="38">
        <f t="shared" si="42"/>
        <v>1</v>
      </c>
      <c r="AU119" s="27">
        <f t="shared" si="43"/>
        <v>0.87515151515151512</v>
      </c>
    </row>
    <row r="120" spans="1:47" s="1" customFormat="1" ht="21" customHeight="1" x14ac:dyDescent="0.25">
      <c r="A120" s="109">
        <v>46032</v>
      </c>
      <c r="B120" s="47" t="s">
        <v>49</v>
      </c>
      <c r="C120" s="88" t="s">
        <v>21</v>
      </c>
      <c r="D120" s="47" t="s">
        <v>122</v>
      </c>
      <c r="E120" s="48">
        <v>98992</v>
      </c>
      <c r="F120" s="48" t="s">
        <v>169</v>
      </c>
      <c r="G120" s="48" t="s">
        <v>125</v>
      </c>
      <c r="H120" s="30">
        <v>14976</v>
      </c>
      <c r="I120" s="30">
        <v>32</v>
      </c>
      <c r="J120" s="28">
        <f t="shared" si="45"/>
        <v>112.5</v>
      </c>
      <c r="K120" s="31">
        <v>0.25</v>
      </c>
      <c r="L120" s="31">
        <v>0.60416666666666663</v>
      </c>
      <c r="M120" s="32">
        <f t="shared" si="38"/>
        <v>0.35416666666666663</v>
      </c>
      <c r="N120" s="36">
        <v>510</v>
      </c>
      <c r="O120" s="36">
        <f t="shared" si="8"/>
        <v>320</v>
      </c>
      <c r="P120" s="36">
        <f t="shared" si="27"/>
        <v>320</v>
      </c>
      <c r="Q120" s="15">
        <v>0</v>
      </c>
      <c r="R120" s="20">
        <v>0</v>
      </c>
      <c r="S120" s="16">
        <v>0</v>
      </c>
      <c r="T120" s="16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  <c r="AC120" s="15">
        <f t="shared" si="44"/>
        <v>0</v>
      </c>
      <c r="AD120" s="15">
        <v>0</v>
      </c>
      <c r="AE120" s="15">
        <v>0</v>
      </c>
      <c r="AF120" s="15">
        <v>0</v>
      </c>
      <c r="AG120" s="15">
        <v>120</v>
      </c>
      <c r="AH120" s="15">
        <v>0</v>
      </c>
      <c r="AI120" s="15">
        <v>30</v>
      </c>
      <c r="AJ120" s="15">
        <v>10</v>
      </c>
      <c r="AK120" s="15">
        <v>30</v>
      </c>
      <c r="AL120" s="15">
        <f t="shared" si="5"/>
        <v>190</v>
      </c>
      <c r="AM120" s="29">
        <f t="shared" si="28"/>
        <v>600</v>
      </c>
      <c r="AN120" s="19">
        <v>518</v>
      </c>
      <c r="AO120" s="21">
        <v>0</v>
      </c>
      <c r="AP120" s="22">
        <v>0</v>
      </c>
      <c r="AQ120" s="26">
        <f t="shared" si="33"/>
        <v>518</v>
      </c>
      <c r="AR120" s="37">
        <f t="shared" si="40"/>
        <v>1</v>
      </c>
      <c r="AS120" s="38">
        <f t="shared" si="41"/>
        <v>0.86333333333333329</v>
      </c>
      <c r="AT120" s="38">
        <f t="shared" si="42"/>
        <v>1</v>
      </c>
      <c r="AU120" s="27">
        <f t="shared" si="43"/>
        <v>0.86333333333333329</v>
      </c>
    </row>
    <row r="121" spans="1:47" s="1" customFormat="1" ht="21" customHeight="1" x14ac:dyDescent="0.25">
      <c r="A121" s="109">
        <v>46032</v>
      </c>
      <c r="B121" s="47" t="s">
        <v>49</v>
      </c>
      <c r="C121" s="88" t="s">
        <v>21</v>
      </c>
      <c r="D121" s="47" t="s">
        <v>128</v>
      </c>
      <c r="E121" s="48">
        <v>98992</v>
      </c>
      <c r="F121" s="48" t="s">
        <v>53</v>
      </c>
      <c r="G121" s="48" t="s">
        <v>125</v>
      </c>
      <c r="H121" s="30">
        <v>16146</v>
      </c>
      <c r="I121" s="30">
        <v>32</v>
      </c>
      <c r="J121" s="28">
        <f t="shared" si="45"/>
        <v>112.5</v>
      </c>
      <c r="K121" s="31">
        <v>0.25</v>
      </c>
      <c r="L121" s="31">
        <v>0.60416666666666663</v>
      </c>
      <c r="M121" s="32">
        <f t="shared" si="38"/>
        <v>0.35416666666666663</v>
      </c>
      <c r="N121" s="36">
        <v>510</v>
      </c>
      <c r="O121" s="36">
        <f t="shared" si="8"/>
        <v>260</v>
      </c>
      <c r="P121" s="36">
        <f t="shared" si="27"/>
        <v>260</v>
      </c>
      <c r="Q121" s="15">
        <v>0</v>
      </c>
      <c r="R121" s="20">
        <v>0</v>
      </c>
      <c r="S121" s="16">
        <v>0</v>
      </c>
      <c r="T121" s="16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15">
        <f t="shared" si="44"/>
        <v>0</v>
      </c>
      <c r="AD121" s="15">
        <v>0</v>
      </c>
      <c r="AE121" s="15">
        <v>0</v>
      </c>
      <c r="AF121" s="15">
        <v>0</v>
      </c>
      <c r="AG121" s="15">
        <v>120</v>
      </c>
      <c r="AH121" s="15">
        <v>60</v>
      </c>
      <c r="AI121" s="15">
        <v>30</v>
      </c>
      <c r="AJ121" s="15">
        <v>10</v>
      </c>
      <c r="AK121" s="15">
        <v>30</v>
      </c>
      <c r="AL121" s="15">
        <f t="shared" si="5"/>
        <v>250</v>
      </c>
      <c r="AM121" s="29">
        <f t="shared" si="28"/>
        <v>487.5</v>
      </c>
      <c r="AN121" s="19">
        <v>420</v>
      </c>
      <c r="AO121" s="21">
        <v>0</v>
      </c>
      <c r="AP121" s="22">
        <v>0</v>
      </c>
      <c r="AQ121" s="26">
        <f t="shared" si="33"/>
        <v>420</v>
      </c>
      <c r="AR121" s="37">
        <f t="shared" si="40"/>
        <v>1</v>
      </c>
      <c r="AS121" s="38">
        <f t="shared" si="41"/>
        <v>0.86153846153846159</v>
      </c>
      <c r="AT121" s="38">
        <f t="shared" si="42"/>
        <v>1</v>
      </c>
      <c r="AU121" s="27">
        <f t="shared" si="43"/>
        <v>0.86153846153846159</v>
      </c>
    </row>
    <row r="122" spans="1:47" s="1" customFormat="1" ht="21" customHeight="1" x14ac:dyDescent="0.25">
      <c r="A122" s="109">
        <v>46032</v>
      </c>
      <c r="B122" s="47" t="s">
        <v>49</v>
      </c>
      <c r="C122" s="88" t="s">
        <v>21</v>
      </c>
      <c r="D122" s="47" t="s">
        <v>170</v>
      </c>
      <c r="E122" s="48">
        <v>98992</v>
      </c>
      <c r="F122" s="48" t="s">
        <v>176</v>
      </c>
      <c r="G122" s="48" t="s">
        <v>125</v>
      </c>
      <c r="H122" s="30">
        <v>15114</v>
      </c>
      <c r="I122" s="30">
        <v>20</v>
      </c>
      <c r="J122" s="28">
        <f t="shared" si="45"/>
        <v>180</v>
      </c>
      <c r="K122" s="31">
        <v>0.25</v>
      </c>
      <c r="L122" s="31">
        <v>0.60416666666666663</v>
      </c>
      <c r="M122" s="32">
        <f t="shared" si="38"/>
        <v>0.35416666666666663</v>
      </c>
      <c r="N122" s="36">
        <v>510</v>
      </c>
      <c r="O122" s="36">
        <f t="shared" si="8"/>
        <v>180</v>
      </c>
      <c r="P122" s="36">
        <f t="shared" si="27"/>
        <v>180</v>
      </c>
      <c r="Q122" s="15">
        <v>0</v>
      </c>
      <c r="R122" s="20">
        <v>0</v>
      </c>
      <c r="S122" s="16">
        <v>0</v>
      </c>
      <c r="T122" s="16">
        <v>0</v>
      </c>
      <c r="U122" s="20">
        <v>0</v>
      </c>
      <c r="V122" s="20">
        <v>0</v>
      </c>
      <c r="W122" s="20">
        <v>0</v>
      </c>
      <c r="X122" s="20">
        <v>0</v>
      </c>
      <c r="Y122" s="20">
        <v>0</v>
      </c>
      <c r="Z122" s="20">
        <v>0</v>
      </c>
      <c r="AA122" s="20">
        <v>0</v>
      </c>
      <c r="AB122" s="20">
        <v>0</v>
      </c>
      <c r="AC122" s="15">
        <f t="shared" si="44"/>
        <v>0</v>
      </c>
      <c r="AD122" s="15">
        <v>0</v>
      </c>
      <c r="AE122" s="15">
        <v>0</v>
      </c>
      <c r="AF122" s="15">
        <v>0</v>
      </c>
      <c r="AG122" s="15">
        <v>200</v>
      </c>
      <c r="AH122" s="15">
        <v>60</v>
      </c>
      <c r="AI122" s="15">
        <v>30</v>
      </c>
      <c r="AJ122" s="15">
        <v>10</v>
      </c>
      <c r="AK122" s="15">
        <v>30</v>
      </c>
      <c r="AL122" s="15">
        <f t="shared" si="5"/>
        <v>330</v>
      </c>
      <c r="AM122" s="29">
        <f t="shared" si="28"/>
        <v>540</v>
      </c>
      <c r="AN122" s="19">
        <v>492</v>
      </c>
      <c r="AO122" s="21">
        <v>0</v>
      </c>
      <c r="AP122" s="22">
        <v>0</v>
      </c>
      <c r="AQ122" s="26">
        <f t="shared" si="33"/>
        <v>492</v>
      </c>
      <c r="AR122" s="37">
        <f t="shared" si="40"/>
        <v>1</v>
      </c>
      <c r="AS122" s="38">
        <f t="shared" si="41"/>
        <v>0.91111111111111109</v>
      </c>
      <c r="AT122" s="38">
        <f t="shared" si="42"/>
        <v>1</v>
      </c>
      <c r="AU122" s="27">
        <f t="shared" si="43"/>
        <v>0.91111111111111109</v>
      </c>
    </row>
    <row r="123" spans="1:47" s="1" customFormat="1" ht="21" customHeight="1" x14ac:dyDescent="0.25">
      <c r="A123" s="109">
        <v>46032</v>
      </c>
      <c r="B123" s="47" t="s">
        <v>49</v>
      </c>
      <c r="C123" s="88" t="s">
        <v>21</v>
      </c>
      <c r="D123" s="47" t="s">
        <v>127</v>
      </c>
      <c r="E123" s="48">
        <v>98992</v>
      </c>
      <c r="F123" s="48" t="s">
        <v>175</v>
      </c>
      <c r="G123" s="48" t="s">
        <v>125</v>
      </c>
      <c r="H123" s="30">
        <v>15036</v>
      </c>
      <c r="I123" s="30">
        <v>20</v>
      </c>
      <c r="J123" s="28">
        <f t="shared" si="45"/>
        <v>180</v>
      </c>
      <c r="K123" s="31">
        <v>0.25</v>
      </c>
      <c r="L123" s="31">
        <v>0.60416666666666663</v>
      </c>
      <c r="M123" s="32">
        <f t="shared" si="38"/>
        <v>0.35416666666666663</v>
      </c>
      <c r="N123" s="36">
        <v>510</v>
      </c>
      <c r="O123" s="36">
        <f t="shared" si="8"/>
        <v>180</v>
      </c>
      <c r="P123" s="36">
        <f t="shared" si="27"/>
        <v>180</v>
      </c>
      <c r="Q123" s="15">
        <v>0</v>
      </c>
      <c r="R123" s="20">
        <v>0</v>
      </c>
      <c r="S123" s="16">
        <v>0</v>
      </c>
      <c r="T123" s="16">
        <v>0</v>
      </c>
      <c r="U123" s="20">
        <v>0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15">
        <f t="shared" si="44"/>
        <v>0</v>
      </c>
      <c r="AD123" s="15">
        <v>0</v>
      </c>
      <c r="AE123" s="15">
        <v>0</v>
      </c>
      <c r="AF123" s="15">
        <v>0</v>
      </c>
      <c r="AG123" s="15">
        <v>200</v>
      </c>
      <c r="AH123" s="15">
        <v>60</v>
      </c>
      <c r="AI123" s="15">
        <v>30</v>
      </c>
      <c r="AJ123" s="15">
        <v>10</v>
      </c>
      <c r="AK123" s="15">
        <v>30</v>
      </c>
      <c r="AL123" s="15">
        <f t="shared" si="5"/>
        <v>330</v>
      </c>
      <c r="AM123" s="29">
        <f t="shared" si="28"/>
        <v>540</v>
      </c>
      <c r="AN123" s="19">
        <v>436</v>
      </c>
      <c r="AO123" s="21">
        <v>0</v>
      </c>
      <c r="AP123" s="22">
        <v>0</v>
      </c>
      <c r="AQ123" s="26">
        <f t="shared" si="33"/>
        <v>436</v>
      </c>
      <c r="AR123" s="37">
        <f t="shared" si="40"/>
        <v>1</v>
      </c>
      <c r="AS123" s="38">
        <f t="shared" si="41"/>
        <v>0.80740740740740746</v>
      </c>
      <c r="AT123" s="38">
        <f t="shared" si="42"/>
        <v>1</v>
      </c>
      <c r="AU123" s="27">
        <f t="shared" si="43"/>
        <v>0.80740740740740746</v>
      </c>
    </row>
    <row r="124" spans="1:47" s="1" customFormat="1" ht="21.75" customHeight="1" x14ac:dyDescent="0.25">
      <c r="A124" s="109">
        <v>46032</v>
      </c>
      <c r="B124" s="47" t="s">
        <v>49</v>
      </c>
      <c r="C124" s="88" t="s">
        <v>51</v>
      </c>
      <c r="D124" s="47" t="s">
        <v>94</v>
      </c>
      <c r="E124" s="48">
        <v>98992</v>
      </c>
      <c r="F124" s="48" t="s">
        <v>67</v>
      </c>
      <c r="G124" s="48" t="s">
        <v>174</v>
      </c>
      <c r="H124" s="30">
        <v>13562</v>
      </c>
      <c r="I124" s="30">
        <v>24</v>
      </c>
      <c r="J124" s="28">
        <f t="shared" si="45"/>
        <v>150</v>
      </c>
      <c r="K124" s="31">
        <v>0.58333333333333337</v>
      </c>
      <c r="L124" s="31">
        <v>0.9375</v>
      </c>
      <c r="M124" s="32">
        <f t="shared" si="38"/>
        <v>0.35416666666666663</v>
      </c>
      <c r="N124" s="36">
        <v>510</v>
      </c>
      <c r="O124" s="36">
        <f t="shared" si="8"/>
        <v>440</v>
      </c>
      <c r="P124" s="36">
        <f t="shared" si="27"/>
        <v>440</v>
      </c>
      <c r="Q124" s="15">
        <v>0</v>
      </c>
      <c r="R124" s="20">
        <v>0</v>
      </c>
      <c r="S124" s="16">
        <v>0</v>
      </c>
      <c r="T124" s="16">
        <v>0</v>
      </c>
      <c r="U124" s="20">
        <v>0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15">
        <f t="shared" si="44"/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30</v>
      </c>
      <c r="AJ124" s="15">
        <v>10</v>
      </c>
      <c r="AK124" s="15">
        <v>30</v>
      </c>
      <c r="AL124" s="15">
        <f t="shared" si="5"/>
        <v>70</v>
      </c>
      <c r="AM124" s="29">
        <f t="shared" si="28"/>
        <v>1100</v>
      </c>
      <c r="AN124" s="19">
        <v>1016</v>
      </c>
      <c r="AO124" s="21">
        <v>0</v>
      </c>
      <c r="AP124" s="22">
        <v>0</v>
      </c>
      <c r="AQ124" s="26">
        <f t="shared" si="33"/>
        <v>1016</v>
      </c>
      <c r="AR124" s="37">
        <f t="shared" si="40"/>
        <v>1</v>
      </c>
      <c r="AS124" s="38">
        <f t="shared" si="41"/>
        <v>0.92363636363636359</v>
      </c>
      <c r="AT124" s="38">
        <f t="shared" si="42"/>
        <v>1</v>
      </c>
      <c r="AU124" s="27">
        <f t="shared" si="43"/>
        <v>0.92363636363636359</v>
      </c>
    </row>
    <row r="125" spans="1:47" s="1" customFormat="1" ht="21" customHeight="1" x14ac:dyDescent="0.25">
      <c r="A125" s="109">
        <v>46032</v>
      </c>
      <c r="B125" s="47" t="s">
        <v>49</v>
      </c>
      <c r="C125" s="88" t="s">
        <v>51</v>
      </c>
      <c r="D125" s="47" t="s">
        <v>88</v>
      </c>
      <c r="E125" s="48">
        <v>98992</v>
      </c>
      <c r="F125" s="48" t="s">
        <v>126</v>
      </c>
      <c r="G125" s="48" t="s">
        <v>87</v>
      </c>
      <c r="H125" s="30">
        <v>15036</v>
      </c>
      <c r="I125" s="30">
        <v>32</v>
      </c>
      <c r="J125" s="28">
        <f t="shared" si="45"/>
        <v>112.5</v>
      </c>
      <c r="K125" s="31">
        <v>0.58333333333333337</v>
      </c>
      <c r="L125" s="31">
        <v>0.9375</v>
      </c>
      <c r="M125" s="32">
        <f t="shared" si="38"/>
        <v>0.35416666666666663</v>
      </c>
      <c r="N125" s="36">
        <v>510</v>
      </c>
      <c r="O125" s="36">
        <f t="shared" si="8"/>
        <v>260</v>
      </c>
      <c r="P125" s="36">
        <f t="shared" si="27"/>
        <v>260</v>
      </c>
      <c r="Q125" s="15">
        <v>0</v>
      </c>
      <c r="R125" s="20">
        <v>0</v>
      </c>
      <c r="S125" s="16">
        <v>0</v>
      </c>
      <c r="T125" s="16">
        <v>0</v>
      </c>
      <c r="U125" s="20">
        <v>0</v>
      </c>
      <c r="V125" s="20">
        <v>0</v>
      </c>
      <c r="W125" s="20">
        <v>0</v>
      </c>
      <c r="X125" s="20">
        <v>0</v>
      </c>
      <c r="Y125" s="20">
        <v>0</v>
      </c>
      <c r="Z125" s="20">
        <v>0</v>
      </c>
      <c r="AA125" s="20">
        <v>0</v>
      </c>
      <c r="AB125" s="20">
        <v>0</v>
      </c>
      <c r="AC125" s="15">
        <f t="shared" si="44"/>
        <v>0</v>
      </c>
      <c r="AD125" s="15">
        <v>0</v>
      </c>
      <c r="AE125" s="15">
        <v>0</v>
      </c>
      <c r="AF125" s="15">
        <v>0</v>
      </c>
      <c r="AG125" s="15">
        <v>180</v>
      </c>
      <c r="AH125" s="15">
        <v>0</v>
      </c>
      <c r="AI125" s="15">
        <v>30</v>
      </c>
      <c r="AJ125" s="15">
        <v>10</v>
      </c>
      <c r="AK125" s="15">
        <v>30</v>
      </c>
      <c r="AL125" s="15">
        <f t="shared" si="5"/>
        <v>250</v>
      </c>
      <c r="AM125" s="29">
        <f t="shared" si="28"/>
        <v>487.5</v>
      </c>
      <c r="AN125" s="19">
        <v>419</v>
      </c>
      <c r="AO125" s="21">
        <v>0</v>
      </c>
      <c r="AP125" s="22">
        <v>0</v>
      </c>
      <c r="AQ125" s="26">
        <f t="shared" si="33"/>
        <v>419</v>
      </c>
      <c r="AR125" s="37">
        <f t="shared" si="40"/>
        <v>1</v>
      </c>
      <c r="AS125" s="38">
        <f t="shared" si="41"/>
        <v>0.85948717948717945</v>
      </c>
      <c r="AT125" s="38">
        <f t="shared" si="42"/>
        <v>1</v>
      </c>
      <c r="AU125" s="27">
        <f t="shared" si="43"/>
        <v>0.85948717948717945</v>
      </c>
    </row>
    <row r="126" spans="1:47" s="1" customFormat="1" ht="21" customHeight="1" x14ac:dyDescent="0.25">
      <c r="A126" s="109">
        <v>46032</v>
      </c>
      <c r="B126" s="47" t="s">
        <v>49</v>
      </c>
      <c r="C126" s="88" t="s">
        <v>51</v>
      </c>
      <c r="D126" s="47" t="s">
        <v>89</v>
      </c>
      <c r="E126" s="48">
        <v>98992</v>
      </c>
      <c r="F126" s="48" t="s">
        <v>169</v>
      </c>
      <c r="G126" s="48" t="s">
        <v>87</v>
      </c>
      <c r="H126" s="30">
        <v>16219</v>
      </c>
      <c r="I126" s="30">
        <v>32</v>
      </c>
      <c r="J126" s="28">
        <f t="shared" si="45"/>
        <v>112.5</v>
      </c>
      <c r="K126" s="31">
        <v>0.58333333333333337</v>
      </c>
      <c r="L126" s="31">
        <v>0.9375</v>
      </c>
      <c r="M126" s="32">
        <f t="shared" si="38"/>
        <v>0.35416666666666663</v>
      </c>
      <c r="N126" s="36">
        <v>510</v>
      </c>
      <c r="O126" s="36">
        <f t="shared" si="8"/>
        <v>440</v>
      </c>
      <c r="P126" s="36">
        <f t="shared" si="27"/>
        <v>440</v>
      </c>
      <c r="Q126" s="15">
        <v>0</v>
      </c>
      <c r="R126" s="20">
        <v>0</v>
      </c>
      <c r="S126" s="16">
        <v>0</v>
      </c>
      <c r="T126" s="16">
        <v>0</v>
      </c>
      <c r="U126" s="20">
        <v>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15">
        <f t="shared" si="44"/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30</v>
      </c>
      <c r="AJ126" s="15">
        <v>10</v>
      </c>
      <c r="AK126" s="15">
        <v>30</v>
      </c>
      <c r="AL126" s="15">
        <f t="shared" si="5"/>
        <v>70</v>
      </c>
      <c r="AM126" s="29">
        <f t="shared" si="28"/>
        <v>825</v>
      </c>
      <c r="AN126" s="19">
        <v>601</v>
      </c>
      <c r="AO126" s="21">
        <v>0</v>
      </c>
      <c r="AP126" s="22">
        <v>0</v>
      </c>
      <c r="AQ126" s="26">
        <f t="shared" si="33"/>
        <v>601</v>
      </c>
      <c r="AR126" s="37">
        <f t="shared" si="40"/>
        <v>1</v>
      </c>
      <c r="AS126" s="38">
        <f t="shared" si="41"/>
        <v>0.72848484848484851</v>
      </c>
      <c r="AT126" s="38">
        <f t="shared" si="42"/>
        <v>1</v>
      </c>
      <c r="AU126" s="27">
        <f t="shared" si="43"/>
        <v>0.72848484848484851</v>
      </c>
    </row>
    <row r="127" spans="1:47" s="1" customFormat="1" ht="19.5" customHeight="1" x14ac:dyDescent="0.25">
      <c r="A127" s="109">
        <v>46032</v>
      </c>
      <c r="B127" s="47" t="s">
        <v>49</v>
      </c>
      <c r="C127" s="88" t="s">
        <v>51</v>
      </c>
      <c r="D127" s="47" t="s">
        <v>52</v>
      </c>
      <c r="E127" s="48">
        <v>98992</v>
      </c>
      <c r="F127" s="48" t="s">
        <v>53</v>
      </c>
      <c r="G127" s="48" t="s">
        <v>87</v>
      </c>
      <c r="H127" s="30">
        <v>15731</v>
      </c>
      <c r="I127" s="30">
        <v>32</v>
      </c>
      <c r="J127" s="28">
        <f t="shared" si="45"/>
        <v>112.5</v>
      </c>
      <c r="K127" s="31">
        <v>0.58333333333333337</v>
      </c>
      <c r="L127" s="31">
        <v>0.9375</v>
      </c>
      <c r="M127" s="32">
        <f t="shared" si="38"/>
        <v>0.35416666666666663</v>
      </c>
      <c r="N127" s="36">
        <v>510</v>
      </c>
      <c r="O127" s="36">
        <f t="shared" si="8"/>
        <v>440</v>
      </c>
      <c r="P127" s="36">
        <f t="shared" si="27"/>
        <v>440</v>
      </c>
      <c r="Q127" s="15">
        <v>0</v>
      </c>
      <c r="R127" s="20">
        <v>0</v>
      </c>
      <c r="S127" s="16">
        <v>0</v>
      </c>
      <c r="T127" s="16">
        <v>0</v>
      </c>
      <c r="U127" s="20">
        <v>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15">
        <f t="shared" si="44"/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30</v>
      </c>
      <c r="AJ127" s="15">
        <v>10</v>
      </c>
      <c r="AK127" s="15">
        <v>30</v>
      </c>
      <c r="AL127" s="15">
        <f t="shared" si="5"/>
        <v>70</v>
      </c>
      <c r="AM127" s="29">
        <f t="shared" si="28"/>
        <v>825</v>
      </c>
      <c r="AN127" s="19">
        <v>660</v>
      </c>
      <c r="AO127" s="21">
        <v>0</v>
      </c>
      <c r="AP127" s="22">
        <v>1</v>
      </c>
      <c r="AQ127" s="26">
        <f t="shared" si="33"/>
        <v>659</v>
      </c>
      <c r="AR127" s="37">
        <f t="shared" si="40"/>
        <v>1</v>
      </c>
      <c r="AS127" s="38">
        <f t="shared" si="41"/>
        <v>0.8</v>
      </c>
      <c r="AT127" s="38">
        <f t="shared" si="42"/>
        <v>0.99848484848484853</v>
      </c>
      <c r="AU127" s="27">
        <f t="shared" si="43"/>
        <v>0.79878787878787882</v>
      </c>
    </row>
    <row r="128" spans="1:47" s="1" customFormat="1" ht="21" customHeight="1" x14ac:dyDescent="0.25">
      <c r="A128" s="109">
        <v>46032</v>
      </c>
      <c r="B128" s="47" t="s">
        <v>49</v>
      </c>
      <c r="C128" s="88" t="s">
        <v>51</v>
      </c>
      <c r="D128" s="47" t="s">
        <v>86</v>
      </c>
      <c r="E128" s="48">
        <v>98992</v>
      </c>
      <c r="F128" s="48" t="s">
        <v>176</v>
      </c>
      <c r="G128" s="48" t="s">
        <v>87</v>
      </c>
      <c r="H128" s="30">
        <v>16146</v>
      </c>
      <c r="I128" s="30">
        <v>20</v>
      </c>
      <c r="J128" s="28">
        <f t="shared" si="45"/>
        <v>180</v>
      </c>
      <c r="K128" s="31">
        <v>0.58333333333333337</v>
      </c>
      <c r="L128" s="31">
        <v>0.9375</v>
      </c>
      <c r="M128" s="32">
        <f t="shared" si="38"/>
        <v>0.35416666666666663</v>
      </c>
      <c r="N128" s="36">
        <v>510</v>
      </c>
      <c r="O128" s="36">
        <f t="shared" si="8"/>
        <v>220</v>
      </c>
      <c r="P128" s="36">
        <f t="shared" si="27"/>
        <v>220</v>
      </c>
      <c r="Q128" s="15">
        <v>0</v>
      </c>
      <c r="R128" s="20">
        <v>0</v>
      </c>
      <c r="S128" s="16">
        <v>0</v>
      </c>
      <c r="T128" s="16">
        <v>0</v>
      </c>
      <c r="U128" s="20">
        <v>0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15">
        <f t="shared" si="44"/>
        <v>0</v>
      </c>
      <c r="AD128" s="15">
        <v>0</v>
      </c>
      <c r="AE128" s="15">
        <v>0</v>
      </c>
      <c r="AF128" s="15">
        <v>0</v>
      </c>
      <c r="AG128" s="15">
        <v>220</v>
      </c>
      <c r="AH128" s="15">
        <v>0</v>
      </c>
      <c r="AI128" s="15">
        <v>30</v>
      </c>
      <c r="AJ128" s="15">
        <v>10</v>
      </c>
      <c r="AK128" s="15">
        <v>30</v>
      </c>
      <c r="AL128" s="15">
        <f t="shared" si="5"/>
        <v>290</v>
      </c>
      <c r="AM128" s="29">
        <f t="shared" si="28"/>
        <v>660</v>
      </c>
      <c r="AN128" s="19">
        <v>504</v>
      </c>
      <c r="AO128" s="21">
        <v>0</v>
      </c>
      <c r="AP128" s="22">
        <v>0</v>
      </c>
      <c r="AQ128" s="26">
        <f t="shared" si="33"/>
        <v>504</v>
      </c>
      <c r="AR128" s="37">
        <f t="shared" si="40"/>
        <v>1</v>
      </c>
      <c r="AS128" s="38">
        <f t="shared" si="41"/>
        <v>0.76363636363636367</v>
      </c>
      <c r="AT128" s="38">
        <f t="shared" si="42"/>
        <v>1</v>
      </c>
      <c r="AU128" s="27">
        <f t="shared" si="43"/>
        <v>0.76363636363636367</v>
      </c>
    </row>
    <row r="129" spans="1:47" s="1" customFormat="1" ht="21" customHeight="1" x14ac:dyDescent="0.25">
      <c r="A129" s="109">
        <v>46032</v>
      </c>
      <c r="B129" s="47" t="s">
        <v>49</v>
      </c>
      <c r="C129" s="88" t="s">
        <v>51</v>
      </c>
      <c r="D129" s="47" t="s">
        <v>124</v>
      </c>
      <c r="E129" s="48">
        <v>98992</v>
      </c>
      <c r="F129" s="48" t="s">
        <v>215</v>
      </c>
      <c r="G129" s="48" t="s">
        <v>125</v>
      </c>
      <c r="H129" s="30">
        <v>13105</v>
      </c>
      <c r="I129" s="30">
        <v>32</v>
      </c>
      <c r="J129" s="28">
        <f t="shared" si="45"/>
        <v>112.5</v>
      </c>
      <c r="K129" s="31">
        <v>0.58333333333333337</v>
      </c>
      <c r="L129" s="31">
        <v>0.9375</v>
      </c>
      <c r="M129" s="32">
        <f t="shared" si="38"/>
        <v>0.35416666666666663</v>
      </c>
      <c r="N129" s="36">
        <v>510</v>
      </c>
      <c r="O129" s="36">
        <f t="shared" si="8"/>
        <v>440</v>
      </c>
      <c r="P129" s="36">
        <f t="shared" si="27"/>
        <v>440</v>
      </c>
      <c r="Q129" s="15">
        <v>0</v>
      </c>
      <c r="R129" s="20">
        <v>0</v>
      </c>
      <c r="S129" s="16">
        <v>0</v>
      </c>
      <c r="T129" s="16">
        <v>0</v>
      </c>
      <c r="U129" s="20">
        <v>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15">
        <f t="shared" si="44"/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30</v>
      </c>
      <c r="AJ129" s="15">
        <v>10</v>
      </c>
      <c r="AK129" s="15">
        <v>30</v>
      </c>
      <c r="AL129" s="15">
        <f t="shared" si="5"/>
        <v>70</v>
      </c>
      <c r="AM129" s="29">
        <f t="shared" si="28"/>
        <v>825</v>
      </c>
      <c r="AN129" s="19">
        <v>800</v>
      </c>
      <c r="AO129" s="21">
        <v>0</v>
      </c>
      <c r="AP129" s="22">
        <v>0</v>
      </c>
      <c r="AQ129" s="26">
        <f t="shared" si="33"/>
        <v>800</v>
      </c>
      <c r="AR129" s="37">
        <f t="shared" si="40"/>
        <v>1</v>
      </c>
      <c r="AS129" s="38">
        <f t="shared" si="41"/>
        <v>0.96969696969696972</v>
      </c>
      <c r="AT129" s="38">
        <f t="shared" si="42"/>
        <v>1</v>
      </c>
      <c r="AU129" s="27">
        <f t="shared" si="43"/>
        <v>0.96969696969696972</v>
      </c>
    </row>
    <row r="130" spans="1:47" s="1" customFormat="1" ht="21" customHeight="1" x14ac:dyDescent="0.25">
      <c r="A130" s="109">
        <v>46032</v>
      </c>
      <c r="B130" s="47" t="s">
        <v>49</v>
      </c>
      <c r="C130" s="88" t="s">
        <v>51</v>
      </c>
      <c r="D130" s="47" t="s">
        <v>122</v>
      </c>
      <c r="E130" s="48">
        <v>98992</v>
      </c>
      <c r="F130" s="48" t="s">
        <v>169</v>
      </c>
      <c r="G130" s="48" t="s">
        <v>125</v>
      </c>
      <c r="H130" s="30">
        <v>13106</v>
      </c>
      <c r="I130" s="30">
        <v>32</v>
      </c>
      <c r="J130" s="28">
        <f t="shared" si="45"/>
        <v>112.5</v>
      </c>
      <c r="K130" s="31">
        <v>0.58333333333333337</v>
      </c>
      <c r="L130" s="31">
        <v>0.9375</v>
      </c>
      <c r="M130" s="32">
        <f t="shared" si="38"/>
        <v>0.35416666666666663</v>
      </c>
      <c r="N130" s="36">
        <v>510</v>
      </c>
      <c r="O130" s="36">
        <f t="shared" si="8"/>
        <v>440</v>
      </c>
      <c r="P130" s="36">
        <f t="shared" si="27"/>
        <v>440</v>
      </c>
      <c r="Q130" s="15">
        <v>0</v>
      </c>
      <c r="R130" s="20">
        <v>0</v>
      </c>
      <c r="S130" s="16">
        <v>0</v>
      </c>
      <c r="T130" s="16">
        <v>0</v>
      </c>
      <c r="U130" s="20">
        <v>0</v>
      </c>
      <c r="V130" s="20">
        <v>0</v>
      </c>
      <c r="W130" s="20">
        <v>0</v>
      </c>
      <c r="X130" s="20">
        <v>0</v>
      </c>
      <c r="Y130" s="20">
        <v>0</v>
      </c>
      <c r="Z130" s="20">
        <v>0</v>
      </c>
      <c r="AA130" s="20">
        <v>0</v>
      </c>
      <c r="AB130" s="20">
        <v>0</v>
      </c>
      <c r="AC130" s="15">
        <f t="shared" si="44"/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30</v>
      </c>
      <c r="AJ130" s="15">
        <v>10</v>
      </c>
      <c r="AK130" s="15">
        <v>30</v>
      </c>
      <c r="AL130" s="15">
        <f t="shared" si="5"/>
        <v>70</v>
      </c>
      <c r="AM130" s="29">
        <f t="shared" si="28"/>
        <v>825</v>
      </c>
      <c r="AN130" s="19">
        <v>652</v>
      </c>
      <c r="AO130" s="21">
        <v>0</v>
      </c>
      <c r="AP130" s="22">
        <v>0</v>
      </c>
      <c r="AQ130" s="26">
        <f t="shared" si="33"/>
        <v>652</v>
      </c>
      <c r="AR130" s="37">
        <f t="shared" si="40"/>
        <v>1</v>
      </c>
      <c r="AS130" s="38">
        <f t="shared" si="41"/>
        <v>0.79030303030303028</v>
      </c>
      <c r="AT130" s="38">
        <f t="shared" si="42"/>
        <v>1</v>
      </c>
      <c r="AU130" s="27">
        <f t="shared" si="43"/>
        <v>0.79030303030303028</v>
      </c>
    </row>
    <row r="131" spans="1:47" s="1" customFormat="1" ht="21" customHeight="1" x14ac:dyDescent="0.25">
      <c r="A131" s="109">
        <v>46032</v>
      </c>
      <c r="B131" s="47" t="s">
        <v>49</v>
      </c>
      <c r="C131" s="88" t="s">
        <v>51</v>
      </c>
      <c r="D131" s="47" t="s">
        <v>128</v>
      </c>
      <c r="E131" s="48">
        <v>98992</v>
      </c>
      <c r="F131" s="48" t="s">
        <v>53</v>
      </c>
      <c r="G131" s="48" t="s">
        <v>125</v>
      </c>
      <c r="H131" s="30">
        <v>15618</v>
      </c>
      <c r="I131" s="30">
        <v>32</v>
      </c>
      <c r="J131" s="28">
        <f t="shared" si="45"/>
        <v>112.5</v>
      </c>
      <c r="K131" s="31">
        <v>0.58333333333333337</v>
      </c>
      <c r="L131" s="31">
        <v>0.9375</v>
      </c>
      <c r="M131" s="32">
        <f t="shared" si="38"/>
        <v>0.35416666666666663</v>
      </c>
      <c r="N131" s="36">
        <v>510</v>
      </c>
      <c r="O131" s="36">
        <f t="shared" si="8"/>
        <v>440</v>
      </c>
      <c r="P131" s="36">
        <f t="shared" si="27"/>
        <v>440</v>
      </c>
      <c r="Q131" s="15">
        <v>0</v>
      </c>
      <c r="R131" s="20">
        <v>0</v>
      </c>
      <c r="S131" s="16">
        <v>0</v>
      </c>
      <c r="T131" s="16">
        <v>0</v>
      </c>
      <c r="U131" s="20">
        <v>0</v>
      </c>
      <c r="V131" s="20">
        <v>0</v>
      </c>
      <c r="W131" s="20">
        <v>0</v>
      </c>
      <c r="X131" s="20">
        <v>0</v>
      </c>
      <c r="Y131" s="20">
        <v>0</v>
      </c>
      <c r="Z131" s="20">
        <v>0</v>
      </c>
      <c r="AA131" s="20">
        <v>0</v>
      </c>
      <c r="AB131" s="20">
        <v>0</v>
      </c>
      <c r="AC131" s="15">
        <f t="shared" si="44"/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30</v>
      </c>
      <c r="AJ131" s="15">
        <v>10</v>
      </c>
      <c r="AK131" s="15">
        <v>30</v>
      </c>
      <c r="AL131" s="15">
        <f t="shared" si="5"/>
        <v>70</v>
      </c>
      <c r="AM131" s="29">
        <f t="shared" si="28"/>
        <v>825</v>
      </c>
      <c r="AN131" s="19">
        <v>615</v>
      </c>
      <c r="AO131" s="21">
        <v>0</v>
      </c>
      <c r="AP131" s="22">
        <v>0</v>
      </c>
      <c r="AQ131" s="26">
        <f t="shared" si="33"/>
        <v>615</v>
      </c>
      <c r="AR131" s="37">
        <f t="shared" si="40"/>
        <v>1</v>
      </c>
      <c r="AS131" s="38">
        <f t="shared" si="41"/>
        <v>0.74545454545454548</v>
      </c>
      <c r="AT131" s="38">
        <f t="shared" si="42"/>
        <v>1</v>
      </c>
      <c r="AU131" s="27">
        <f t="shared" si="43"/>
        <v>0.74545454545454548</v>
      </c>
    </row>
    <row r="132" spans="1:47" s="1" customFormat="1" ht="21" customHeight="1" x14ac:dyDescent="0.25">
      <c r="A132" s="109">
        <v>46032</v>
      </c>
      <c r="B132" s="47" t="s">
        <v>49</v>
      </c>
      <c r="C132" s="88" t="s">
        <v>51</v>
      </c>
      <c r="D132" s="47" t="s">
        <v>170</v>
      </c>
      <c r="E132" s="48">
        <v>98992</v>
      </c>
      <c r="F132" s="48" t="s">
        <v>176</v>
      </c>
      <c r="G132" s="48" t="s">
        <v>125</v>
      </c>
      <c r="H132" s="30">
        <v>15859</v>
      </c>
      <c r="I132" s="30">
        <v>20</v>
      </c>
      <c r="J132" s="28">
        <f t="shared" si="45"/>
        <v>180</v>
      </c>
      <c r="K132" s="31">
        <v>0.58333333333333337</v>
      </c>
      <c r="L132" s="31">
        <v>0.9375</v>
      </c>
      <c r="M132" s="32">
        <f t="shared" si="38"/>
        <v>0.35416666666666663</v>
      </c>
      <c r="N132" s="36">
        <v>510</v>
      </c>
      <c r="O132" s="36">
        <f t="shared" si="8"/>
        <v>320</v>
      </c>
      <c r="P132" s="36">
        <f t="shared" si="27"/>
        <v>320</v>
      </c>
      <c r="Q132" s="15">
        <v>0</v>
      </c>
      <c r="R132" s="20">
        <v>0</v>
      </c>
      <c r="S132" s="16">
        <v>0</v>
      </c>
      <c r="T132" s="16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15">
        <f t="shared" si="44"/>
        <v>0</v>
      </c>
      <c r="AD132" s="15">
        <v>0</v>
      </c>
      <c r="AE132" s="15">
        <v>0</v>
      </c>
      <c r="AF132" s="15">
        <v>0</v>
      </c>
      <c r="AG132" s="15">
        <v>120</v>
      </c>
      <c r="AH132" s="15">
        <v>0</v>
      </c>
      <c r="AI132" s="15">
        <v>30</v>
      </c>
      <c r="AJ132" s="15">
        <v>10</v>
      </c>
      <c r="AK132" s="15">
        <v>30</v>
      </c>
      <c r="AL132" s="15">
        <f t="shared" si="5"/>
        <v>190</v>
      </c>
      <c r="AM132" s="29">
        <f t="shared" si="28"/>
        <v>960</v>
      </c>
      <c r="AN132" s="19">
        <v>880</v>
      </c>
      <c r="AO132" s="21">
        <v>0</v>
      </c>
      <c r="AP132" s="22">
        <v>0</v>
      </c>
      <c r="AQ132" s="26">
        <f t="shared" si="33"/>
        <v>880</v>
      </c>
      <c r="AR132" s="37">
        <f t="shared" si="40"/>
        <v>1</v>
      </c>
      <c r="AS132" s="38">
        <f t="shared" si="41"/>
        <v>0.91666666666666663</v>
      </c>
      <c r="AT132" s="38">
        <f t="shared" si="42"/>
        <v>1</v>
      </c>
      <c r="AU132" s="27">
        <f t="shared" si="43"/>
        <v>0.91666666666666663</v>
      </c>
    </row>
    <row r="133" spans="1:47" s="1" customFormat="1" ht="21" customHeight="1" x14ac:dyDescent="0.25">
      <c r="A133" s="109">
        <v>46032</v>
      </c>
      <c r="B133" s="47" t="s">
        <v>49</v>
      </c>
      <c r="C133" s="88" t="s">
        <v>51</v>
      </c>
      <c r="D133" s="47" t="s">
        <v>127</v>
      </c>
      <c r="E133" s="48">
        <v>98992</v>
      </c>
      <c r="F133" s="48" t="s">
        <v>175</v>
      </c>
      <c r="G133" s="48" t="s">
        <v>125</v>
      </c>
      <c r="H133" s="30">
        <v>15573</v>
      </c>
      <c r="I133" s="30">
        <v>20</v>
      </c>
      <c r="J133" s="28">
        <f t="shared" si="45"/>
        <v>180</v>
      </c>
      <c r="K133" s="31">
        <v>0.58333333333333337</v>
      </c>
      <c r="L133" s="31">
        <v>0.9375</v>
      </c>
      <c r="M133" s="32">
        <f t="shared" si="38"/>
        <v>0.35416666666666663</v>
      </c>
      <c r="N133" s="36">
        <v>510</v>
      </c>
      <c r="O133" s="36">
        <f t="shared" si="8"/>
        <v>320</v>
      </c>
      <c r="P133" s="36">
        <f t="shared" si="27"/>
        <v>320</v>
      </c>
      <c r="Q133" s="15">
        <v>0</v>
      </c>
      <c r="R133" s="20">
        <v>0</v>
      </c>
      <c r="S133" s="16">
        <v>0</v>
      </c>
      <c r="T133" s="16">
        <v>0</v>
      </c>
      <c r="U133" s="20">
        <v>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15">
        <f t="shared" si="44"/>
        <v>0</v>
      </c>
      <c r="AD133" s="15">
        <v>0</v>
      </c>
      <c r="AE133" s="15">
        <v>0</v>
      </c>
      <c r="AF133" s="15">
        <v>0</v>
      </c>
      <c r="AG133" s="15">
        <v>120</v>
      </c>
      <c r="AH133" s="15">
        <v>0</v>
      </c>
      <c r="AI133" s="15">
        <v>30</v>
      </c>
      <c r="AJ133" s="15">
        <v>10</v>
      </c>
      <c r="AK133" s="15">
        <v>30</v>
      </c>
      <c r="AL133" s="15">
        <f t="shared" si="5"/>
        <v>190</v>
      </c>
      <c r="AM133" s="29">
        <f t="shared" si="28"/>
        <v>960</v>
      </c>
      <c r="AN133" s="19">
        <v>759</v>
      </c>
      <c r="AO133" s="21">
        <v>0</v>
      </c>
      <c r="AP133" s="22">
        <v>0</v>
      </c>
      <c r="AQ133" s="26">
        <f t="shared" si="33"/>
        <v>759</v>
      </c>
      <c r="AR133" s="37">
        <f t="shared" si="40"/>
        <v>1</v>
      </c>
      <c r="AS133" s="38">
        <f t="shared" si="41"/>
        <v>0.79062500000000002</v>
      </c>
      <c r="AT133" s="38">
        <f t="shared" si="42"/>
        <v>1</v>
      </c>
      <c r="AU133" s="27">
        <f t="shared" si="43"/>
        <v>0.79062500000000002</v>
      </c>
    </row>
    <row r="134" spans="1:47" s="1" customFormat="1" ht="21" customHeight="1" x14ac:dyDescent="0.25">
      <c r="A134" s="109">
        <v>46032</v>
      </c>
      <c r="B134" s="47" t="s">
        <v>49</v>
      </c>
      <c r="C134" s="88" t="s">
        <v>51</v>
      </c>
      <c r="D134" s="47" t="s">
        <v>172</v>
      </c>
      <c r="E134" s="48">
        <v>98992</v>
      </c>
      <c r="F134" s="48" t="s">
        <v>175</v>
      </c>
      <c r="G134" s="48" t="s">
        <v>87</v>
      </c>
      <c r="H134" s="30">
        <v>15573</v>
      </c>
      <c r="I134" s="30">
        <v>20</v>
      </c>
      <c r="J134" s="28">
        <f t="shared" ref="J134:J148" si="46">3600/I134</f>
        <v>180</v>
      </c>
      <c r="K134" s="31">
        <v>0.58333333333333337</v>
      </c>
      <c r="L134" s="31">
        <v>0.9375</v>
      </c>
      <c r="M134" s="32">
        <f t="shared" si="38"/>
        <v>0.35416666666666663</v>
      </c>
      <c r="N134" s="36">
        <v>510</v>
      </c>
      <c r="O134" s="36">
        <f t="shared" si="8"/>
        <v>120</v>
      </c>
      <c r="P134" s="36">
        <f t="shared" si="27"/>
        <v>120</v>
      </c>
      <c r="Q134" s="15">
        <v>0</v>
      </c>
      <c r="R134" s="20">
        <v>0</v>
      </c>
      <c r="S134" s="16">
        <v>0</v>
      </c>
      <c r="T134" s="16">
        <v>0</v>
      </c>
      <c r="U134" s="20">
        <v>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15">
        <f t="shared" si="44"/>
        <v>0</v>
      </c>
      <c r="AD134" s="15">
        <v>0</v>
      </c>
      <c r="AE134" s="15">
        <v>0</v>
      </c>
      <c r="AF134" s="15">
        <v>0</v>
      </c>
      <c r="AG134" s="15">
        <v>320</v>
      </c>
      <c r="AH134" s="15">
        <v>0</v>
      </c>
      <c r="AI134" s="15">
        <v>30</v>
      </c>
      <c r="AJ134" s="15">
        <v>10</v>
      </c>
      <c r="AK134" s="15">
        <v>30</v>
      </c>
      <c r="AL134" s="15">
        <f t="shared" si="5"/>
        <v>390</v>
      </c>
      <c r="AM134" s="29">
        <f t="shared" si="28"/>
        <v>360</v>
      </c>
      <c r="AN134" s="19">
        <v>301</v>
      </c>
      <c r="AO134" s="21">
        <v>0</v>
      </c>
      <c r="AP134" s="22">
        <v>0</v>
      </c>
      <c r="AQ134" s="26">
        <f t="shared" si="33"/>
        <v>301</v>
      </c>
      <c r="AR134" s="37">
        <f t="shared" si="40"/>
        <v>1</v>
      </c>
      <c r="AS134" s="38">
        <f t="shared" si="41"/>
        <v>0.83611111111111114</v>
      </c>
      <c r="AT134" s="38">
        <f t="shared" si="42"/>
        <v>1</v>
      </c>
      <c r="AU134" s="27">
        <f t="shared" si="43"/>
        <v>0.83611111111111114</v>
      </c>
    </row>
    <row r="135" spans="1:47" s="1" customFormat="1" ht="21" customHeight="1" x14ac:dyDescent="0.25">
      <c r="A135" s="109">
        <v>46033</v>
      </c>
      <c r="B135" s="47" t="s">
        <v>49</v>
      </c>
      <c r="C135" s="88" t="s">
        <v>21</v>
      </c>
      <c r="D135" s="47" t="s">
        <v>94</v>
      </c>
      <c r="E135" s="48">
        <v>98992</v>
      </c>
      <c r="F135" s="48" t="s">
        <v>67</v>
      </c>
      <c r="G135" s="48" t="s">
        <v>174</v>
      </c>
      <c r="H135" s="30">
        <v>15833</v>
      </c>
      <c r="I135" s="30">
        <v>24</v>
      </c>
      <c r="J135" s="28">
        <f t="shared" si="46"/>
        <v>150</v>
      </c>
      <c r="K135" s="31">
        <v>0.25</v>
      </c>
      <c r="L135" s="31">
        <v>0.60416666666666663</v>
      </c>
      <c r="M135" s="32">
        <f t="shared" si="38"/>
        <v>0.35416666666666663</v>
      </c>
      <c r="N135" s="36">
        <v>510</v>
      </c>
      <c r="O135" s="36">
        <f t="shared" si="8"/>
        <v>440</v>
      </c>
      <c r="P135" s="36">
        <f t="shared" si="27"/>
        <v>440</v>
      </c>
      <c r="Q135" s="15">
        <v>0</v>
      </c>
      <c r="R135" s="20">
        <v>0</v>
      </c>
      <c r="S135" s="16">
        <v>0</v>
      </c>
      <c r="T135" s="16">
        <v>0</v>
      </c>
      <c r="U135" s="20">
        <v>0</v>
      </c>
      <c r="V135" s="20">
        <v>0</v>
      </c>
      <c r="W135" s="20">
        <v>0</v>
      </c>
      <c r="X135" s="20">
        <v>0</v>
      </c>
      <c r="Y135" s="20">
        <v>0</v>
      </c>
      <c r="Z135" s="20">
        <v>0</v>
      </c>
      <c r="AA135" s="20">
        <v>0</v>
      </c>
      <c r="AB135" s="20">
        <v>0</v>
      </c>
      <c r="AC135" s="15">
        <f t="shared" si="44"/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30</v>
      </c>
      <c r="AJ135" s="15">
        <v>10</v>
      </c>
      <c r="AK135" s="15">
        <v>30</v>
      </c>
      <c r="AL135" s="15">
        <f t="shared" si="5"/>
        <v>70</v>
      </c>
      <c r="AM135" s="29">
        <f t="shared" si="28"/>
        <v>1100</v>
      </c>
      <c r="AN135" s="19">
        <v>665</v>
      </c>
      <c r="AO135" s="21">
        <v>0</v>
      </c>
      <c r="AP135" s="22">
        <v>0</v>
      </c>
      <c r="AQ135" s="26">
        <f t="shared" si="33"/>
        <v>665</v>
      </c>
      <c r="AR135" s="37">
        <f t="shared" si="40"/>
        <v>1</v>
      </c>
      <c r="AS135" s="38">
        <f t="shared" si="41"/>
        <v>0.6045454545454545</v>
      </c>
      <c r="AT135" s="38">
        <f t="shared" si="42"/>
        <v>1</v>
      </c>
      <c r="AU135" s="27">
        <f t="shared" si="43"/>
        <v>0.6045454545454545</v>
      </c>
    </row>
    <row r="136" spans="1:47" s="1" customFormat="1" ht="21" customHeight="1" x14ac:dyDescent="0.25">
      <c r="A136" s="109">
        <v>46033</v>
      </c>
      <c r="B136" s="47" t="s">
        <v>49</v>
      </c>
      <c r="C136" s="88" t="s">
        <v>21</v>
      </c>
      <c r="D136" s="47" t="s">
        <v>88</v>
      </c>
      <c r="E136" s="48">
        <v>98992</v>
      </c>
      <c r="F136" s="48" t="s">
        <v>126</v>
      </c>
      <c r="G136" s="48" t="s">
        <v>87</v>
      </c>
      <c r="H136" s="30">
        <v>15671</v>
      </c>
      <c r="I136" s="30">
        <v>32</v>
      </c>
      <c r="J136" s="28">
        <f t="shared" si="46"/>
        <v>112.5</v>
      </c>
      <c r="K136" s="31">
        <v>0.25</v>
      </c>
      <c r="L136" s="31">
        <v>0.60416666666666663</v>
      </c>
      <c r="M136" s="32">
        <f t="shared" si="38"/>
        <v>0.35416666666666663</v>
      </c>
      <c r="N136" s="36">
        <v>510</v>
      </c>
      <c r="O136" s="36">
        <f t="shared" si="8"/>
        <v>440</v>
      </c>
      <c r="P136" s="36">
        <f t="shared" ref="P136:P187" si="47">N136-AL136</f>
        <v>440</v>
      </c>
      <c r="Q136" s="15">
        <v>0</v>
      </c>
      <c r="R136" s="20">
        <v>0</v>
      </c>
      <c r="S136" s="16">
        <v>0</v>
      </c>
      <c r="T136" s="16">
        <v>0</v>
      </c>
      <c r="U136" s="20">
        <v>0</v>
      </c>
      <c r="V136" s="20">
        <v>0</v>
      </c>
      <c r="W136" s="20">
        <v>0</v>
      </c>
      <c r="X136" s="20">
        <v>0</v>
      </c>
      <c r="Y136" s="20">
        <v>0</v>
      </c>
      <c r="Z136" s="20">
        <v>0</v>
      </c>
      <c r="AA136" s="20">
        <v>0</v>
      </c>
      <c r="AB136" s="20">
        <v>0</v>
      </c>
      <c r="AC136" s="15">
        <f t="shared" si="44"/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30</v>
      </c>
      <c r="AJ136" s="15">
        <v>10</v>
      </c>
      <c r="AK136" s="15">
        <v>30</v>
      </c>
      <c r="AL136" s="15">
        <f t="shared" si="5"/>
        <v>70</v>
      </c>
      <c r="AM136" s="29">
        <f t="shared" ref="AM136:AM197" si="48">P136*(J136/60)</f>
        <v>825</v>
      </c>
      <c r="AN136" s="19">
        <v>685</v>
      </c>
      <c r="AO136" s="21">
        <v>0</v>
      </c>
      <c r="AP136" s="22">
        <v>0</v>
      </c>
      <c r="AQ136" s="26">
        <f t="shared" si="33"/>
        <v>685</v>
      </c>
      <c r="AR136" s="37">
        <f t="shared" si="40"/>
        <v>1</v>
      </c>
      <c r="AS136" s="38">
        <f t="shared" si="41"/>
        <v>0.83030303030303032</v>
      </c>
      <c r="AT136" s="38">
        <f t="shared" si="42"/>
        <v>1</v>
      </c>
      <c r="AU136" s="27">
        <f t="shared" si="43"/>
        <v>0.83030303030303032</v>
      </c>
    </row>
    <row r="137" spans="1:47" s="1" customFormat="1" ht="21" customHeight="1" x14ac:dyDescent="0.25">
      <c r="A137" s="109">
        <v>46033</v>
      </c>
      <c r="B137" s="47" t="s">
        <v>49</v>
      </c>
      <c r="C137" s="88" t="s">
        <v>21</v>
      </c>
      <c r="D137" s="47" t="s">
        <v>89</v>
      </c>
      <c r="E137" s="48">
        <v>98992</v>
      </c>
      <c r="F137" s="48" t="s">
        <v>169</v>
      </c>
      <c r="G137" s="48" t="s">
        <v>87</v>
      </c>
      <c r="H137" s="30">
        <v>11682</v>
      </c>
      <c r="I137" s="30">
        <v>32</v>
      </c>
      <c r="J137" s="28">
        <f t="shared" si="46"/>
        <v>112.5</v>
      </c>
      <c r="K137" s="31">
        <v>0.25</v>
      </c>
      <c r="L137" s="31">
        <v>0.60416666666666663</v>
      </c>
      <c r="M137" s="32">
        <f t="shared" si="38"/>
        <v>0.35416666666666663</v>
      </c>
      <c r="N137" s="36">
        <v>510</v>
      </c>
      <c r="O137" s="36">
        <f t="shared" si="8"/>
        <v>440</v>
      </c>
      <c r="P137" s="36">
        <f t="shared" si="47"/>
        <v>440</v>
      </c>
      <c r="Q137" s="15">
        <v>0</v>
      </c>
      <c r="R137" s="20">
        <v>0</v>
      </c>
      <c r="S137" s="16">
        <v>0</v>
      </c>
      <c r="T137" s="16">
        <v>0</v>
      </c>
      <c r="U137" s="20">
        <v>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15">
        <f t="shared" si="44"/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30</v>
      </c>
      <c r="AJ137" s="15">
        <v>10</v>
      </c>
      <c r="AK137" s="15">
        <v>30</v>
      </c>
      <c r="AL137" s="15">
        <f t="shared" si="5"/>
        <v>70</v>
      </c>
      <c r="AM137" s="29">
        <f t="shared" si="48"/>
        <v>825</v>
      </c>
      <c r="AN137" s="19">
        <v>610</v>
      </c>
      <c r="AO137" s="21">
        <v>0</v>
      </c>
      <c r="AP137" s="22">
        <v>0</v>
      </c>
      <c r="AQ137" s="26">
        <f t="shared" si="33"/>
        <v>610</v>
      </c>
      <c r="AR137" s="37">
        <f t="shared" si="40"/>
        <v>1</v>
      </c>
      <c r="AS137" s="38">
        <f t="shared" si="41"/>
        <v>0.73939393939393938</v>
      </c>
      <c r="AT137" s="38">
        <f t="shared" si="42"/>
        <v>1</v>
      </c>
      <c r="AU137" s="27">
        <f t="shared" si="43"/>
        <v>0.73939393939393938</v>
      </c>
    </row>
    <row r="138" spans="1:47" s="1" customFormat="1" ht="21" customHeight="1" x14ac:dyDescent="0.25">
      <c r="A138" s="109">
        <v>46034</v>
      </c>
      <c r="B138" s="47" t="s">
        <v>49</v>
      </c>
      <c r="C138" s="88" t="s">
        <v>21</v>
      </c>
      <c r="D138" s="47" t="s">
        <v>94</v>
      </c>
      <c r="E138" s="48">
        <v>98992</v>
      </c>
      <c r="F138" s="48" t="s">
        <v>67</v>
      </c>
      <c r="G138" s="48" t="s">
        <v>174</v>
      </c>
      <c r="H138" s="30">
        <v>13562</v>
      </c>
      <c r="I138" s="30">
        <v>24</v>
      </c>
      <c r="J138" s="28">
        <f t="shared" si="46"/>
        <v>150</v>
      </c>
      <c r="K138" s="31">
        <v>0.25</v>
      </c>
      <c r="L138" s="31">
        <v>0.60416666666666663</v>
      </c>
      <c r="M138" s="32">
        <f t="shared" si="38"/>
        <v>0.35416666666666663</v>
      </c>
      <c r="N138" s="36">
        <v>510</v>
      </c>
      <c r="O138" s="36">
        <f t="shared" si="8"/>
        <v>220</v>
      </c>
      <c r="P138" s="36">
        <f t="shared" si="47"/>
        <v>220</v>
      </c>
      <c r="Q138" s="15">
        <v>0</v>
      </c>
      <c r="R138" s="20">
        <v>0</v>
      </c>
      <c r="S138" s="16">
        <v>0</v>
      </c>
      <c r="T138" s="16">
        <v>0</v>
      </c>
      <c r="U138" s="20">
        <v>0</v>
      </c>
      <c r="V138" s="20">
        <v>0</v>
      </c>
      <c r="W138" s="20">
        <v>0</v>
      </c>
      <c r="X138" s="20">
        <v>0</v>
      </c>
      <c r="Y138" s="20">
        <v>0</v>
      </c>
      <c r="Z138" s="20">
        <v>0</v>
      </c>
      <c r="AA138" s="20">
        <v>0</v>
      </c>
      <c r="AB138" s="20">
        <v>0</v>
      </c>
      <c r="AC138" s="15">
        <f t="shared" si="44"/>
        <v>0</v>
      </c>
      <c r="AD138" s="15">
        <v>0</v>
      </c>
      <c r="AE138" s="15">
        <v>0</v>
      </c>
      <c r="AF138" s="15">
        <v>0</v>
      </c>
      <c r="AG138" s="15">
        <v>220</v>
      </c>
      <c r="AH138" s="15">
        <v>0</v>
      </c>
      <c r="AI138" s="15">
        <v>30</v>
      </c>
      <c r="AJ138" s="15">
        <v>10</v>
      </c>
      <c r="AK138" s="15">
        <v>30</v>
      </c>
      <c r="AL138" s="15">
        <f t="shared" si="5"/>
        <v>290</v>
      </c>
      <c r="AM138" s="29">
        <f t="shared" si="48"/>
        <v>550</v>
      </c>
      <c r="AN138" s="19">
        <v>480</v>
      </c>
      <c r="AO138" s="21">
        <v>0</v>
      </c>
      <c r="AP138" s="22">
        <v>22</v>
      </c>
      <c r="AQ138" s="26">
        <f t="shared" si="33"/>
        <v>458</v>
      </c>
      <c r="AR138" s="37">
        <f t="shared" si="40"/>
        <v>1</v>
      </c>
      <c r="AS138" s="38">
        <f t="shared" si="41"/>
        <v>0.87272727272727268</v>
      </c>
      <c r="AT138" s="38">
        <f t="shared" si="42"/>
        <v>0.95416666666666672</v>
      </c>
      <c r="AU138" s="27">
        <f t="shared" si="43"/>
        <v>0.83272727272727276</v>
      </c>
    </row>
    <row r="139" spans="1:47" s="1" customFormat="1" ht="21" customHeight="1" x14ac:dyDescent="0.25">
      <c r="A139" s="109">
        <v>46034</v>
      </c>
      <c r="B139" s="47" t="s">
        <v>49</v>
      </c>
      <c r="C139" s="88" t="s">
        <v>21</v>
      </c>
      <c r="D139" s="47" t="s">
        <v>88</v>
      </c>
      <c r="E139" s="48">
        <v>98992</v>
      </c>
      <c r="F139" s="48" t="s">
        <v>126</v>
      </c>
      <c r="G139" s="48" t="s">
        <v>87</v>
      </c>
      <c r="H139" s="30">
        <v>15036</v>
      </c>
      <c r="I139" s="30">
        <v>32</v>
      </c>
      <c r="J139" s="28">
        <f t="shared" si="46"/>
        <v>112.5</v>
      </c>
      <c r="K139" s="31">
        <v>0.25</v>
      </c>
      <c r="L139" s="31">
        <v>0.60416666666666663</v>
      </c>
      <c r="M139" s="32">
        <f t="shared" si="38"/>
        <v>0.35416666666666663</v>
      </c>
      <c r="N139" s="36">
        <v>510</v>
      </c>
      <c r="O139" s="36">
        <f t="shared" si="8"/>
        <v>320</v>
      </c>
      <c r="P139" s="36">
        <f t="shared" si="47"/>
        <v>320</v>
      </c>
      <c r="Q139" s="15">
        <v>0</v>
      </c>
      <c r="R139" s="20">
        <v>0</v>
      </c>
      <c r="S139" s="16">
        <v>0</v>
      </c>
      <c r="T139" s="16">
        <v>0</v>
      </c>
      <c r="U139" s="20">
        <v>0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15">
        <f t="shared" si="44"/>
        <v>0</v>
      </c>
      <c r="AD139" s="15">
        <v>0</v>
      </c>
      <c r="AE139" s="15">
        <v>0</v>
      </c>
      <c r="AF139" s="15">
        <v>0</v>
      </c>
      <c r="AG139" s="15">
        <v>120</v>
      </c>
      <c r="AH139" s="15">
        <v>0</v>
      </c>
      <c r="AI139" s="15">
        <v>30</v>
      </c>
      <c r="AJ139" s="15">
        <v>10</v>
      </c>
      <c r="AK139" s="15">
        <v>30</v>
      </c>
      <c r="AL139" s="15">
        <f t="shared" si="5"/>
        <v>190</v>
      </c>
      <c r="AM139" s="29">
        <f t="shared" si="48"/>
        <v>600</v>
      </c>
      <c r="AN139" s="19">
        <v>416</v>
      </c>
      <c r="AO139" s="21">
        <v>0</v>
      </c>
      <c r="AP139" s="22">
        <v>1</v>
      </c>
      <c r="AQ139" s="26">
        <f t="shared" si="33"/>
        <v>415</v>
      </c>
      <c r="AR139" s="37">
        <f t="shared" si="40"/>
        <v>1</v>
      </c>
      <c r="AS139" s="38">
        <f t="shared" si="41"/>
        <v>0.69333333333333336</v>
      </c>
      <c r="AT139" s="38">
        <f t="shared" si="42"/>
        <v>0.99759615384615385</v>
      </c>
      <c r="AU139" s="27">
        <f t="shared" si="43"/>
        <v>0.69166666666666665</v>
      </c>
    </row>
    <row r="140" spans="1:47" s="1" customFormat="1" ht="21" customHeight="1" x14ac:dyDescent="0.25">
      <c r="A140" s="109">
        <v>46034</v>
      </c>
      <c r="B140" s="47" t="s">
        <v>49</v>
      </c>
      <c r="C140" s="88" t="s">
        <v>21</v>
      </c>
      <c r="D140" s="47" t="s">
        <v>89</v>
      </c>
      <c r="E140" s="48">
        <v>98992</v>
      </c>
      <c r="F140" s="48" t="s">
        <v>169</v>
      </c>
      <c r="G140" s="48" t="s">
        <v>87</v>
      </c>
      <c r="H140" s="30">
        <v>11682</v>
      </c>
      <c r="I140" s="30">
        <v>32</v>
      </c>
      <c r="J140" s="28">
        <f t="shared" si="46"/>
        <v>112.5</v>
      </c>
      <c r="K140" s="31">
        <v>0.25</v>
      </c>
      <c r="L140" s="31">
        <v>0.60416666666666663</v>
      </c>
      <c r="M140" s="32">
        <f t="shared" si="38"/>
        <v>0.35416666666666663</v>
      </c>
      <c r="N140" s="36">
        <v>510</v>
      </c>
      <c r="O140" s="36">
        <f t="shared" ref="O140:O187" si="49">P140-AC140</f>
        <v>320</v>
      </c>
      <c r="P140" s="36">
        <f t="shared" si="47"/>
        <v>320</v>
      </c>
      <c r="Q140" s="15">
        <v>0</v>
      </c>
      <c r="R140" s="20">
        <v>0</v>
      </c>
      <c r="S140" s="16">
        <v>0</v>
      </c>
      <c r="T140" s="16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15">
        <f t="shared" si="44"/>
        <v>0</v>
      </c>
      <c r="AD140" s="15">
        <v>0</v>
      </c>
      <c r="AE140" s="15">
        <v>0</v>
      </c>
      <c r="AF140" s="15">
        <v>0</v>
      </c>
      <c r="AG140" s="15">
        <v>120</v>
      </c>
      <c r="AH140" s="15">
        <v>0</v>
      </c>
      <c r="AI140" s="15">
        <v>30</v>
      </c>
      <c r="AJ140" s="15">
        <v>10</v>
      </c>
      <c r="AK140" s="15">
        <v>30</v>
      </c>
      <c r="AL140" s="15">
        <f t="shared" si="5"/>
        <v>190</v>
      </c>
      <c r="AM140" s="29">
        <f t="shared" si="48"/>
        <v>600</v>
      </c>
      <c r="AN140" s="19">
        <v>450</v>
      </c>
      <c r="AO140" s="21">
        <v>0</v>
      </c>
      <c r="AP140" s="22">
        <v>1</v>
      </c>
      <c r="AQ140" s="26">
        <f t="shared" si="33"/>
        <v>449</v>
      </c>
      <c r="AR140" s="37">
        <f t="shared" si="40"/>
        <v>1</v>
      </c>
      <c r="AS140" s="38">
        <f t="shared" si="41"/>
        <v>0.75</v>
      </c>
      <c r="AT140" s="38">
        <f t="shared" si="42"/>
        <v>0.99777777777777776</v>
      </c>
      <c r="AU140" s="27">
        <f t="shared" si="43"/>
        <v>0.74833333333333329</v>
      </c>
    </row>
    <row r="141" spans="1:47" s="1" customFormat="1" ht="21" customHeight="1" x14ac:dyDescent="0.25">
      <c r="A141" s="109">
        <v>46034</v>
      </c>
      <c r="B141" s="47" t="s">
        <v>49</v>
      </c>
      <c r="C141" s="88" t="s">
        <v>21</v>
      </c>
      <c r="D141" s="47" t="s">
        <v>52</v>
      </c>
      <c r="E141" s="48">
        <v>98992</v>
      </c>
      <c r="F141" s="48" t="s">
        <v>53</v>
      </c>
      <c r="G141" s="48" t="s">
        <v>87</v>
      </c>
      <c r="H141" s="30">
        <v>15688</v>
      </c>
      <c r="I141" s="30">
        <v>32</v>
      </c>
      <c r="J141" s="28">
        <f t="shared" si="46"/>
        <v>112.5</v>
      </c>
      <c r="K141" s="31">
        <v>0.25</v>
      </c>
      <c r="L141" s="31">
        <v>0.60416666666666663</v>
      </c>
      <c r="M141" s="32">
        <f t="shared" si="38"/>
        <v>0.35416666666666663</v>
      </c>
      <c r="N141" s="36">
        <v>510</v>
      </c>
      <c r="O141" s="36">
        <f t="shared" si="49"/>
        <v>120</v>
      </c>
      <c r="P141" s="36">
        <f t="shared" si="47"/>
        <v>120</v>
      </c>
      <c r="Q141" s="15">
        <v>0</v>
      </c>
      <c r="R141" s="20">
        <v>0</v>
      </c>
      <c r="S141" s="16">
        <v>0</v>
      </c>
      <c r="T141" s="16">
        <v>0</v>
      </c>
      <c r="U141" s="20">
        <v>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15">
        <f t="shared" si="44"/>
        <v>0</v>
      </c>
      <c r="AD141" s="15">
        <v>0</v>
      </c>
      <c r="AE141" s="15">
        <v>0</v>
      </c>
      <c r="AF141" s="15">
        <v>0</v>
      </c>
      <c r="AG141" s="15">
        <v>320</v>
      </c>
      <c r="AH141" s="15">
        <v>0</v>
      </c>
      <c r="AI141" s="15">
        <v>30</v>
      </c>
      <c r="AJ141" s="15">
        <v>10</v>
      </c>
      <c r="AK141" s="15">
        <v>30</v>
      </c>
      <c r="AL141" s="15">
        <f t="shared" ref="AL141:AL188" si="50">SUM(AD141:AK141)</f>
        <v>390</v>
      </c>
      <c r="AM141" s="29">
        <f t="shared" si="48"/>
        <v>225</v>
      </c>
      <c r="AN141" s="19">
        <v>72</v>
      </c>
      <c r="AO141" s="21">
        <v>0</v>
      </c>
      <c r="AP141" s="22">
        <v>0</v>
      </c>
      <c r="AQ141" s="26">
        <f t="shared" si="33"/>
        <v>72</v>
      </c>
      <c r="AR141" s="37">
        <f t="shared" si="40"/>
        <v>1</v>
      </c>
      <c r="AS141" s="38">
        <f t="shared" si="41"/>
        <v>0.32</v>
      </c>
      <c r="AT141" s="38">
        <f t="shared" si="42"/>
        <v>1</v>
      </c>
      <c r="AU141" s="27">
        <f t="shared" si="43"/>
        <v>0.32</v>
      </c>
    </row>
    <row r="142" spans="1:47" s="1" customFormat="1" ht="21" customHeight="1" x14ac:dyDescent="0.25">
      <c r="A142" s="109">
        <v>46034</v>
      </c>
      <c r="B142" s="47" t="s">
        <v>49</v>
      </c>
      <c r="C142" s="88" t="s">
        <v>21</v>
      </c>
      <c r="D142" s="47" t="s">
        <v>86</v>
      </c>
      <c r="E142" s="48">
        <v>98992</v>
      </c>
      <c r="F142" s="48" t="s">
        <v>176</v>
      </c>
      <c r="G142" s="48" t="s">
        <v>87</v>
      </c>
      <c r="H142" s="30">
        <v>15833</v>
      </c>
      <c r="I142" s="30">
        <v>20</v>
      </c>
      <c r="J142" s="28">
        <f t="shared" si="46"/>
        <v>180</v>
      </c>
      <c r="K142" s="31">
        <v>0.25</v>
      </c>
      <c r="L142" s="31">
        <v>0.60416666666666663</v>
      </c>
      <c r="M142" s="32">
        <f t="shared" si="38"/>
        <v>0.35416666666666663</v>
      </c>
      <c r="N142" s="36">
        <v>510</v>
      </c>
      <c r="O142" s="36">
        <f t="shared" si="49"/>
        <v>180</v>
      </c>
      <c r="P142" s="36">
        <f t="shared" si="47"/>
        <v>180</v>
      </c>
      <c r="Q142" s="15">
        <v>0</v>
      </c>
      <c r="R142" s="20">
        <v>0</v>
      </c>
      <c r="S142" s="16">
        <v>0</v>
      </c>
      <c r="T142" s="16">
        <v>0</v>
      </c>
      <c r="U142" s="20">
        <v>0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15">
        <f t="shared" si="44"/>
        <v>0</v>
      </c>
      <c r="AD142" s="15">
        <v>0</v>
      </c>
      <c r="AE142" s="15">
        <v>0</v>
      </c>
      <c r="AF142" s="15">
        <v>0</v>
      </c>
      <c r="AG142" s="15">
        <v>260</v>
      </c>
      <c r="AH142" s="15">
        <v>0</v>
      </c>
      <c r="AI142" s="15">
        <v>30</v>
      </c>
      <c r="AJ142" s="15">
        <v>10</v>
      </c>
      <c r="AK142" s="15">
        <v>30</v>
      </c>
      <c r="AL142" s="15">
        <f t="shared" si="50"/>
        <v>330</v>
      </c>
      <c r="AM142" s="29">
        <f t="shared" si="48"/>
        <v>540</v>
      </c>
      <c r="AN142" s="19">
        <v>252</v>
      </c>
      <c r="AO142" s="21">
        <v>0</v>
      </c>
      <c r="AP142" s="22">
        <v>0</v>
      </c>
      <c r="AQ142" s="26">
        <f t="shared" si="33"/>
        <v>252</v>
      </c>
      <c r="AR142" s="37">
        <f t="shared" si="40"/>
        <v>1</v>
      </c>
      <c r="AS142" s="38">
        <f t="shared" si="41"/>
        <v>0.46666666666666667</v>
      </c>
      <c r="AT142" s="38">
        <f t="shared" si="42"/>
        <v>1</v>
      </c>
      <c r="AU142" s="27">
        <f t="shared" si="43"/>
        <v>0.46666666666666667</v>
      </c>
    </row>
    <row r="143" spans="1:47" s="1" customFormat="1" ht="21" customHeight="1" x14ac:dyDescent="0.25">
      <c r="A143" s="109">
        <v>46034</v>
      </c>
      <c r="B143" s="47" t="s">
        <v>49</v>
      </c>
      <c r="C143" s="88" t="s">
        <v>21</v>
      </c>
      <c r="D143" s="47" t="s">
        <v>172</v>
      </c>
      <c r="E143" s="48">
        <v>98992</v>
      </c>
      <c r="F143" s="48" t="s">
        <v>175</v>
      </c>
      <c r="G143" s="48" t="s">
        <v>87</v>
      </c>
      <c r="H143" s="30">
        <v>15838</v>
      </c>
      <c r="I143" s="30">
        <v>20</v>
      </c>
      <c r="J143" s="28">
        <f t="shared" si="46"/>
        <v>180</v>
      </c>
      <c r="K143" s="31">
        <v>0.25</v>
      </c>
      <c r="L143" s="31">
        <v>0.60416666666666663</v>
      </c>
      <c r="M143" s="32">
        <f t="shared" si="38"/>
        <v>0.35416666666666663</v>
      </c>
      <c r="N143" s="36">
        <v>510</v>
      </c>
      <c r="O143" s="36">
        <f t="shared" si="49"/>
        <v>220</v>
      </c>
      <c r="P143" s="36">
        <f t="shared" si="47"/>
        <v>220</v>
      </c>
      <c r="Q143" s="15">
        <v>0</v>
      </c>
      <c r="R143" s="20">
        <v>0</v>
      </c>
      <c r="S143" s="16">
        <v>0</v>
      </c>
      <c r="T143" s="16">
        <v>0</v>
      </c>
      <c r="U143" s="20">
        <v>0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15">
        <f t="shared" si="44"/>
        <v>0</v>
      </c>
      <c r="AD143" s="15">
        <v>0</v>
      </c>
      <c r="AE143" s="15">
        <v>0</v>
      </c>
      <c r="AF143" s="15">
        <v>0</v>
      </c>
      <c r="AG143" s="15">
        <v>220</v>
      </c>
      <c r="AH143" s="15">
        <v>0</v>
      </c>
      <c r="AI143" s="15">
        <v>30</v>
      </c>
      <c r="AJ143" s="15">
        <v>10</v>
      </c>
      <c r="AK143" s="15">
        <v>30</v>
      </c>
      <c r="AL143" s="15">
        <f t="shared" si="50"/>
        <v>290</v>
      </c>
      <c r="AM143" s="29">
        <f t="shared" si="48"/>
        <v>660</v>
      </c>
      <c r="AN143" s="19">
        <v>432</v>
      </c>
      <c r="AO143" s="21">
        <v>0</v>
      </c>
      <c r="AP143" s="22">
        <v>0</v>
      </c>
      <c r="AQ143" s="26">
        <f t="shared" si="33"/>
        <v>432</v>
      </c>
      <c r="AR143" s="37">
        <f t="shared" si="40"/>
        <v>1</v>
      </c>
      <c r="AS143" s="38">
        <f t="shared" si="41"/>
        <v>0.65454545454545454</v>
      </c>
      <c r="AT143" s="38">
        <f t="shared" si="42"/>
        <v>1</v>
      </c>
      <c r="AU143" s="27">
        <f t="shared" si="43"/>
        <v>0.65454545454545454</v>
      </c>
    </row>
    <row r="144" spans="1:47" s="1" customFormat="1" ht="21" customHeight="1" x14ac:dyDescent="0.25">
      <c r="A144" s="109">
        <v>46034</v>
      </c>
      <c r="B144" s="47" t="s">
        <v>49</v>
      </c>
      <c r="C144" s="88" t="s">
        <v>21</v>
      </c>
      <c r="D144" s="47" t="s">
        <v>124</v>
      </c>
      <c r="E144" s="48">
        <v>98992</v>
      </c>
      <c r="F144" s="48" t="s">
        <v>215</v>
      </c>
      <c r="G144" s="48" t="s">
        <v>125</v>
      </c>
      <c r="H144" s="30">
        <v>14972</v>
      </c>
      <c r="I144" s="30">
        <v>32</v>
      </c>
      <c r="J144" s="28">
        <f t="shared" si="46"/>
        <v>112.5</v>
      </c>
      <c r="K144" s="31">
        <v>0.25</v>
      </c>
      <c r="L144" s="31">
        <v>0.60416666666666663</v>
      </c>
      <c r="M144" s="32">
        <f t="shared" si="38"/>
        <v>0.35416666666666663</v>
      </c>
      <c r="N144" s="36">
        <v>510</v>
      </c>
      <c r="O144" s="36">
        <f t="shared" si="49"/>
        <v>180</v>
      </c>
      <c r="P144" s="36">
        <f t="shared" si="47"/>
        <v>180</v>
      </c>
      <c r="Q144" s="15">
        <v>0</v>
      </c>
      <c r="R144" s="20">
        <v>0</v>
      </c>
      <c r="S144" s="16">
        <v>0</v>
      </c>
      <c r="T144" s="16">
        <v>0</v>
      </c>
      <c r="U144" s="20">
        <v>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15">
        <f t="shared" si="44"/>
        <v>0</v>
      </c>
      <c r="AD144" s="15">
        <v>0</v>
      </c>
      <c r="AE144" s="15">
        <v>0</v>
      </c>
      <c r="AF144" s="15">
        <v>0</v>
      </c>
      <c r="AG144" s="15">
        <v>260</v>
      </c>
      <c r="AH144" s="15">
        <v>0</v>
      </c>
      <c r="AI144" s="15">
        <v>30</v>
      </c>
      <c r="AJ144" s="15">
        <v>10</v>
      </c>
      <c r="AK144" s="15">
        <v>30</v>
      </c>
      <c r="AL144" s="15">
        <f t="shared" si="50"/>
        <v>330</v>
      </c>
      <c r="AM144" s="29">
        <f t="shared" si="48"/>
        <v>337.5</v>
      </c>
      <c r="AN144" s="19">
        <v>171</v>
      </c>
      <c r="AO144" s="21">
        <v>0</v>
      </c>
      <c r="AP144" s="22">
        <v>1</v>
      </c>
      <c r="AQ144" s="26">
        <f t="shared" si="33"/>
        <v>170</v>
      </c>
      <c r="AR144" s="37">
        <f t="shared" si="40"/>
        <v>1</v>
      </c>
      <c r="AS144" s="38">
        <f t="shared" si="41"/>
        <v>0.50666666666666671</v>
      </c>
      <c r="AT144" s="38">
        <f t="shared" si="42"/>
        <v>0.99415204678362568</v>
      </c>
      <c r="AU144" s="27">
        <f t="shared" si="43"/>
        <v>0.50370370370370376</v>
      </c>
    </row>
    <row r="145" spans="1:47" s="1" customFormat="1" ht="21" customHeight="1" x14ac:dyDescent="0.25">
      <c r="A145" s="109">
        <v>46034</v>
      </c>
      <c r="B145" s="47" t="s">
        <v>49</v>
      </c>
      <c r="C145" s="88" t="s">
        <v>21</v>
      </c>
      <c r="D145" s="47" t="s">
        <v>122</v>
      </c>
      <c r="E145" s="48">
        <v>98992</v>
      </c>
      <c r="F145" s="48" t="s">
        <v>169</v>
      </c>
      <c r="G145" s="48" t="s">
        <v>125</v>
      </c>
      <c r="H145" s="30">
        <v>15676</v>
      </c>
      <c r="I145" s="30">
        <v>32</v>
      </c>
      <c r="J145" s="28">
        <f t="shared" si="46"/>
        <v>112.5</v>
      </c>
      <c r="K145" s="31">
        <v>0.25</v>
      </c>
      <c r="L145" s="31">
        <v>0.60416666666666663</v>
      </c>
      <c r="M145" s="32">
        <f t="shared" si="38"/>
        <v>0.35416666666666663</v>
      </c>
      <c r="N145" s="36">
        <v>510</v>
      </c>
      <c r="O145" s="36">
        <f t="shared" si="49"/>
        <v>180</v>
      </c>
      <c r="P145" s="36">
        <f t="shared" si="47"/>
        <v>180</v>
      </c>
      <c r="Q145" s="15">
        <v>0</v>
      </c>
      <c r="R145" s="20">
        <v>0</v>
      </c>
      <c r="S145" s="16">
        <v>0</v>
      </c>
      <c r="T145" s="16">
        <v>0</v>
      </c>
      <c r="U145" s="20">
        <v>0</v>
      </c>
      <c r="V145" s="20">
        <v>0</v>
      </c>
      <c r="W145" s="20">
        <v>0</v>
      </c>
      <c r="X145" s="20">
        <v>0</v>
      </c>
      <c r="Y145" s="20">
        <v>0</v>
      </c>
      <c r="Z145" s="20">
        <v>0</v>
      </c>
      <c r="AA145" s="20">
        <v>0</v>
      </c>
      <c r="AB145" s="20">
        <v>0</v>
      </c>
      <c r="AC145" s="15">
        <f t="shared" si="44"/>
        <v>0</v>
      </c>
      <c r="AD145" s="15">
        <v>0</v>
      </c>
      <c r="AE145" s="15">
        <v>0</v>
      </c>
      <c r="AF145" s="15">
        <v>0</v>
      </c>
      <c r="AG145" s="15">
        <v>260</v>
      </c>
      <c r="AH145" s="15">
        <v>0</v>
      </c>
      <c r="AI145" s="15">
        <v>30</v>
      </c>
      <c r="AJ145" s="15">
        <v>10</v>
      </c>
      <c r="AK145" s="15">
        <v>30</v>
      </c>
      <c r="AL145" s="15">
        <f t="shared" si="50"/>
        <v>330</v>
      </c>
      <c r="AM145" s="29">
        <f t="shared" si="48"/>
        <v>337.5</v>
      </c>
      <c r="AN145" s="19">
        <v>227</v>
      </c>
      <c r="AO145" s="21">
        <v>0</v>
      </c>
      <c r="AP145" s="22">
        <v>0</v>
      </c>
      <c r="AQ145" s="26">
        <f t="shared" si="33"/>
        <v>227</v>
      </c>
      <c r="AR145" s="37">
        <f t="shared" si="40"/>
        <v>1</v>
      </c>
      <c r="AS145" s="38">
        <f t="shared" si="41"/>
        <v>0.67259259259259263</v>
      </c>
      <c r="AT145" s="38">
        <f t="shared" si="42"/>
        <v>1</v>
      </c>
      <c r="AU145" s="27">
        <f t="shared" si="43"/>
        <v>0.67259259259259263</v>
      </c>
    </row>
    <row r="146" spans="1:47" s="1" customFormat="1" ht="21" customHeight="1" x14ac:dyDescent="0.25">
      <c r="A146" s="109">
        <v>46034</v>
      </c>
      <c r="B146" s="47" t="s">
        <v>49</v>
      </c>
      <c r="C146" s="88" t="s">
        <v>21</v>
      </c>
      <c r="D146" s="47" t="s">
        <v>128</v>
      </c>
      <c r="E146" s="48">
        <v>98992</v>
      </c>
      <c r="F146" s="48" t="s">
        <v>53</v>
      </c>
      <c r="G146" s="48" t="s">
        <v>125</v>
      </c>
      <c r="H146" s="30">
        <v>16000</v>
      </c>
      <c r="I146" s="30">
        <v>32</v>
      </c>
      <c r="J146" s="28">
        <f t="shared" si="46"/>
        <v>112.5</v>
      </c>
      <c r="K146" s="31">
        <v>0.25</v>
      </c>
      <c r="L146" s="31">
        <v>0.60416666666666663</v>
      </c>
      <c r="M146" s="32">
        <f t="shared" si="38"/>
        <v>0.35416666666666663</v>
      </c>
      <c r="N146" s="36">
        <v>510</v>
      </c>
      <c r="O146" s="36">
        <f t="shared" si="49"/>
        <v>180</v>
      </c>
      <c r="P146" s="36">
        <f t="shared" si="47"/>
        <v>180</v>
      </c>
      <c r="Q146" s="15">
        <v>0</v>
      </c>
      <c r="R146" s="20">
        <v>0</v>
      </c>
      <c r="S146" s="16">
        <v>0</v>
      </c>
      <c r="T146" s="16">
        <v>0</v>
      </c>
      <c r="U146" s="20">
        <v>0</v>
      </c>
      <c r="V146" s="20">
        <v>0</v>
      </c>
      <c r="W146" s="20">
        <v>0</v>
      </c>
      <c r="X146" s="20">
        <v>0</v>
      </c>
      <c r="Y146" s="20">
        <v>0</v>
      </c>
      <c r="Z146" s="20">
        <v>0</v>
      </c>
      <c r="AA146" s="20">
        <v>0</v>
      </c>
      <c r="AB146" s="20">
        <v>0</v>
      </c>
      <c r="AC146" s="15">
        <f t="shared" si="44"/>
        <v>0</v>
      </c>
      <c r="AD146" s="15">
        <v>0</v>
      </c>
      <c r="AE146" s="15">
        <v>0</v>
      </c>
      <c r="AF146" s="15">
        <v>0</v>
      </c>
      <c r="AG146" s="15">
        <v>260</v>
      </c>
      <c r="AH146" s="15">
        <v>0</v>
      </c>
      <c r="AI146" s="15">
        <v>30</v>
      </c>
      <c r="AJ146" s="15">
        <v>10</v>
      </c>
      <c r="AK146" s="15">
        <v>30</v>
      </c>
      <c r="AL146" s="15">
        <f t="shared" si="50"/>
        <v>330</v>
      </c>
      <c r="AM146" s="29">
        <f t="shared" si="48"/>
        <v>337.5</v>
      </c>
      <c r="AN146" s="19">
        <v>170</v>
      </c>
      <c r="AO146" s="21">
        <v>0</v>
      </c>
      <c r="AP146" s="22">
        <v>1</v>
      </c>
      <c r="AQ146" s="26">
        <f t="shared" si="33"/>
        <v>169</v>
      </c>
      <c r="AR146" s="37">
        <f t="shared" si="40"/>
        <v>1</v>
      </c>
      <c r="AS146" s="38">
        <f t="shared" si="41"/>
        <v>0.50370370370370365</v>
      </c>
      <c r="AT146" s="38">
        <f t="shared" si="42"/>
        <v>0.99411764705882355</v>
      </c>
      <c r="AU146" s="27">
        <f t="shared" si="43"/>
        <v>0.50074074074074071</v>
      </c>
    </row>
    <row r="147" spans="1:47" s="1" customFormat="1" ht="21" customHeight="1" x14ac:dyDescent="0.25">
      <c r="A147" s="109">
        <v>46034</v>
      </c>
      <c r="B147" s="47" t="s">
        <v>49</v>
      </c>
      <c r="C147" s="88" t="s">
        <v>21</v>
      </c>
      <c r="D147" s="47" t="s">
        <v>170</v>
      </c>
      <c r="E147" s="48">
        <v>98992</v>
      </c>
      <c r="F147" s="48" t="s">
        <v>176</v>
      </c>
      <c r="G147" s="48" t="s">
        <v>125</v>
      </c>
      <c r="H147" s="30">
        <v>15833</v>
      </c>
      <c r="I147" s="30">
        <v>20</v>
      </c>
      <c r="J147" s="28">
        <f t="shared" si="46"/>
        <v>180</v>
      </c>
      <c r="K147" s="31">
        <v>0.25</v>
      </c>
      <c r="L147" s="31">
        <v>0.60416666666666663</v>
      </c>
      <c r="M147" s="32">
        <f t="shared" si="38"/>
        <v>0.35416666666666663</v>
      </c>
      <c r="N147" s="36">
        <v>510</v>
      </c>
      <c r="O147" s="36">
        <f t="shared" si="49"/>
        <v>180</v>
      </c>
      <c r="P147" s="36">
        <f t="shared" si="47"/>
        <v>180</v>
      </c>
      <c r="Q147" s="15">
        <v>0</v>
      </c>
      <c r="R147" s="20">
        <v>0</v>
      </c>
      <c r="S147" s="16">
        <v>0</v>
      </c>
      <c r="T147" s="16">
        <v>0</v>
      </c>
      <c r="U147" s="20">
        <v>0</v>
      </c>
      <c r="V147" s="20">
        <v>0</v>
      </c>
      <c r="W147" s="20">
        <v>0</v>
      </c>
      <c r="X147" s="20">
        <v>0</v>
      </c>
      <c r="Y147" s="20">
        <v>0</v>
      </c>
      <c r="Z147" s="20">
        <v>0</v>
      </c>
      <c r="AA147" s="20">
        <v>0</v>
      </c>
      <c r="AB147" s="20">
        <v>0</v>
      </c>
      <c r="AC147" s="15">
        <f t="shared" si="44"/>
        <v>0</v>
      </c>
      <c r="AD147" s="15">
        <v>0</v>
      </c>
      <c r="AE147" s="15">
        <v>0</v>
      </c>
      <c r="AF147" s="15">
        <v>0</v>
      </c>
      <c r="AG147" s="15">
        <v>260</v>
      </c>
      <c r="AH147" s="15">
        <v>0</v>
      </c>
      <c r="AI147" s="15">
        <v>30</v>
      </c>
      <c r="AJ147" s="15">
        <v>10</v>
      </c>
      <c r="AK147" s="15">
        <v>30</v>
      </c>
      <c r="AL147" s="15">
        <f t="shared" si="50"/>
        <v>330</v>
      </c>
      <c r="AM147" s="29">
        <f t="shared" si="48"/>
        <v>540</v>
      </c>
      <c r="AN147" s="19">
        <v>150</v>
      </c>
      <c r="AO147" s="21">
        <v>0</v>
      </c>
      <c r="AP147" s="22">
        <v>0</v>
      </c>
      <c r="AQ147" s="26">
        <f t="shared" si="33"/>
        <v>150</v>
      </c>
      <c r="AR147" s="37">
        <f t="shared" si="40"/>
        <v>1</v>
      </c>
      <c r="AS147" s="38">
        <f t="shared" si="41"/>
        <v>0.27777777777777779</v>
      </c>
      <c r="AT147" s="38">
        <f t="shared" si="42"/>
        <v>1</v>
      </c>
      <c r="AU147" s="27">
        <f t="shared" si="43"/>
        <v>0.27777777777777779</v>
      </c>
    </row>
    <row r="148" spans="1:47" s="1" customFormat="1" ht="21" customHeight="1" x14ac:dyDescent="0.25">
      <c r="A148" s="109">
        <v>46034</v>
      </c>
      <c r="B148" s="47" t="s">
        <v>49</v>
      </c>
      <c r="C148" s="88" t="s">
        <v>21</v>
      </c>
      <c r="D148" s="47" t="s">
        <v>127</v>
      </c>
      <c r="E148" s="48">
        <v>98992</v>
      </c>
      <c r="F148" s="48" t="s">
        <v>175</v>
      </c>
      <c r="G148" s="48" t="s">
        <v>125</v>
      </c>
      <c r="H148" s="30">
        <v>15882</v>
      </c>
      <c r="I148" s="30">
        <v>20</v>
      </c>
      <c r="J148" s="28">
        <f t="shared" si="46"/>
        <v>180</v>
      </c>
      <c r="K148" s="31">
        <v>0.25</v>
      </c>
      <c r="L148" s="31">
        <v>0.60416666666666663</v>
      </c>
      <c r="M148" s="32">
        <f t="shared" si="38"/>
        <v>0.35416666666666663</v>
      </c>
      <c r="N148" s="36">
        <v>510</v>
      </c>
      <c r="O148" s="36">
        <f t="shared" si="49"/>
        <v>260</v>
      </c>
      <c r="P148" s="36">
        <f t="shared" si="47"/>
        <v>260</v>
      </c>
      <c r="Q148" s="15">
        <v>0</v>
      </c>
      <c r="R148" s="20">
        <v>0</v>
      </c>
      <c r="S148" s="16">
        <v>0</v>
      </c>
      <c r="T148" s="16">
        <v>0</v>
      </c>
      <c r="U148" s="20">
        <v>0</v>
      </c>
      <c r="V148" s="20">
        <v>0</v>
      </c>
      <c r="W148" s="20">
        <v>0</v>
      </c>
      <c r="X148" s="20">
        <v>0</v>
      </c>
      <c r="Y148" s="20">
        <v>0</v>
      </c>
      <c r="Z148" s="20">
        <v>0</v>
      </c>
      <c r="AA148" s="20">
        <v>0</v>
      </c>
      <c r="AB148" s="20">
        <v>0</v>
      </c>
      <c r="AC148" s="15">
        <f t="shared" si="44"/>
        <v>0</v>
      </c>
      <c r="AD148" s="15">
        <v>0</v>
      </c>
      <c r="AE148" s="15">
        <v>0</v>
      </c>
      <c r="AF148" s="15">
        <v>0</v>
      </c>
      <c r="AG148" s="15">
        <v>180</v>
      </c>
      <c r="AH148" s="15">
        <v>0</v>
      </c>
      <c r="AI148" s="15">
        <v>30</v>
      </c>
      <c r="AJ148" s="15">
        <v>10</v>
      </c>
      <c r="AK148" s="15">
        <v>30</v>
      </c>
      <c r="AL148" s="15">
        <f t="shared" si="50"/>
        <v>250</v>
      </c>
      <c r="AM148" s="29">
        <f t="shared" si="48"/>
        <v>780</v>
      </c>
      <c r="AN148" s="19">
        <v>468</v>
      </c>
      <c r="AO148" s="21">
        <v>0</v>
      </c>
      <c r="AP148" s="22">
        <v>0</v>
      </c>
      <c r="AQ148" s="26">
        <f t="shared" si="33"/>
        <v>468</v>
      </c>
      <c r="AR148" s="37">
        <f t="shared" ref="AR148:AR173" si="51">O148/P148</f>
        <v>1</v>
      </c>
      <c r="AS148" s="38">
        <f t="shared" ref="AS148:AS159" si="52">AN148/AM148</f>
        <v>0.6</v>
      </c>
      <c r="AT148" s="38">
        <f t="shared" ref="AT148:AT173" si="53">AQ148/AN148</f>
        <v>1</v>
      </c>
      <c r="AU148" s="27">
        <f t="shared" ref="AU148:AU173" si="54">AR148*AS148*AT148</f>
        <v>0.6</v>
      </c>
    </row>
    <row r="149" spans="1:47" s="1" customFormat="1" ht="21" customHeight="1" x14ac:dyDescent="0.25">
      <c r="A149" s="109">
        <v>46034</v>
      </c>
      <c r="B149" s="47" t="s">
        <v>49</v>
      </c>
      <c r="C149" s="88" t="s">
        <v>51</v>
      </c>
      <c r="D149" s="47" t="s">
        <v>94</v>
      </c>
      <c r="E149" s="48">
        <v>98992</v>
      </c>
      <c r="F149" s="48" t="s">
        <v>67</v>
      </c>
      <c r="G149" s="48" t="s">
        <v>174</v>
      </c>
      <c r="H149" s="30">
        <v>13562</v>
      </c>
      <c r="I149" s="30">
        <v>24</v>
      </c>
      <c r="J149" s="28">
        <f t="shared" ref="J149:J157" si="55">3600/I149</f>
        <v>150</v>
      </c>
      <c r="K149" s="31">
        <v>0.58333333333333337</v>
      </c>
      <c r="L149" s="31">
        <v>0.9375</v>
      </c>
      <c r="M149" s="32">
        <f t="shared" si="38"/>
        <v>0.35416666666666663</v>
      </c>
      <c r="N149" s="36">
        <v>510</v>
      </c>
      <c r="O149" s="36">
        <f t="shared" si="49"/>
        <v>440</v>
      </c>
      <c r="P149" s="36">
        <f t="shared" si="47"/>
        <v>440</v>
      </c>
      <c r="Q149" s="15">
        <v>0</v>
      </c>
      <c r="R149" s="20">
        <v>0</v>
      </c>
      <c r="S149" s="16">
        <v>0</v>
      </c>
      <c r="T149" s="16">
        <v>0</v>
      </c>
      <c r="U149" s="20">
        <v>0</v>
      </c>
      <c r="V149" s="20">
        <v>0</v>
      </c>
      <c r="W149" s="20">
        <v>0</v>
      </c>
      <c r="X149" s="20">
        <v>0</v>
      </c>
      <c r="Y149" s="20">
        <v>0</v>
      </c>
      <c r="Z149" s="20">
        <v>0</v>
      </c>
      <c r="AA149" s="20">
        <v>0</v>
      </c>
      <c r="AB149" s="20">
        <v>0</v>
      </c>
      <c r="AC149" s="15">
        <f t="shared" si="44"/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30</v>
      </c>
      <c r="AJ149" s="15">
        <v>10</v>
      </c>
      <c r="AK149" s="15">
        <v>30</v>
      </c>
      <c r="AL149" s="15">
        <f t="shared" si="50"/>
        <v>70</v>
      </c>
      <c r="AM149" s="29">
        <f t="shared" si="48"/>
        <v>1100</v>
      </c>
      <c r="AN149" s="19">
        <v>470</v>
      </c>
      <c r="AO149" s="21">
        <v>0</v>
      </c>
      <c r="AP149" s="22">
        <v>20</v>
      </c>
      <c r="AQ149" s="26">
        <f t="shared" si="33"/>
        <v>450</v>
      </c>
      <c r="AR149" s="37">
        <f t="shared" si="51"/>
        <v>1</v>
      </c>
      <c r="AS149" s="38">
        <f t="shared" si="52"/>
        <v>0.42727272727272725</v>
      </c>
      <c r="AT149" s="38">
        <f t="shared" si="53"/>
        <v>0.95744680851063835</v>
      </c>
      <c r="AU149" s="27">
        <f t="shared" si="54"/>
        <v>0.40909090909090912</v>
      </c>
    </row>
    <row r="150" spans="1:47" s="1" customFormat="1" ht="21" customHeight="1" x14ac:dyDescent="0.25">
      <c r="A150" s="109">
        <v>46034</v>
      </c>
      <c r="B150" s="47" t="s">
        <v>49</v>
      </c>
      <c r="C150" s="88" t="s">
        <v>51</v>
      </c>
      <c r="D150" s="47" t="s">
        <v>88</v>
      </c>
      <c r="E150" s="48">
        <v>98992</v>
      </c>
      <c r="F150" s="48" t="s">
        <v>126</v>
      </c>
      <c r="G150" s="48" t="s">
        <v>87</v>
      </c>
      <c r="H150" s="30">
        <v>13106</v>
      </c>
      <c r="I150" s="30">
        <v>32</v>
      </c>
      <c r="J150" s="28">
        <f t="shared" si="55"/>
        <v>112.5</v>
      </c>
      <c r="K150" s="31">
        <v>0.58333333333333337</v>
      </c>
      <c r="L150" s="31">
        <v>0.9375</v>
      </c>
      <c r="M150" s="32">
        <f t="shared" si="38"/>
        <v>0.35416666666666663</v>
      </c>
      <c r="N150" s="36">
        <v>510</v>
      </c>
      <c r="O150" s="36">
        <f t="shared" si="49"/>
        <v>380</v>
      </c>
      <c r="P150" s="36">
        <f t="shared" si="47"/>
        <v>380</v>
      </c>
      <c r="Q150" s="15">
        <v>0</v>
      </c>
      <c r="R150" s="20">
        <v>0</v>
      </c>
      <c r="S150" s="16">
        <v>0</v>
      </c>
      <c r="T150" s="16">
        <v>0</v>
      </c>
      <c r="U150" s="20">
        <v>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15">
        <f t="shared" si="44"/>
        <v>0</v>
      </c>
      <c r="AD150" s="15">
        <v>0</v>
      </c>
      <c r="AE150" s="15">
        <v>0</v>
      </c>
      <c r="AF150" s="15">
        <v>0</v>
      </c>
      <c r="AG150" s="15">
        <v>60</v>
      </c>
      <c r="AH150" s="15">
        <v>0</v>
      </c>
      <c r="AI150" s="15">
        <v>30</v>
      </c>
      <c r="AJ150" s="15">
        <v>10</v>
      </c>
      <c r="AK150" s="15">
        <v>30</v>
      </c>
      <c r="AL150" s="15">
        <f t="shared" si="50"/>
        <v>130</v>
      </c>
      <c r="AM150" s="29">
        <f t="shared" si="48"/>
        <v>712.5</v>
      </c>
      <c r="AN150" s="19">
        <v>610</v>
      </c>
      <c r="AO150" s="21">
        <v>0</v>
      </c>
      <c r="AP150" s="22">
        <v>1</v>
      </c>
      <c r="AQ150" s="26">
        <f t="shared" si="33"/>
        <v>609</v>
      </c>
      <c r="AR150" s="37">
        <f t="shared" si="51"/>
        <v>1</v>
      </c>
      <c r="AS150" s="38">
        <f t="shared" si="52"/>
        <v>0.85614035087719298</v>
      </c>
      <c r="AT150" s="38">
        <f t="shared" si="53"/>
        <v>0.99836065573770494</v>
      </c>
      <c r="AU150" s="27">
        <f t="shared" si="54"/>
        <v>0.85473684210526313</v>
      </c>
    </row>
    <row r="151" spans="1:47" s="1" customFormat="1" ht="21" customHeight="1" x14ac:dyDescent="0.25">
      <c r="A151" s="109">
        <v>46034</v>
      </c>
      <c r="B151" s="47" t="s">
        <v>49</v>
      </c>
      <c r="C151" s="88" t="s">
        <v>51</v>
      </c>
      <c r="D151" s="47" t="s">
        <v>52</v>
      </c>
      <c r="E151" s="48">
        <v>98992</v>
      </c>
      <c r="F151" s="48" t="s">
        <v>53</v>
      </c>
      <c r="G151" s="48" t="s">
        <v>87</v>
      </c>
      <c r="H151" s="30">
        <v>15689</v>
      </c>
      <c r="I151" s="30">
        <v>32</v>
      </c>
      <c r="J151" s="28">
        <f t="shared" si="55"/>
        <v>112.5</v>
      </c>
      <c r="K151" s="31">
        <v>0.58333333333333337</v>
      </c>
      <c r="L151" s="31">
        <v>0.9375</v>
      </c>
      <c r="M151" s="32">
        <f t="shared" si="38"/>
        <v>0.35416666666666663</v>
      </c>
      <c r="N151" s="36">
        <v>510</v>
      </c>
      <c r="O151" s="36">
        <f t="shared" si="49"/>
        <v>440</v>
      </c>
      <c r="P151" s="36">
        <f t="shared" si="47"/>
        <v>440</v>
      </c>
      <c r="Q151" s="15">
        <v>0</v>
      </c>
      <c r="R151" s="20">
        <v>0</v>
      </c>
      <c r="S151" s="16">
        <v>0</v>
      </c>
      <c r="T151" s="16">
        <v>0</v>
      </c>
      <c r="U151" s="20">
        <v>0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15">
        <f t="shared" si="44"/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30</v>
      </c>
      <c r="AJ151" s="15">
        <v>10</v>
      </c>
      <c r="AK151" s="15">
        <v>30</v>
      </c>
      <c r="AL151" s="15">
        <f t="shared" si="50"/>
        <v>70</v>
      </c>
      <c r="AM151" s="29">
        <f t="shared" si="48"/>
        <v>825</v>
      </c>
      <c r="AN151" s="19">
        <v>672</v>
      </c>
      <c r="AO151" s="21">
        <v>0</v>
      </c>
      <c r="AP151" s="22">
        <v>0</v>
      </c>
      <c r="AQ151" s="26">
        <f t="shared" si="33"/>
        <v>672</v>
      </c>
      <c r="AR151" s="37">
        <f t="shared" si="51"/>
        <v>1</v>
      </c>
      <c r="AS151" s="38">
        <f t="shared" si="52"/>
        <v>0.81454545454545457</v>
      </c>
      <c r="AT151" s="38">
        <f t="shared" si="53"/>
        <v>1</v>
      </c>
      <c r="AU151" s="27">
        <f t="shared" si="54"/>
        <v>0.81454545454545457</v>
      </c>
    </row>
    <row r="152" spans="1:47" s="1" customFormat="1" ht="21" customHeight="1" x14ac:dyDescent="0.25">
      <c r="A152" s="109">
        <v>46034</v>
      </c>
      <c r="B152" s="47" t="s">
        <v>49</v>
      </c>
      <c r="C152" s="88" t="s">
        <v>51</v>
      </c>
      <c r="D152" s="47" t="s">
        <v>86</v>
      </c>
      <c r="E152" s="48">
        <v>98992</v>
      </c>
      <c r="F152" s="48" t="s">
        <v>176</v>
      </c>
      <c r="G152" s="48" t="s">
        <v>87</v>
      </c>
      <c r="H152" s="30">
        <v>16219</v>
      </c>
      <c r="I152" s="30">
        <v>20</v>
      </c>
      <c r="J152" s="28">
        <f t="shared" si="55"/>
        <v>180</v>
      </c>
      <c r="K152" s="31">
        <v>0.58333333333333337</v>
      </c>
      <c r="L152" s="31">
        <v>0.9375</v>
      </c>
      <c r="M152" s="32">
        <f t="shared" si="38"/>
        <v>0.35416666666666663</v>
      </c>
      <c r="N152" s="36">
        <v>510</v>
      </c>
      <c r="O152" s="36">
        <f t="shared" si="49"/>
        <v>220</v>
      </c>
      <c r="P152" s="36">
        <f t="shared" si="47"/>
        <v>220</v>
      </c>
      <c r="Q152" s="15">
        <v>0</v>
      </c>
      <c r="R152" s="20">
        <v>0</v>
      </c>
      <c r="S152" s="16">
        <v>0</v>
      </c>
      <c r="T152" s="16">
        <v>0</v>
      </c>
      <c r="U152" s="20">
        <v>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15">
        <f t="shared" si="44"/>
        <v>0</v>
      </c>
      <c r="AD152" s="15">
        <v>0</v>
      </c>
      <c r="AE152" s="15">
        <v>0</v>
      </c>
      <c r="AF152" s="15">
        <v>0</v>
      </c>
      <c r="AG152" s="15">
        <v>220</v>
      </c>
      <c r="AH152" s="15">
        <v>0</v>
      </c>
      <c r="AI152" s="15">
        <v>30</v>
      </c>
      <c r="AJ152" s="15">
        <v>10</v>
      </c>
      <c r="AK152" s="15">
        <v>30</v>
      </c>
      <c r="AL152" s="15">
        <f t="shared" si="50"/>
        <v>290</v>
      </c>
      <c r="AM152" s="29">
        <f t="shared" si="48"/>
        <v>660</v>
      </c>
      <c r="AN152" s="19">
        <v>310</v>
      </c>
      <c r="AO152" s="21">
        <v>0</v>
      </c>
      <c r="AP152" s="22">
        <v>1</v>
      </c>
      <c r="AQ152" s="26">
        <f t="shared" si="33"/>
        <v>309</v>
      </c>
      <c r="AR152" s="37">
        <f t="shared" si="51"/>
        <v>1</v>
      </c>
      <c r="AS152" s="38">
        <f t="shared" si="52"/>
        <v>0.46969696969696972</v>
      </c>
      <c r="AT152" s="38">
        <f t="shared" si="53"/>
        <v>0.99677419354838714</v>
      </c>
      <c r="AU152" s="27">
        <f t="shared" si="54"/>
        <v>0.46818181818181825</v>
      </c>
    </row>
    <row r="153" spans="1:47" s="1" customFormat="1" ht="21" customHeight="1" x14ac:dyDescent="0.25">
      <c r="A153" s="109">
        <v>46034</v>
      </c>
      <c r="B153" s="47" t="s">
        <v>49</v>
      </c>
      <c r="C153" s="88" t="s">
        <v>51</v>
      </c>
      <c r="D153" s="47" t="s">
        <v>124</v>
      </c>
      <c r="E153" s="48">
        <v>98992</v>
      </c>
      <c r="F153" s="48" t="s">
        <v>215</v>
      </c>
      <c r="G153" s="48" t="s">
        <v>125</v>
      </c>
      <c r="H153" s="30">
        <v>13105</v>
      </c>
      <c r="I153" s="30">
        <v>32</v>
      </c>
      <c r="J153" s="28">
        <f t="shared" si="55"/>
        <v>112.5</v>
      </c>
      <c r="K153" s="31">
        <v>0.58333333333333337</v>
      </c>
      <c r="L153" s="31">
        <v>0.9375</v>
      </c>
      <c r="M153" s="32">
        <f t="shared" si="38"/>
        <v>0.35416666666666663</v>
      </c>
      <c r="N153" s="36">
        <v>510</v>
      </c>
      <c r="O153" s="36">
        <f t="shared" si="49"/>
        <v>440</v>
      </c>
      <c r="P153" s="36">
        <f t="shared" si="47"/>
        <v>440</v>
      </c>
      <c r="Q153" s="15">
        <v>0</v>
      </c>
      <c r="R153" s="20">
        <v>0</v>
      </c>
      <c r="S153" s="16">
        <v>0</v>
      </c>
      <c r="T153" s="16">
        <v>0</v>
      </c>
      <c r="U153" s="20">
        <v>0</v>
      </c>
      <c r="V153" s="20">
        <v>0</v>
      </c>
      <c r="W153" s="20">
        <v>0</v>
      </c>
      <c r="X153" s="20">
        <v>0</v>
      </c>
      <c r="Y153" s="20">
        <v>0</v>
      </c>
      <c r="Z153" s="20">
        <v>0</v>
      </c>
      <c r="AA153" s="20">
        <v>0</v>
      </c>
      <c r="AB153" s="20">
        <v>0</v>
      </c>
      <c r="AC153" s="15">
        <f t="shared" si="44"/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30</v>
      </c>
      <c r="AJ153" s="15">
        <v>10</v>
      </c>
      <c r="AK153" s="15">
        <v>30</v>
      </c>
      <c r="AL153" s="15">
        <f t="shared" si="50"/>
        <v>70</v>
      </c>
      <c r="AM153" s="29">
        <f t="shared" si="48"/>
        <v>825</v>
      </c>
      <c r="AN153" s="19">
        <v>800</v>
      </c>
      <c r="AO153" s="21">
        <v>0</v>
      </c>
      <c r="AP153" s="22">
        <v>0</v>
      </c>
      <c r="AQ153" s="26">
        <f t="shared" si="33"/>
        <v>800</v>
      </c>
      <c r="AR153" s="37">
        <f t="shared" si="51"/>
        <v>1</v>
      </c>
      <c r="AS153" s="38">
        <f t="shared" si="52"/>
        <v>0.96969696969696972</v>
      </c>
      <c r="AT153" s="38">
        <f t="shared" si="53"/>
        <v>1</v>
      </c>
      <c r="AU153" s="27">
        <f t="shared" si="54"/>
        <v>0.96969696969696972</v>
      </c>
    </row>
    <row r="154" spans="1:47" s="1" customFormat="1" ht="21" customHeight="1" x14ac:dyDescent="0.25">
      <c r="A154" s="109">
        <v>46034</v>
      </c>
      <c r="B154" s="47" t="s">
        <v>49</v>
      </c>
      <c r="C154" s="88" t="s">
        <v>51</v>
      </c>
      <c r="D154" s="47" t="s">
        <v>122</v>
      </c>
      <c r="E154" s="48">
        <v>98992</v>
      </c>
      <c r="F154" s="48" t="s">
        <v>169</v>
      </c>
      <c r="G154" s="48" t="s">
        <v>125</v>
      </c>
      <c r="H154" s="30">
        <v>14957</v>
      </c>
      <c r="I154" s="30">
        <v>32</v>
      </c>
      <c r="J154" s="28">
        <f t="shared" si="55"/>
        <v>112.5</v>
      </c>
      <c r="K154" s="31">
        <v>0.58333333333333337</v>
      </c>
      <c r="L154" s="31">
        <v>0.9375</v>
      </c>
      <c r="M154" s="32">
        <f t="shared" si="38"/>
        <v>0.35416666666666663</v>
      </c>
      <c r="N154" s="36">
        <v>510</v>
      </c>
      <c r="O154" s="36">
        <f t="shared" si="49"/>
        <v>380</v>
      </c>
      <c r="P154" s="36">
        <f t="shared" si="47"/>
        <v>380</v>
      </c>
      <c r="Q154" s="15">
        <v>0</v>
      </c>
      <c r="R154" s="20">
        <v>0</v>
      </c>
      <c r="S154" s="16">
        <v>0</v>
      </c>
      <c r="T154" s="16">
        <v>0</v>
      </c>
      <c r="U154" s="20">
        <v>0</v>
      </c>
      <c r="V154" s="20">
        <v>0</v>
      </c>
      <c r="W154" s="20">
        <v>0</v>
      </c>
      <c r="X154" s="20">
        <v>0</v>
      </c>
      <c r="Y154" s="20">
        <v>0</v>
      </c>
      <c r="Z154" s="20">
        <v>0</v>
      </c>
      <c r="AA154" s="20">
        <v>0</v>
      </c>
      <c r="AB154" s="20">
        <v>0</v>
      </c>
      <c r="AC154" s="15">
        <f t="shared" si="44"/>
        <v>0</v>
      </c>
      <c r="AD154" s="15">
        <v>0</v>
      </c>
      <c r="AE154" s="15">
        <v>0</v>
      </c>
      <c r="AF154" s="15">
        <v>0</v>
      </c>
      <c r="AG154" s="15">
        <v>60</v>
      </c>
      <c r="AH154" s="15">
        <v>0</v>
      </c>
      <c r="AI154" s="15">
        <v>30</v>
      </c>
      <c r="AJ154" s="15">
        <v>10</v>
      </c>
      <c r="AK154" s="15">
        <v>30</v>
      </c>
      <c r="AL154" s="15">
        <f t="shared" si="50"/>
        <v>130</v>
      </c>
      <c r="AM154" s="29">
        <f t="shared" si="48"/>
        <v>712.5</v>
      </c>
      <c r="AN154" s="19">
        <v>600</v>
      </c>
      <c r="AO154" s="21">
        <v>0</v>
      </c>
      <c r="AP154" s="22">
        <v>1</v>
      </c>
      <c r="AQ154" s="26">
        <f t="shared" si="33"/>
        <v>599</v>
      </c>
      <c r="AR154" s="37">
        <f t="shared" si="51"/>
        <v>1</v>
      </c>
      <c r="AS154" s="38">
        <f t="shared" si="52"/>
        <v>0.84210526315789469</v>
      </c>
      <c r="AT154" s="38">
        <f t="shared" si="53"/>
        <v>0.99833333333333329</v>
      </c>
      <c r="AU154" s="27">
        <f t="shared" si="54"/>
        <v>0.84070175438596484</v>
      </c>
    </row>
    <row r="155" spans="1:47" s="1" customFormat="1" ht="21" customHeight="1" x14ac:dyDescent="0.25">
      <c r="A155" s="109">
        <v>46034</v>
      </c>
      <c r="B155" s="47" t="s">
        <v>49</v>
      </c>
      <c r="C155" s="88" t="s">
        <v>51</v>
      </c>
      <c r="D155" s="47" t="s">
        <v>128</v>
      </c>
      <c r="E155" s="48">
        <v>98992</v>
      </c>
      <c r="F155" s="48" t="s">
        <v>53</v>
      </c>
      <c r="G155" s="48" t="s">
        <v>125</v>
      </c>
      <c r="H155" s="30">
        <v>15851</v>
      </c>
      <c r="I155" s="30">
        <v>32</v>
      </c>
      <c r="J155" s="28">
        <f t="shared" si="55"/>
        <v>112.5</v>
      </c>
      <c r="K155" s="31">
        <v>0.58333333333333337</v>
      </c>
      <c r="L155" s="31">
        <v>0.9375</v>
      </c>
      <c r="M155" s="32">
        <f t="shared" si="38"/>
        <v>0.35416666666666663</v>
      </c>
      <c r="N155" s="36">
        <v>510</v>
      </c>
      <c r="O155" s="36">
        <f t="shared" si="49"/>
        <v>440</v>
      </c>
      <c r="P155" s="36">
        <f t="shared" si="47"/>
        <v>440</v>
      </c>
      <c r="Q155" s="15">
        <v>0</v>
      </c>
      <c r="R155" s="20">
        <v>0</v>
      </c>
      <c r="S155" s="16">
        <v>0</v>
      </c>
      <c r="T155" s="16">
        <v>0</v>
      </c>
      <c r="U155" s="20">
        <v>0</v>
      </c>
      <c r="V155" s="20">
        <v>0</v>
      </c>
      <c r="W155" s="20">
        <v>0</v>
      </c>
      <c r="X155" s="20">
        <v>0</v>
      </c>
      <c r="Y155" s="20">
        <v>0</v>
      </c>
      <c r="Z155" s="20">
        <v>0</v>
      </c>
      <c r="AA155" s="20">
        <v>0</v>
      </c>
      <c r="AB155" s="20">
        <v>0</v>
      </c>
      <c r="AC155" s="15">
        <f t="shared" si="44"/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30</v>
      </c>
      <c r="AJ155" s="15">
        <v>10</v>
      </c>
      <c r="AK155" s="15">
        <v>30</v>
      </c>
      <c r="AL155" s="15">
        <f t="shared" si="50"/>
        <v>70</v>
      </c>
      <c r="AM155" s="29">
        <f t="shared" si="48"/>
        <v>825</v>
      </c>
      <c r="AN155" s="19">
        <v>672</v>
      </c>
      <c r="AO155" s="21">
        <v>0</v>
      </c>
      <c r="AP155" s="22">
        <v>1</v>
      </c>
      <c r="AQ155" s="26">
        <f t="shared" si="33"/>
        <v>671</v>
      </c>
      <c r="AR155" s="37">
        <f t="shared" si="51"/>
        <v>1</v>
      </c>
      <c r="AS155" s="38">
        <f t="shared" si="52"/>
        <v>0.81454545454545457</v>
      </c>
      <c r="AT155" s="38">
        <f t="shared" si="53"/>
        <v>0.99851190476190477</v>
      </c>
      <c r="AU155" s="27">
        <f t="shared" si="54"/>
        <v>0.81333333333333335</v>
      </c>
    </row>
    <row r="156" spans="1:47" s="1" customFormat="1" ht="21" customHeight="1" x14ac:dyDescent="0.25">
      <c r="A156" s="109">
        <v>46034</v>
      </c>
      <c r="B156" s="47" t="s">
        <v>49</v>
      </c>
      <c r="C156" s="88" t="s">
        <v>51</v>
      </c>
      <c r="D156" s="47" t="s">
        <v>170</v>
      </c>
      <c r="E156" s="48">
        <v>98992</v>
      </c>
      <c r="F156" s="48" t="s">
        <v>176</v>
      </c>
      <c r="G156" s="48" t="s">
        <v>125</v>
      </c>
      <c r="H156" s="30">
        <v>15859</v>
      </c>
      <c r="I156" s="30">
        <v>20</v>
      </c>
      <c r="J156" s="28">
        <f t="shared" si="55"/>
        <v>180</v>
      </c>
      <c r="K156" s="31">
        <v>0.58333333333333337</v>
      </c>
      <c r="L156" s="31">
        <v>0.9375</v>
      </c>
      <c r="M156" s="32">
        <f t="shared" si="38"/>
        <v>0.35416666666666663</v>
      </c>
      <c r="N156" s="36">
        <v>510</v>
      </c>
      <c r="O156" s="36">
        <f t="shared" si="49"/>
        <v>220</v>
      </c>
      <c r="P156" s="36">
        <f t="shared" si="47"/>
        <v>220</v>
      </c>
      <c r="Q156" s="15">
        <v>0</v>
      </c>
      <c r="R156" s="20">
        <v>0</v>
      </c>
      <c r="S156" s="16">
        <v>0</v>
      </c>
      <c r="T156" s="16">
        <v>0</v>
      </c>
      <c r="U156" s="20">
        <v>0</v>
      </c>
      <c r="V156" s="20">
        <v>0</v>
      </c>
      <c r="W156" s="20">
        <v>0</v>
      </c>
      <c r="X156" s="20">
        <v>0</v>
      </c>
      <c r="Y156" s="20">
        <v>0</v>
      </c>
      <c r="Z156" s="20">
        <v>0</v>
      </c>
      <c r="AA156" s="20">
        <v>0</v>
      </c>
      <c r="AB156" s="20">
        <v>0</v>
      </c>
      <c r="AC156" s="15">
        <f t="shared" si="44"/>
        <v>0</v>
      </c>
      <c r="AD156" s="15">
        <v>0</v>
      </c>
      <c r="AE156" s="15">
        <v>0</v>
      </c>
      <c r="AF156" s="15">
        <v>0</v>
      </c>
      <c r="AG156" s="15">
        <v>220</v>
      </c>
      <c r="AH156" s="15">
        <v>0</v>
      </c>
      <c r="AI156" s="15">
        <v>30</v>
      </c>
      <c r="AJ156" s="15">
        <v>10</v>
      </c>
      <c r="AK156" s="15">
        <v>30</v>
      </c>
      <c r="AL156" s="15">
        <f t="shared" si="50"/>
        <v>290</v>
      </c>
      <c r="AM156" s="29">
        <f t="shared" si="48"/>
        <v>660</v>
      </c>
      <c r="AN156" s="19">
        <v>410</v>
      </c>
      <c r="AO156" s="21">
        <v>0</v>
      </c>
      <c r="AP156" s="22">
        <v>0</v>
      </c>
      <c r="AQ156" s="26">
        <f t="shared" si="33"/>
        <v>410</v>
      </c>
      <c r="AR156" s="37">
        <f t="shared" si="51"/>
        <v>1</v>
      </c>
      <c r="AS156" s="38">
        <f t="shared" si="52"/>
        <v>0.62121212121212122</v>
      </c>
      <c r="AT156" s="38">
        <f t="shared" si="53"/>
        <v>1</v>
      </c>
      <c r="AU156" s="27">
        <f t="shared" si="54"/>
        <v>0.62121212121212122</v>
      </c>
    </row>
    <row r="157" spans="1:47" s="1" customFormat="1" ht="21" customHeight="1" x14ac:dyDescent="0.25">
      <c r="A157" s="109">
        <v>46034</v>
      </c>
      <c r="B157" s="47" t="s">
        <v>49</v>
      </c>
      <c r="C157" s="79" t="s">
        <v>51</v>
      </c>
      <c r="D157" s="47" t="s">
        <v>127</v>
      </c>
      <c r="E157" s="48">
        <v>98992</v>
      </c>
      <c r="F157" s="48" t="s">
        <v>175</v>
      </c>
      <c r="G157" s="48" t="s">
        <v>125</v>
      </c>
      <c r="H157" s="30">
        <v>16219</v>
      </c>
      <c r="I157" s="30">
        <v>20</v>
      </c>
      <c r="J157" s="28">
        <f t="shared" si="55"/>
        <v>180</v>
      </c>
      <c r="K157" s="31">
        <v>0.58333333333333337</v>
      </c>
      <c r="L157" s="31">
        <v>0.9375</v>
      </c>
      <c r="M157" s="32">
        <f t="shared" si="38"/>
        <v>0.35416666666666663</v>
      </c>
      <c r="N157" s="36">
        <v>510</v>
      </c>
      <c r="O157" s="36">
        <f t="shared" si="49"/>
        <v>220</v>
      </c>
      <c r="P157" s="36">
        <f t="shared" si="47"/>
        <v>220</v>
      </c>
      <c r="Q157" s="15">
        <v>0</v>
      </c>
      <c r="R157" s="20">
        <v>0</v>
      </c>
      <c r="S157" s="16">
        <v>0</v>
      </c>
      <c r="T157" s="16">
        <v>0</v>
      </c>
      <c r="U157" s="20">
        <v>0</v>
      </c>
      <c r="V157" s="20">
        <v>0</v>
      </c>
      <c r="W157" s="20">
        <v>0</v>
      </c>
      <c r="X157" s="20">
        <v>0</v>
      </c>
      <c r="Y157" s="20">
        <v>0</v>
      </c>
      <c r="Z157" s="20">
        <v>0</v>
      </c>
      <c r="AA157" s="20">
        <v>0</v>
      </c>
      <c r="AB157" s="20">
        <v>0</v>
      </c>
      <c r="AC157" s="15">
        <f t="shared" si="44"/>
        <v>0</v>
      </c>
      <c r="AD157" s="15">
        <v>0</v>
      </c>
      <c r="AE157" s="15">
        <v>0</v>
      </c>
      <c r="AF157" s="15">
        <v>0</v>
      </c>
      <c r="AG157" s="15">
        <v>220</v>
      </c>
      <c r="AH157" s="15">
        <v>0</v>
      </c>
      <c r="AI157" s="15">
        <v>30</v>
      </c>
      <c r="AJ157" s="15">
        <v>10</v>
      </c>
      <c r="AK157" s="15">
        <v>30</v>
      </c>
      <c r="AL157" s="15">
        <f t="shared" si="50"/>
        <v>290</v>
      </c>
      <c r="AM157" s="29">
        <f t="shared" si="48"/>
        <v>660</v>
      </c>
      <c r="AN157" s="19">
        <v>552</v>
      </c>
      <c r="AO157" s="21">
        <v>0</v>
      </c>
      <c r="AP157" s="22">
        <v>0</v>
      </c>
      <c r="AQ157" s="26">
        <f t="shared" si="33"/>
        <v>552</v>
      </c>
      <c r="AR157" s="37">
        <f t="shared" si="51"/>
        <v>1</v>
      </c>
      <c r="AS157" s="38">
        <f t="shared" si="52"/>
        <v>0.83636363636363631</v>
      </c>
      <c r="AT157" s="38">
        <f t="shared" si="53"/>
        <v>1</v>
      </c>
      <c r="AU157" s="27">
        <f t="shared" si="54"/>
        <v>0.83636363636363631</v>
      </c>
    </row>
    <row r="158" spans="1:47" s="1" customFormat="1" ht="21" customHeight="1" x14ac:dyDescent="0.25">
      <c r="A158" s="109">
        <v>46035</v>
      </c>
      <c r="B158" s="47" t="s">
        <v>49</v>
      </c>
      <c r="C158" s="79" t="s">
        <v>21</v>
      </c>
      <c r="D158" s="47" t="s">
        <v>124</v>
      </c>
      <c r="E158" s="48">
        <v>98992</v>
      </c>
      <c r="F158" s="48" t="s">
        <v>215</v>
      </c>
      <c r="G158" s="48" t="s">
        <v>125</v>
      </c>
      <c r="H158" s="30">
        <v>15036</v>
      </c>
      <c r="I158" s="30">
        <v>32</v>
      </c>
      <c r="J158" s="28">
        <f t="shared" ref="J158:J162" si="56">3600/I158</f>
        <v>112.5</v>
      </c>
      <c r="K158" s="31">
        <v>0.25</v>
      </c>
      <c r="L158" s="31">
        <v>0.60416666666666663</v>
      </c>
      <c r="M158" s="32">
        <f t="shared" si="38"/>
        <v>0.35416666666666663</v>
      </c>
      <c r="N158" s="36">
        <v>510</v>
      </c>
      <c r="O158" s="36">
        <f t="shared" si="49"/>
        <v>440</v>
      </c>
      <c r="P158" s="36">
        <f t="shared" si="47"/>
        <v>440</v>
      </c>
      <c r="Q158" s="15">
        <v>0</v>
      </c>
      <c r="R158" s="20">
        <v>0</v>
      </c>
      <c r="S158" s="16">
        <v>0</v>
      </c>
      <c r="T158" s="16">
        <v>0</v>
      </c>
      <c r="U158" s="20">
        <v>0</v>
      </c>
      <c r="V158" s="20">
        <v>0</v>
      </c>
      <c r="W158" s="20">
        <v>0</v>
      </c>
      <c r="X158" s="20">
        <v>0</v>
      </c>
      <c r="Y158" s="20">
        <v>0</v>
      </c>
      <c r="Z158" s="20">
        <v>0</v>
      </c>
      <c r="AA158" s="20">
        <v>0</v>
      </c>
      <c r="AB158" s="20">
        <v>0</v>
      </c>
      <c r="AC158" s="15">
        <f t="shared" si="44"/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30</v>
      </c>
      <c r="AJ158" s="15">
        <v>10</v>
      </c>
      <c r="AK158" s="15">
        <v>30</v>
      </c>
      <c r="AL158" s="15">
        <f t="shared" si="50"/>
        <v>70</v>
      </c>
      <c r="AM158" s="29">
        <f t="shared" si="48"/>
        <v>825</v>
      </c>
      <c r="AN158" s="19">
        <v>687</v>
      </c>
      <c r="AO158" s="21">
        <v>0</v>
      </c>
      <c r="AP158" s="22">
        <v>0</v>
      </c>
      <c r="AQ158" s="26">
        <f t="shared" si="33"/>
        <v>687</v>
      </c>
      <c r="AR158" s="37">
        <f t="shared" si="51"/>
        <v>1</v>
      </c>
      <c r="AS158" s="38">
        <f t="shared" si="52"/>
        <v>0.83272727272727276</v>
      </c>
      <c r="AT158" s="38">
        <f t="shared" si="53"/>
        <v>1</v>
      </c>
      <c r="AU158" s="27">
        <f t="shared" si="54"/>
        <v>0.83272727272727276</v>
      </c>
    </row>
    <row r="159" spans="1:47" s="1" customFormat="1" ht="21" customHeight="1" x14ac:dyDescent="0.25">
      <c r="A159" s="109">
        <v>46035</v>
      </c>
      <c r="B159" s="47" t="s">
        <v>49</v>
      </c>
      <c r="C159" s="79" t="s">
        <v>21</v>
      </c>
      <c r="D159" s="47" t="s">
        <v>122</v>
      </c>
      <c r="E159" s="48">
        <v>98992</v>
      </c>
      <c r="F159" s="48" t="s">
        <v>169</v>
      </c>
      <c r="G159" s="48" t="s">
        <v>125</v>
      </c>
      <c r="H159" s="30">
        <v>15676</v>
      </c>
      <c r="I159" s="30">
        <v>32</v>
      </c>
      <c r="J159" s="28">
        <f t="shared" si="56"/>
        <v>112.5</v>
      </c>
      <c r="K159" s="31">
        <v>0.25</v>
      </c>
      <c r="L159" s="31">
        <v>0.60416666666666663</v>
      </c>
      <c r="M159" s="32">
        <f t="shared" si="38"/>
        <v>0.35416666666666663</v>
      </c>
      <c r="N159" s="36">
        <v>510</v>
      </c>
      <c r="O159" s="36">
        <f t="shared" si="49"/>
        <v>440</v>
      </c>
      <c r="P159" s="36">
        <f t="shared" si="47"/>
        <v>440</v>
      </c>
      <c r="Q159" s="15">
        <v>0</v>
      </c>
      <c r="R159" s="20">
        <v>0</v>
      </c>
      <c r="S159" s="16">
        <v>0</v>
      </c>
      <c r="T159" s="16">
        <v>0</v>
      </c>
      <c r="U159" s="20">
        <v>0</v>
      </c>
      <c r="V159" s="20">
        <v>0</v>
      </c>
      <c r="W159" s="20">
        <v>0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  <c r="AC159" s="15">
        <f t="shared" si="44"/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30</v>
      </c>
      <c r="AJ159" s="15">
        <v>10</v>
      </c>
      <c r="AK159" s="15">
        <v>30</v>
      </c>
      <c r="AL159" s="15">
        <f t="shared" si="50"/>
        <v>70</v>
      </c>
      <c r="AM159" s="29">
        <f t="shared" si="48"/>
        <v>825</v>
      </c>
      <c r="AN159" s="19">
        <v>507</v>
      </c>
      <c r="AO159" s="21">
        <v>0</v>
      </c>
      <c r="AP159" s="22">
        <v>1</v>
      </c>
      <c r="AQ159" s="26">
        <f t="shared" si="33"/>
        <v>506</v>
      </c>
      <c r="AR159" s="37">
        <f t="shared" si="51"/>
        <v>1</v>
      </c>
      <c r="AS159" s="38">
        <f t="shared" si="52"/>
        <v>0.61454545454545451</v>
      </c>
      <c r="AT159" s="38">
        <f t="shared" si="53"/>
        <v>0.99802761341222879</v>
      </c>
      <c r="AU159" s="27">
        <f t="shared" si="54"/>
        <v>0.61333333333333329</v>
      </c>
    </row>
    <row r="160" spans="1:47" s="1" customFormat="1" ht="21" customHeight="1" x14ac:dyDescent="0.25">
      <c r="A160" s="109">
        <v>46035</v>
      </c>
      <c r="B160" s="47" t="s">
        <v>49</v>
      </c>
      <c r="C160" s="79" t="s">
        <v>21</v>
      </c>
      <c r="D160" s="47" t="s">
        <v>128</v>
      </c>
      <c r="E160" s="48">
        <v>98992</v>
      </c>
      <c r="F160" s="48" t="s">
        <v>53</v>
      </c>
      <c r="G160" s="48" t="s">
        <v>125</v>
      </c>
      <c r="H160" s="30">
        <v>15632</v>
      </c>
      <c r="I160" s="30">
        <v>32</v>
      </c>
      <c r="J160" s="28">
        <f t="shared" si="56"/>
        <v>112.5</v>
      </c>
      <c r="K160" s="31">
        <v>0.25</v>
      </c>
      <c r="L160" s="31">
        <v>0.60416666666666663</v>
      </c>
      <c r="M160" s="32">
        <f t="shared" si="38"/>
        <v>0.35416666666666663</v>
      </c>
      <c r="N160" s="36">
        <v>510</v>
      </c>
      <c r="O160" s="36">
        <f t="shared" si="49"/>
        <v>440</v>
      </c>
      <c r="P160" s="36">
        <f t="shared" si="47"/>
        <v>440</v>
      </c>
      <c r="Q160" s="15">
        <v>0</v>
      </c>
      <c r="R160" s="20">
        <v>0</v>
      </c>
      <c r="S160" s="16">
        <v>0</v>
      </c>
      <c r="T160" s="16">
        <v>0</v>
      </c>
      <c r="U160" s="20">
        <v>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15">
        <f t="shared" si="44"/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30</v>
      </c>
      <c r="AJ160" s="15">
        <v>10</v>
      </c>
      <c r="AK160" s="15">
        <v>30</v>
      </c>
      <c r="AL160" s="15">
        <f t="shared" si="50"/>
        <v>70</v>
      </c>
      <c r="AM160" s="29">
        <f t="shared" si="48"/>
        <v>825</v>
      </c>
      <c r="AN160" s="19">
        <v>552</v>
      </c>
      <c r="AO160" s="21">
        <v>0</v>
      </c>
      <c r="AP160" s="22">
        <v>1</v>
      </c>
      <c r="AQ160" s="26">
        <f t="shared" si="33"/>
        <v>551</v>
      </c>
      <c r="AR160" s="37">
        <f t="shared" si="51"/>
        <v>1</v>
      </c>
      <c r="AS160" s="38">
        <f>AN160/AM160</f>
        <v>0.66909090909090907</v>
      </c>
      <c r="AT160" s="38">
        <f t="shared" si="53"/>
        <v>0.99818840579710144</v>
      </c>
      <c r="AU160" s="27">
        <f t="shared" si="54"/>
        <v>0.66787878787878785</v>
      </c>
    </row>
    <row r="161" spans="1:47" s="1" customFormat="1" ht="21" customHeight="1" x14ac:dyDescent="0.25">
      <c r="A161" s="109">
        <v>46035</v>
      </c>
      <c r="B161" s="47" t="s">
        <v>49</v>
      </c>
      <c r="C161" s="79" t="s">
        <v>21</v>
      </c>
      <c r="D161" s="47" t="s">
        <v>170</v>
      </c>
      <c r="E161" s="48">
        <v>98992</v>
      </c>
      <c r="F161" s="48" t="s">
        <v>176</v>
      </c>
      <c r="G161" s="48" t="s">
        <v>125</v>
      </c>
      <c r="H161" s="30">
        <v>15688</v>
      </c>
      <c r="I161" s="30">
        <v>20</v>
      </c>
      <c r="J161" s="28">
        <f t="shared" si="56"/>
        <v>180</v>
      </c>
      <c r="K161" s="31">
        <v>0.25</v>
      </c>
      <c r="L161" s="31">
        <v>0.60416666666666663</v>
      </c>
      <c r="M161" s="32">
        <f t="shared" si="38"/>
        <v>0.35416666666666663</v>
      </c>
      <c r="N161" s="36">
        <v>510</v>
      </c>
      <c r="O161" s="36">
        <f t="shared" si="49"/>
        <v>440</v>
      </c>
      <c r="P161" s="36">
        <f t="shared" si="47"/>
        <v>440</v>
      </c>
      <c r="Q161" s="15">
        <v>0</v>
      </c>
      <c r="R161" s="20">
        <v>0</v>
      </c>
      <c r="S161" s="16">
        <v>0</v>
      </c>
      <c r="T161" s="16">
        <v>0</v>
      </c>
      <c r="U161" s="20">
        <v>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15">
        <f t="shared" si="44"/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30</v>
      </c>
      <c r="AJ161" s="15">
        <v>10</v>
      </c>
      <c r="AK161" s="15">
        <v>30</v>
      </c>
      <c r="AL161" s="15">
        <f t="shared" si="50"/>
        <v>70</v>
      </c>
      <c r="AM161" s="29">
        <f t="shared" si="48"/>
        <v>1320</v>
      </c>
      <c r="AN161" s="19">
        <v>804</v>
      </c>
      <c r="AO161" s="21">
        <v>0</v>
      </c>
      <c r="AP161" s="22">
        <v>0</v>
      </c>
      <c r="AQ161" s="26">
        <f t="shared" si="33"/>
        <v>804</v>
      </c>
      <c r="AR161" s="37">
        <f t="shared" si="51"/>
        <v>1</v>
      </c>
      <c r="AS161" s="38">
        <f>AN161/AM161</f>
        <v>0.60909090909090913</v>
      </c>
      <c r="AT161" s="38">
        <f t="shared" si="53"/>
        <v>1</v>
      </c>
      <c r="AU161" s="27">
        <f t="shared" si="54"/>
        <v>0.60909090909090913</v>
      </c>
    </row>
    <row r="162" spans="1:47" s="1" customFormat="1" ht="21" customHeight="1" x14ac:dyDescent="0.25">
      <c r="A162" s="109">
        <v>46035</v>
      </c>
      <c r="B162" s="47" t="s">
        <v>49</v>
      </c>
      <c r="C162" s="79" t="s">
        <v>21</v>
      </c>
      <c r="D162" s="47" t="s">
        <v>94</v>
      </c>
      <c r="E162" s="48">
        <v>98992</v>
      </c>
      <c r="F162" s="48" t="s">
        <v>67</v>
      </c>
      <c r="G162" s="48" t="s">
        <v>174</v>
      </c>
      <c r="H162" s="30">
        <v>13562</v>
      </c>
      <c r="I162" s="30">
        <v>24</v>
      </c>
      <c r="J162" s="28">
        <f t="shared" si="56"/>
        <v>150</v>
      </c>
      <c r="K162" s="31">
        <v>0.25</v>
      </c>
      <c r="L162" s="31">
        <v>0.60416666666666663</v>
      </c>
      <c r="M162" s="32">
        <f t="shared" si="38"/>
        <v>0.35416666666666663</v>
      </c>
      <c r="N162" s="36">
        <v>510</v>
      </c>
      <c r="O162" s="36">
        <f t="shared" si="49"/>
        <v>220</v>
      </c>
      <c r="P162" s="36">
        <f t="shared" si="47"/>
        <v>220</v>
      </c>
      <c r="Q162" s="15">
        <v>0</v>
      </c>
      <c r="R162" s="20">
        <v>0</v>
      </c>
      <c r="S162" s="16">
        <v>0</v>
      </c>
      <c r="T162" s="16">
        <v>0</v>
      </c>
      <c r="U162" s="20">
        <v>0</v>
      </c>
      <c r="V162" s="20">
        <v>0</v>
      </c>
      <c r="W162" s="20">
        <v>0</v>
      </c>
      <c r="X162" s="20">
        <v>0</v>
      </c>
      <c r="Y162" s="20">
        <v>0</v>
      </c>
      <c r="Z162" s="20">
        <v>0</v>
      </c>
      <c r="AA162" s="20">
        <v>0</v>
      </c>
      <c r="AB162" s="20">
        <v>0</v>
      </c>
      <c r="AC162" s="15">
        <f t="shared" si="44"/>
        <v>0</v>
      </c>
      <c r="AD162" s="15">
        <v>0</v>
      </c>
      <c r="AE162" s="15">
        <v>0</v>
      </c>
      <c r="AF162" s="15">
        <v>0</v>
      </c>
      <c r="AG162" s="15">
        <v>220</v>
      </c>
      <c r="AH162" s="15">
        <v>0</v>
      </c>
      <c r="AI162" s="15">
        <v>30</v>
      </c>
      <c r="AJ162" s="15">
        <v>10</v>
      </c>
      <c r="AK162" s="15">
        <v>30</v>
      </c>
      <c r="AL162" s="15">
        <f t="shared" si="50"/>
        <v>290</v>
      </c>
      <c r="AM162" s="29">
        <f t="shared" si="48"/>
        <v>550</v>
      </c>
      <c r="AN162" s="19">
        <v>384</v>
      </c>
      <c r="AO162" s="21">
        <v>0</v>
      </c>
      <c r="AP162" s="22">
        <v>0</v>
      </c>
      <c r="AQ162" s="26">
        <f t="shared" si="33"/>
        <v>384</v>
      </c>
      <c r="AR162" s="37">
        <f t="shared" si="51"/>
        <v>1</v>
      </c>
      <c r="AS162" s="38">
        <f>AN162/AM162</f>
        <v>0.69818181818181824</v>
      </c>
      <c r="AT162" s="38">
        <f t="shared" si="53"/>
        <v>1</v>
      </c>
      <c r="AU162" s="27">
        <f t="shared" si="54"/>
        <v>0.69818181818181824</v>
      </c>
    </row>
    <row r="163" spans="1:47" s="1" customFormat="1" ht="21" customHeight="1" x14ac:dyDescent="0.25">
      <c r="A163" s="109">
        <v>46035</v>
      </c>
      <c r="B163" s="47" t="s">
        <v>49</v>
      </c>
      <c r="C163" s="79" t="s">
        <v>21</v>
      </c>
      <c r="D163" s="47" t="s">
        <v>88</v>
      </c>
      <c r="E163" s="48">
        <v>98992</v>
      </c>
      <c r="F163" s="48" t="s">
        <v>126</v>
      </c>
      <c r="G163" s="48" t="s">
        <v>87</v>
      </c>
      <c r="H163" s="30">
        <v>15671</v>
      </c>
      <c r="I163" s="30">
        <v>32</v>
      </c>
      <c r="J163" s="28">
        <f t="shared" ref="J163:J168" si="57">3600/I163</f>
        <v>112.5</v>
      </c>
      <c r="K163" s="31">
        <v>0.25</v>
      </c>
      <c r="L163" s="31">
        <v>0.60416666666666663</v>
      </c>
      <c r="M163" s="32">
        <f t="shared" si="38"/>
        <v>0.35416666666666663</v>
      </c>
      <c r="N163" s="36">
        <v>510</v>
      </c>
      <c r="O163" s="36">
        <f t="shared" si="49"/>
        <v>220</v>
      </c>
      <c r="P163" s="36">
        <f t="shared" si="47"/>
        <v>220</v>
      </c>
      <c r="Q163" s="15">
        <v>0</v>
      </c>
      <c r="R163" s="20">
        <v>0</v>
      </c>
      <c r="S163" s="16">
        <v>0</v>
      </c>
      <c r="T163" s="16">
        <v>0</v>
      </c>
      <c r="U163" s="20">
        <v>0</v>
      </c>
      <c r="V163" s="20">
        <v>0</v>
      </c>
      <c r="W163" s="20">
        <v>0</v>
      </c>
      <c r="X163" s="20">
        <v>0</v>
      </c>
      <c r="Y163" s="20">
        <v>0</v>
      </c>
      <c r="Z163" s="20">
        <v>0</v>
      </c>
      <c r="AA163" s="20">
        <v>0</v>
      </c>
      <c r="AB163" s="20">
        <v>0</v>
      </c>
      <c r="AC163" s="15">
        <f t="shared" si="44"/>
        <v>0</v>
      </c>
      <c r="AD163" s="15">
        <v>0</v>
      </c>
      <c r="AE163" s="15">
        <v>0</v>
      </c>
      <c r="AF163" s="15">
        <v>0</v>
      </c>
      <c r="AG163" s="15">
        <v>220</v>
      </c>
      <c r="AH163" s="15">
        <v>0</v>
      </c>
      <c r="AI163" s="15">
        <v>30</v>
      </c>
      <c r="AJ163" s="15">
        <v>10</v>
      </c>
      <c r="AK163" s="15">
        <v>30</v>
      </c>
      <c r="AL163" s="15">
        <f t="shared" si="50"/>
        <v>290</v>
      </c>
      <c r="AM163" s="29">
        <f t="shared" si="48"/>
        <v>412.5</v>
      </c>
      <c r="AN163" s="19">
        <v>351</v>
      </c>
      <c r="AO163" s="21">
        <v>0</v>
      </c>
      <c r="AP163" s="22">
        <v>1</v>
      </c>
      <c r="AQ163" s="26">
        <f t="shared" si="33"/>
        <v>350</v>
      </c>
      <c r="AR163" s="37">
        <f t="shared" si="51"/>
        <v>1</v>
      </c>
      <c r="AS163" s="38">
        <f>AN163/AM163</f>
        <v>0.85090909090909095</v>
      </c>
      <c r="AT163" s="38">
        <f t="shared" si="53"/>
        <v>0.9971509971509972</v>
      </c>
      <c r="AU163" s="27">
        <f t="shared" si="54"/>
        <v>0.84848484848484862</v>
      </c>
    </row>
    <row r="164" spans="1:47" s="1" customFormat="1" ht="21" customHeight="1" x14ac:dyDescent="0.25">
      <c r="A164" s="109">
        <v>46035</v>
      </c>
      <c r="B164" s="47" t="s">
        <v>49</v>
      </c>
      <c r="C164" s="79" t="s">
        <v>21</v>
      </c>
      <c r="D164" s="47" t="s">
        <v>89</v>
      </c>
      <c r="E164" s="48">
        <v>98992</v>
      </c>
      <c r="F164" s="48" t="s">
        <v>169</v>
      </c>
      <c r="G164" s="48" t="s">
        <v>87</v>
      </c>
      <c r="H164" s="30">
        <v>11682</v>
      </c>
      <c r="I164" s="30">
        <v>32</v>
      </c>
      <c r="J164" s="28">
        <f t="shared" si="57"/>
        <v>112.5</v>
      </c>
      <c r="K164" s="31">
        <v>0.25</v>
      </c>
      <c r="L164" s="31">
        <v>0.60416666666666663</v>
      </c>
      <c r="M164" s="32">
        <f t="shared" si="38"/>
        <v>0.35416666666666663</v>
      </c>
      <c r="N164" s="36">
        <v>510</v>
      </c>
      <c r="O164" s="36">
        <f t="shared" si="49"/>
        <v>440</v>
      </c>
      <c r="P164" s="36">
        <f t="shared" si="47"/>
        <v>440</v>
      </c>
      <c r="Q164" s="15">
        <v>0</v>
      </c>
      <c r="R164" s="20">
        <v>0</v>
      </c>
      <c r="S164" s="16">
        <v>0</v>
      </c>
      <c r="T164" s="16">
        <v>0</v>
      </c>
      <c r="U164" s="20">
        <v>0</v>
      </c>
      <c r="V164" s="20">
        <v>0</v>
      </c>
      <c r="W164" s="20">
        <v>0</v>
      </c>
      <c r="X164" s="20">
        <v>0</v>
      </c>
      <c r="Y164" s="20">
        <v>0</v>
      </c>
      <c r="Z164" s="20">
        <v>0</v>
      </c>
      <c r="AA164" s="20">
        <v>0</v>
      </c>
      <c r="AB164" s="20">
        <v>0</v>
      </c>
      <c r="AC164" s="15">
        <f t="shared" si="44"/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30</v>
      </c>
      <c r="AJ164" s="15">
        <v>10</v>
      </c>
      <c r="AK164" s="15">
        <v>30</v>
      </c>
      <c r="AL164" s="15">
        <f t="shared" si="50"/>
        <v>70</v>
      </c>
      <c r="AM164" s="29">
        <f t="shared" si="48"/>
        <v>825</v>
      </c>
      <c r="AN164" s="19">
        <v>655</v>
      </c>
      <c r="AO164" s="21">
        <v>0</v>
      </c>
      <c r="AP164" s="22">
        <v>2</v>
      </c>
      <c r="AQ164" s="26">
        <f t="shared" si="33"/>
        <v>653</v>
      </c>
      <c r="AR164" s="37">
        <f t="shared" si="51"/>
        <v>1</v>
      </c>
      <c r="AS164" s="38">
        <f>AN164/AM164</f>
        <v>0.79393939393939394</v>
      </c>
      <c r="AT164" s="38">
        <f t="shared" si="53"/>
        <v>0.99694656488549616</v>
      </c>
      <c r="AU164" s="27">
        <f t="shared" si="54"/>
        <v>0.7915151515151515</v>
      </c>
    </row>
    <row r="165" spans="1:47" s="1" customFormat="1" ht="21" customHeight="1" x14ac:dyDescent="0.25">
      <c r="A165" s="109">
        <v>46035</v>
      </c>
      <c r="B165" s="47" t="s">
        <v>49</v>
      </c>
      <c r="C165" s="79" t="s">
        <v>21</v>
      </c>
      <c r="D165" s="47" t="s">
        <v>52</v>
      </c>
      <c r="E165" s="48">
        <v>98992</v>
      </c>
      <c r="F165" s="48" t="s">
        <v>53</v>
      </c>
      <c r="G165" s="48" t="s">
        <v>87</v>
      </c>
      <c r="H165" s="30">
        <v>16000</v>
      </c>
      <c r="I165" s="30">
        <v>32</v>
      </c>
      <c r="J165" s="28">
        <f t="shared" si="57"/>
        <v>112.5</v>
      </c>
      <c r="K165" s="31">
        <v>0.25</v>
      </c>
      <c r="L165" s="31">
        <v>0.60416666666666663</v>
      </c>
      <c r="M165" s="32">
        <f t="shared" si="38"/>
        <v>0.35416666666666663</v>
      </c>
      <c r="N165" s="36">
        <v>510</v>
      </c>
      <c r="O165" s="36">
        <f t="shared" si="49"/>
        <v>440</v>
      </c>
      <c r="P165" s="36">
        <f t="shared" si="47"/>
        <v>440</v>
      </c>
      <c r="Q165" s="15">
        <v>0</v>
      </c>
      <c r="R165" s="20">
        <v>0</v>
      </c>
      <c r="S165" s="16">
        <v>0</v>
      </c>
      <c r="T165" s="16">
        <v>0</v>
      </c>
      <c r="U165" s="20">
        <v>0</v>
      </c>
      <c r="V165" s="20">
        <v>0</v>
      </c>
      <c r="W165" s="20">
        <v>0</v>
      </c>
      <c r="X165" s="20">
        <v>0</v>
      </c>
      <c r="Y165" s="20">
        <v>0</v>
      </c>
      <c r="Z165" s="20">
        <v>0</v>
      </c>
      <c r="AA165" s="20">
        <v>0</v>
      </c>
      <c r="AB165" s="20">
        <v>0</v>
      </c>
      <c r="AC165" s="15">
        <f t="shared" si="44"/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30</v>
      </c>
      <c r="AJ165" s="15">
        <v>10</v>
      </c>
      <c r="AK165" s="15">
        <v>30</v>
      </c>
      <c r="AL165" s="15">
        <f t="shared" si="50"/>
        <v>70</v>
      </c>
      <c r="AM165" s="29">
        <f t="shared" si="48"/>
        <v>825</v>
      </c>
      <c r="AN165" s="19">
        <v>660</v>
      </c>
      <c r="AO165" s="21">
        <v>0</v>
      </c>
      <c r="AP165" s="22">
        <v>1</v>
      </c>
      <c r="AQ165" s="26">
        <f t="shared" si="33"/>
        <v>659</v>
      </c>
      <c r="AR165" s="37">
        <f t="shared" si="51"/>
        <v>1</v>
      </c>
      <c r="AS165" s="38">
        <f t="shared" ref="AS165:AS173" si="58">AN165/AM165</f>
        <v>0.8</v>
      </c>
      <c r="AT165" s="38">
        <f t="shared" si="53"/>
        <v>0.99848484848484853</v>
      </c>
      <c r="AU165" s="27">
        <f t="shared" si="54"/>
        <v>0.79878787878787882</v>
      </c>
    </row>
    <row r="166" spans="1:47" s="1" customFormat="1" ht="21" customHeight="1" x14ac:dyDescent="0.25">
      <c r="A166" s="109">
        <v>46035</v>
      </c>
      <c r="B166" s="47" t="s">
        <v>49</v>
      </c>
      <c r="C166" s="79" t="s">
        <v>21</v>
      </c>
      <c r="D166" s="47" t="s">
        <v>86</v>
      </c>
      <c r="E166" s="48">
        <v>98992</v>
      </c>
      <c r="F166" s="48" t="s">
        <v>176</v>
      </c>
      <c r="G166" s="48" t="s">
        <v>87</v>
      </c>
      <c r="H166" s="30">
        <v>15573</v>
      </c>
      <c r="I166" s="30">
        <v>20</v>
      </c>
      <c r="J166" s="28">
        <f t="shared" si="57"/>
        <v>180</v>
      </c>
      <c r="K166" s="31">
        <v>0.25</v>
      </c>
      <c r="L166" s="31">
        <v>0.60416666666666663</v>
      </c>
      <c r="M166" s="32">
        <f t="shared" ref="M166:M192" si="59">IF(L166&gt;K166,L166-K166,1+L166-K166)</f>
        <v>0.35416666666666663</v>
      </c>
      <c r="N166" s="36">
        <v>510</v>
      </c>
      <c r="O166" s="36">
        <f t="shared" si="49"/>
        <v>440</v>
      </c>
      <c r="P166" s="36">
        <f t="shared" si="47"/>
        <v>440</v>
      </c>
      <c r="Q166" s="15">
        <v>0</v>
      </c>
      <c r="R166" s="20">
        <v>0</v>
      </c>
      <c r="S166" s="16">
        <v>0</v>
      </c>
      <c r="T166" s="16">
        <v>0</v>
      </c>
      <c r="U166" s="20">
        <v>0</v>
      </c>
      <c r="V166" s="20">
        <v>0</v>
      </c>
      <c r="W166" s="20">
        <v>0</v>
      </c>
      <c r="X166" s="20">
        <v>0</v>
      </c>
      <c r="Y166" s="20">
        <v>0</v>
      </c>
      <c r="Z166" s="20">
        <v>0</v>
      </c>
      <c r="AA166" s="20">
        <v>0</v>
      </c>
      <c r="AB166" s="20">
        <v>0</v>
      </c>
      <c r="AC166" s="15">
        <f t="shared" si="44"/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30</v>
      </c>
      <c r="AJ166" s="15">
        <v>10</v>
      </c>
      <c r="AK166" s="15">
        <v>30</v>
      </c>
      <c r="AL166" s="15">
        <f t="shared" si="50"/>
        <v>70</v>
      </c>
      <c r="AM166" s="29">
        <f t="shared" si="48"/>
        <v>1320</v>
      </c>
      <c r="AN166" s="19">
        <v>850</v>
      </c>
      <c r="AO166" s="21">
        <v>0</v>
      </c>
      <c r="AP166" s="22">
        <v>2</v>
      </c>
      <c r="AQ166" s="26">
        <f t="shared" ref="AQ166:AQ245" si="60">AN166-(AP166+AO166)</f>
        <v>848</v>
      </c>
      <c r="AR166" s="37">
        <f t="shared" si="51"/>
        <v>1</v>
      </c>
      <c r="AS166" s="38">
        <f t="shared" si="58"/>
        <v>0.64393939393939392</v>
      </c>
      <c r="AT166" s="38">
        <f t="shared" si="53"/>
        <v>0.99764705882352944</v>
      </c>
      <c r="AU166" s="27">
        <f t="shared" si="54"/>
        <v>0.64242424242424245</v>
      </c>
    </row>
    <row r="167" spans="1:47" s="1" customFormat="1" ht="21" customHeight="1" x14ac:dyDescent="0.25">
      <c r="A167" s="109">
        <v>46035</v>
      </c>
      <c r="B167" s="47" t="s">
        <v>49</v>
      </c>
      <c r="C167" s="79" t="s">
        <v>21</v>
      </c>
      <c r="D167" s="47" t="s">
        <v>172</v>
      </c>
      <c r="E167" s="48">
        <v>98992</v>
      </c>
      <c r="F167" s="48" t="s">
        <v>175</v>
      </c>
      <c r="G167" s="48" t="s">
        <v>87</v>
      </c>
      <c r="H167" s="30">
        <v>15882</v>
      </c>
      <c r="I167" s="30">
        <v>20</v>
      </c>
      <c r="J167" s="28">
        <f t="shared" si="57"/>
        <v>180</v>
      </c>
      <c r="K167" s="31">
        <v>0.25</v>
      </c>
      <c r="L167" s="31">
        <v>0.60416666666666663</v>
      </c>
      <c r="M167" s="32">
        <f t="shared" si="59"/>
        <v>0.35416666666666663</v>
      </c>
      <c r="N167" s="36">
        <v>510</v>
      </c>
      <c r="O167" s="36">
        <f t="shared" si="49"/>
        <v>440</v>
      </c>
      <c r="P167" s="36">
        <f t="shared" si="47"/>
        <v>440</v>
      </c>
      <c r="Q167" s="15">
        <v>0</v>
      </c>
      <c r="R167" s="20">
        <v>0</v>
      </c>
      <c r="S167" s="16">
        <v>0</v>
      </c>
      <c r="T167" s="16">
        <v>0</v>
      </c>
      <c r="U167" s="20">
        <v>0</v>
      </c>
      <c r="V167" s="20">
        <v>0</v>
      </c>
      <c r="W167" s="20">
        <v>0</v>
      </c>
      <c r="X167" s="20">
        <v>0</v>
      </c>
      <c r="Y167" s="20">
        <v>0</v>
      </c>
      <c r="Z167" s="20">
        <v>0</v>
      </c>
      <c r="AA167" s="20">
        <v>0</v>
      </c>
      <c r="AB167" s="20">
        <v>0</v>
      </c>
      <c r="AC167" s="15">
        <f t="shared" si="44"/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30</v>
      </c>
      <c r="AJ167" s="15">
        <v>10</v>
      </c>
      <c r="AK167" s="15">
        <v>30</v>
      </c>
      <c r="AL167" s="15">
        <f t="shared" si="50"/>
        <v>70</v>
      </c>
      <c r="AM167" s="29">
        <f t="shared" si="48"/>
        <v>1320</v>
      </c>
      <c r="AN167" s="19">
        <v>1140</v>
      </c>
      <c r="AO167" s="21">
        <v>0</v>
      </c>
      <c r="AP167" s="22">
        <v>0</v>
      </c>
      <c r="AQ167" s="26">
        <f t="shared" si="60"/>
        <v>1140</v>
      </c>
      <c r="AR167" s="37">
        <f t="shared" si="51"/>
        <v>1</v>
      </c>
      <c r="AS167" s="38">
        <f t="shared" si="58"/>
        <v>0.86363636363636365</v>
      </c>
      <c r="AT167" s="38">
        <f t="shared" si="53"/>
        <v>1</v>
      </c>
      <c r="AU167" s="27">
        <f t="shared" si="54"/>
        <v>0.86363636363636365</v>
      </c>
    </row>
    <row r="168" spans="1:47" s="1" customFormat="1" ht="21" customHeight="1" x14ac:dyDescent="0.25">
      <c r="A168" s="109">
        <v>46035</v>
      </c>
      <c r="B168" s="47" t="s">
        <v>49</v>
      </c>
      <c r="C168" s="79" t="s">
        <v>51</v>
      </c>
      <c r="D168" s="47" t="s">
        <v>94</v>
      </c>
      <c r="E168" s="48">
        <v>98992</v>
      </c>
      <c r="F168" s="48" t="s">
        <v>67</v>
      </c>
      <c r="G168" s="48" t="s">
        <v>174</v>
      </c>
      <c r="H168" s="30">
        <v>15833</v>
      </c>
      <c r="I168" s="30">
        <v>24</v>
      </c>
      <c r="J168" s="28">
        <f t="shared" si="57"/>
        <v>150</v>
      </c>
      <c r="K168" s="31">
        <v>0.58333333333333337</v>
      </c>
      <c r="L168" s="31">
        <v>0.9375</v>
      </c>
      <c r="M168" s="32">
        <f t="shared" si="59"/>
        <v>0.35416666666666663</v>
      </c>
      <c r="N168" s="36">
        <v>510</v>
      </c>
      <c r="O168" s="36">
        <f t="shared" si="49"/>
        <v>440</v>
      </c>
      <c r="P168" s="36">
        <f t="shared" si="47"/>
        <v>440</v>
      </c>
      <c r="Q168" s="15">
        <v>0</v>
      </c>
      <c r="R168" s="20">
        <v>0</v>
      </c>
      <c r="S168" s="16">
        <v>0</v>
      </c>
      <c r="T168" s="16">
        <v>0</v>
      </c>
      <c r="U168" s="20">
        <v>0</v>
      </c>
      <c r="V168" s="20">
        <v>0</v>
      </c>
      <c r="W168" s="20">
        <v>0</v>
      </c>
      <c r="X168" s="20">
        <v>0</v>
      </c>
      <c r="Y168" s="20">
        <v>0</v>
      </c>
      <c r="Z168" s="20">
        <v>0</v>
      </c>
      <c r="AA168" s="20">
        <v>0</v>
      </c>
      <c r="AB168" s="20">
        <v>0</v>
      </c>
      <c r="AC168" s="15">
        <f t="shared" si="44"/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30</v>
      </c>
      <c r="AJ168" s="15">
        <v>10</v>
      </c>
      <c r="AK168" s="15">
        <v>30</v>
      </c>
      <c r="AL168" s="15">
        <f t="shared" si="50"/>
        <v>70</v>
      </c>
      <c r="AM168" s="29">
        <f t="shared" si="48"/>
        <v>1100</v>
      </c>
      <c r="AN168" s="19">
        <v>1021</v>
      </c>
      <c r="AO168" s="21">
        <v>0</v>
      </c>
      <c r="AP168" s="22">
        <v>16</v>
      </c>
      <c r="AQ168" s="26">
        <f t="shared" si="60"/>
        <v>1005</v>
      </c>
      <c r="AR168" s="37">
        <f t="shared" si="51"/>
        <v>1</v>
      </c>
      <c r="AS168" s="38">
        <f t="shared" si="58"/>
        <v>0.92818181818181822</v>
      </c>
      <c r="AT168" s="38">
        <f t="shared" si="53"/>
        <v>0.98432908912830563</v>
      </c>
      <c r="AU168" s="27">
        <f t="shared" si="54"/>
        <v>0.91363636363636369</v>
      </c>
    </row>
    <row r="169" spans="1:47" s="1" customFormat="1" ht="21" customHeight="1" x14ac:dyDescent="0.25">
      <c r="A169" s="109">
        <v>46035</v>
      </c>
      <c r="B169" s="47" t="s">
        <v>49</v>
      </c>
      <c r="C169" s="79" t="s">
        <v>51</v>
      </c>
      <c r="D169" s="47" t="s">
        <v>88</v>
      </c>
      <c r="E169" s="48">
        <v>98992</v>
      </c>
      <c r="F169" s="48" t="s">
        <v>126</v>
      </c>
      <c r="G169" s="48" t="s">
        <v>87</v>
      </c>
      <c r="H169" s="30">
        <v>13106</v>
      </c>
      <c r="I169" s="30">
        <v>32</v>
      </c>
      <c r="J169" s="28">
        <f t="shared" ref="J169:J178" si="61">3600/I169</f>
        <v>112.5</v>
      </c>
      <c r="K169" s="31">
        <v>0.58333333333333337</v>
      </c>
      <c r="L169" s="31">
        <v>0.9375</v>
      </c>
      <c r="M169" s="32">
        <f t="shared" si="59"/>
        <v>0.35416666666666663</v>
      </c>
      <c r="N169" s="36">
        <v>510</v>
      </c>
      <c r="O169" s="36">
        <f t="shared" si="49"/>
        <v>440</v>
      </c>
      <c r="P169" s="36">
        <f t="shared" si="47"/>
        <v>440</v>
      </c>
      <c r="Q169" s="15">
        <v>0</v>
      </c>
      <c r="R169" s="20">
        <v>0</v>
      </c>
      <c r="S169" s="16">
        <v>0</v>
      </c>
      <c r="T169" s="16">
        <v>0</v>
      </c>
      <c r="U169" s="20">
        <v>0</v>
      </c>
      <c r="V169" s="20">
        <v>0</v>
      </c>
      <c r="W169" s="20">
        <v>0</v>
      </c>
      <c r="X169" s="20">
        <v>0</v>
      </c>
      <c r="Y169" s="20">
        <v>0</v>
      </c>
      <c r="Z169" s="20">
        <v>0</v>
      </c>
      <c r="AA169" s="20">
        <v>0</v>
      </c>
      <c r="AB169" s="20">
        <v>0</v>
      </c>
      <c r="AC169" s="15">
        <f t="shared" si="44"/>
        <v>0</v>
      </c>
      <c r="AD169" s="15">
        <v>0</v>
      </c>
      <c r="AE169" s="15">
        <v>0</v>
      </c>
      <c r="AF169" s="15">
        <v>0</v>
      </c>
      <c r="AG169" s="15">
        <v>220</v>
      </c>
      <c r="AH169" s="15">
        <v>0</v>
      </c>
      <c r="AI169" s="15">
        <v>30</v>
      </c>
      <c r="AJ169" s="15">
        <v>10</v>
      </c>
      <c r="AK169" s="15">
        <v>30</v>
      </c>
      <c r="AL169" s="15">
        <v>70</v>
      </c>
      <c r="AM169" s="29">
        <f t="shared" si="48"/>
        <v>825</v>
      </c>
      <c r="AN169" s="19">
        <v>303</v>
      </c>
      <c r="AO169" s="21">
        <v>0</v>
      </c>
      <c r="AP169" s="22">
        <v>0</v>
      </c>
      <c r="AQ169" s="26">
        <f t="shared" si="60"/>
        <v>303</v>
      </c>
      <c r="AR169" s="37">
        <f t="shared" si="51"/>
        <v>1</v>
      </c>
      <c r="AS169" s="38">
        <f t="shared" si="58"/>
        <v>0.36727272727272725</v>
      </c>
      <c r="AT169" s="38">
        <f t="shared" si="53"/>
        <v>1</v>
      </c>
      <c r="AU169" s="27">
        <f t="shared" si="54"/>
        <v>0.36727272727272725</v>
      </c>
    </row>
    <row r="170" spans="1:47" s="1" customFormat="1" ht="21" customHeight="1" x14ac:dyDescent="0.25">
      <c r="A170" s="109">
        <v>46035</v>
      </c>
      <c r="B170" s="47" t="s">
        <v>49</v>
      </c>
      <c r="C170" s="90" t="s">
        <v>51</v>
      </c>
      <c r="D170" s="47" t="s">
        <v>89</v>
      </c>
      <c r="E170" s="48">
        <v>98992</v>
      </c>
      <c r="F170" s="48" t="s">
        <v>169</v>
      </c>
      <c r="G170" s="48" t="s">
        <v>87</v>
      </c>
      <c r="H170" s="30">
        <v>16219</v>
      </c>
      <c r="I170" s="30">
        <v>32</v>
      </c>
      <c r="J170" s="28">
        <f t="shared" si="61"/>
        <v>112.5</v>
      </c>
      <c r="K170" s="31">
        <v>0.58333333333333337</v>
      </c>
      <c r="L170" s="31">
        <v>0.9375</v>
      </c>
      <c r="M170" s="32">
        <f t="shared" si="59"/>
        <v>0.35416666666666663</v>
      </c>
      <c r="N170" s="36">
        <v>510</v>
      </c>
      <c r="O170" s="36">
        <f t="shared" si="49"/>
        <v>440</v>
      </c>
      <c r="P170" s="36">
        <f t="shared" si="47"/>
        <v>440</v>
      </c>
      <c r="Q170" s="15">
        <v>0</v>
      </c>
      <c r="R170" s="20">
        <v>0</v>
      </c>
      <c r="S170" s="16">
        <v>0</v>
      </c>
      <c r="T170" s="16">
        <v>0</v>
      </c>
      <c r="U170" s="20">
        <v>0</v>
      </c>
      <c r="V170" s="20">
        <v>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15">
        <f t="shared" si="44"/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30</v>
      </c>
      <c r="AJ170" s="15">
        <v>10</v>
      </c>
      <c r="AK170" s="15">
        <v>30</v>
      </c>
      <c r="AL170" s="15">
        <f t="shared" si="50"/>
        <v>70</v>
      </c>
      <c r="AM170" s="29">
        <f t="shared" si="48"/>
        <v>825</v>
      </c>
      <c r="AN170" s="19">
        <v>653</v>
      </c>
      <c r="AO170" s="21">
        <v>0</v>
      </c>
      <c r="AP170" s="22">
        <v>2</v>
      </c>
      <c r="AQ170" s="26">
        <f t="shared" si="60"/>
        <v>651</v>
      </c>
      <c r="AR170" s="37">
        <f t="shared" si="51"/>
        <v>1</v>
      </c>
      <c r="AS170" s="38">
        <f t="shared" si="58"/>
        <v>0.7915151515151515</v>
      </c>
      <c r="AT170" s="38">
        <f t="shared" si="53"/>
        <v>0.99693721286370596</v>
      </c>
      <c r="AU170" s="27">
        <f t="shared" si="54"/>
        <v>0.78909090909090907</v>
      </c>
    </row>
    <row r="171" spans="1:47" s="1" customFormat="1" ht="21" customHeight="1" x14ac:dyDescent="0.25">
      <c r="A171" s="109">
        <v>46035</v>
      </c>
      <c r="B171" s="47" t="s">
        <v>49</v>
      </c>
      <c r="C171" s="90" t="s">
        <v>51</v>
      </c>
      <c r="D171" s="47" t="s">
        <v>52</v>
      </c>
      <c r="E171" s="48">
        <v>98992</v>
      </c>
      <c r="F171" s="48" t="s">
        <v>53</v>
      </c>
      <c r="G171" s="48" t="s">
        <v>87</v>
      </c>
      <c r="H171" s="30">
        <v>15731</v>
      </c>
      <c r="I171" s="30">
        <v>32</v>
      </c>
      <c r="J171" s="28">
        <f t="shared" si="61"/>
        <v>112.5</v>
      </c>
      <c r="K171" s="31">
        <v>0.58333333333333337</v>
      </c>
      <c r="L171" s="31">
        <v>0.9375</v>
      </c>
      <c r="M171" s="32">
        <f t="shared" si="59"/>
        <v>0.35416666666666663</v>
      </c>
      <c r="N171" s="36">
        <v>510</v>
      </c>
      <c r="O171" s="36">
        <f t="shared" si="49"/>
        <v>440</v>
      </c>
      <c r="P171" s="36">
        <f t="shared" si="47"/>
        <v>440</v>
      </c>
      <c r="Q171" s="15">
        <v>0</v>
      </c>
      <c r="R171" s="20">
        <v>0</v>
      </c>
      <c r="S171" s="16">
        <v>0</v>
      </c>
      <c r="T171" s="16">
        <v>0</v>
      </c>
      <c r="U171" s="20">
        <v>0</v>
      </c>
      <c r="V171" s="20">
        <v>0</v>
      </c>
      <c r="W171" s="20">
        <v>0</v>
      </c>
      <c r="X171" s="20">
        <v>0</v>
      </c>
      <c r="Y171" s="20">
        <v>0</v>
      </c>
      <c r="Z171" s="20">
        <v>0</v>
      </c>
      <c r="AA171" s="20">
        <v>0</v>
      </c>
      <c r="AB171" s="20">
        <v>0</v>
      </c>
      <c r="AC171" s="15">
        <f t="shared" si="44"/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30</v>
      </c>
      <c r="AJ171" s="15">
        <v>10</v>
      </c>
      <c r="AK171" s="15">
        <v>30</v>
      </c>
      <c r="AL171" s="15">
        <f t="shared" si="50"/>
        <v>70</v>
      </c>
      <c r="AM171" s="29">
        <f t="shared" si="48"/>
        <v>825</v>
      </c>
      <c r="AN171" s="19">
        <v>705</v>
      </c>
      <c r="AO171" s="21">
        <v>0</v>
      </c>
      <c r="AP171" s="22">
        <v>1</v>
      </c>
      <c r="AQ171" s="26">
        <f t="shared" si="60"/>
        <v>704</v>
      </c>
      <c r="AR171" s="37">
        <f t="shared" si="51"/>
        <v>1</v>
      </c>
      <c r="AS171" s="38">
        <f t="shared" si="58"/>
        <v>0.8545454545454545</v>
      </c>
      <c r="AT171" s="38">
        <f t="shared" si="53"/>
        <v>0.99858156028368794</v>
      </c>
      <c r="AU171" s="27">
        <f t="shared" si="54"/>
        <v>0.85333333333333328</v>
      </c>
    </row>
    <row r="172" spans="1:47" s="1" customFormat="1" ht="21" customHeight="1" x14ac:dyDescent="0.25">
      <c r="A172" s="109">
        <v>46035</v>
      </c>
      <c r="B172" s="47" t="s">
        <v>49</v>
      </c>
      <c r="C172" s="90" t="s">
        <v>51</v>
      </c>
      <c r="D172" s="47" t="s">
        <v>86</v>
      </c>
      <c r="E172" s="48">
        <v>98992</v>
      </c>
      <c r="F172" s="48" t="s">
        <v>176</v>
      </c>
      <c r="G172" s="48" t="s">
        <v>87</v>
      </c>
      <c r="H172" s="30">
        <v>15688</v>
      </c>
      <c r="I172" s="30">
        <v>20</v>
      </c>
      <c r="J172" s="28">
        <f t="shared" si="61"/>
        <v>180</v>
      </c>
      <c r="K172" s="31">
        <v>0.58333333333333337</v>
      </c>
      <c r="L172" s="31">
        <v>0.9375</v>
      </c>
      <c r="M172" s="32">
        <f t="shared" si="59"/>
        <v>0.35416666666666663</v>
      </c>
      <c r="N172" s="36">
        <v>510</v>
      </c>
      <c r="O172" s="36">
        <f t="shared" si="49"/>
        <v>320</v>
      </c>
      <c r="P172" s="36">
        <f t="shared" si="47"/>
        <v>320</v>
      </c>
      <c r="Q172" s="15">
        <v>0</v>
      </c>
      <c r="R172" s="20">
        <v>0</v>
      </c>
      <c r="S172" s="16">
        <v>0</v>
      </c>
      <c r="T172" s="16">
        <v>0</v>
      </c>
      <c r="U172" s="20">
        <v>0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15">
        <f t="shared" si="44"/>
        <v>0</v>
      </c>
      <c r="AD172" s="15">
        <v>0</v>
      </c>
      <c r="AE172" s="15">
        <v>0</v>
      </c>
      <c r="AF172" s="15">
        <v>0</v>
      </c>
      <c r="AG172" s="15">
        <v>120</v>
      </c>
      <c r="AH172" s="15">
        <v>0</v>
      </c>
      <c r="AI172" s="15">
        <v>30</v>
      </c>
      <c r="AJ172" s="15">
        <v>10</v>
      </c>
      <c r="AK172" s="15">
        <v>30</v>
      </c>
      <c r="AL172" s="15">
        <f t="shared" si="50"/>
        <v>190</v>
      </c>
      <c r="AM172" s="29">
        <f t="shared" si="48"/>
        <v>960</v>
      </c>
      <c r="AN172" s="19">
        <v>630</v>
      </c>
      <c r="AO172" s="21">
        <v>0</v>
      </c>
      <c r="AP172" s="22">
        <v>1</v>
      </c>
      <c r="AQ172" s="26">
        <f t="shared" si="60"/>
        <v>629</v>
      </c>
      <c r="AR172" s="37">
        <f t="shared" si="51"/>
        <v>1</v>
      </c>
      <c r="AS172" s="38">
        <f t="shared" si="58"/>
        <v>0.65625</v>
      </c>
      <c r="AT172" s="38">
        <f t="shared" si="53"/>
        <v>0.99841269841269842</v>
      </c>
      <c r="AU172" s="27">
        <f t="shared" si="54"/>
        <v>0.65520833333333339</v>
      </c>
    </row>
    <row r="173" spans="1:47" s="1" customFormat="1" ht="21" customHeight="1" x14ac:dyDescent="0.25">
      <c r="A173" s="109">
        <v>46035</v>
      </c>
      <c r="B173" s="47" t="s">
        <v>49</v>
      </c>
      <c r="C173" s="90" t="s">
        <v>51</v>
      </c>
      <c r="D173" s="47" t="s">
        <v>172</v>
      </c>
      <c r="E173" s="48">
        <v>98992</v>
      </c>
      <c r="F173" s="48" t="s">
        <v>175</v>
      </c>
      <c r="G173" s="48" t="s">
        <v>87</v>
      </c>
      <c r="H173" s="30">
        <v>13106</v>
      </c>
      <c r="I173" s="30">
        <v>20</v>
      </c>
      <c r="J173" s="28">
        <f t="shared" si="61"/>
        <v>180</v>
      </c>
      <c r="K173" s="31">
        <v>0.58333333333333337</v>
      </c>
      <c r="L173" s="31">
        <v>0.9375</v>
      </c>
      <c r="M173" s="32">
        <f t="shared" si="59"/>
        <v>0.35416666666666663</v>
      </c>
      <c r="N173" s="36">
        <v>510</v>
      </c>
      <c r="O173" s="36">
        <f t="shared" si="49"/>
        <v>200</v>
      </c>
      <c r="P173" s="36">
        <f t="shared" si="47"/>
        <v>200</v>
      </c>
      <c r="Q173" s="15">
        <v>0</v>
      </c>
      <c r="R173" s="20">
        <v>0</v>
      </c>
      <c r="S173" s="16">
        <v>0</v>
      </c>
      <c r="T173" s="16">
        <v>0</v>
      </c>
      <c r="U173" s="20">
        <v>0</v>
      </c>
      <c r="V173" s="20">
        <v>0</v>
      </c>
      <c r="W173" s="20">
        <v>0</v>
      </c>
      <c r="X173" s="20">
        <v>0</v>
      </c>
      <c r="Y173" s="20">
        <v>0</v>
      </c>
      <c r="Z173" s="20">
        <v>0</v>
      </c>
      <c r="AA173" s="20">
        <v>0</v>
      </c>
      <c r="AB173" s="20">
        <v>0</v>
      </c>
      <c r="AC173" s="15">
        <f t="shared" si="44"/>
        <v>0</v>
      </c>
      <c r="AD173" s="15">
        <v>0</v>
      </c>
      <c r="AE173" s="15">
        <v>0</v>
      </c>
      <c r="AF173" s="15">
        <v>0</v>
      </c>
      <c r="AG173" s="15">
        <v>240</v>
      </c>
      <c r="AH173" s="15">
        <v>0</v>
      </c>
      <c r="AI173" s="15">
        <v>30</v>
      </c>
      <c r="AJ173" s="15">
        <v>10</v>
      </c>
      <c r="AK173" s="15">
        <v>30</v>
      </c>
      <c r="AL173" s="15">
        <f t="shared" si="50"/>
        <v>310</v>
      </c>
      <c r="AM173" s="29">
        <f t="shared" si="48"/>
        <v>600</v>
      </c>
      <c r="AN173" s="19">
        <v>400</v>
      </c>
      <c r="AO173" s="21">
        <v>0</v>
      </c>
      <c r="AP173" s="22">
        <v>0</v>
      </c>
      <c r="AQ173" s="26">
        <f t="shared" si="60"/>
        <v>400</v>
      </c>
      <c r="AR173" s="37">
        <f t="shared" si="51"/>
        <v>1</v>
      </c>
      <c r="AS173" s="38">
        <f t="shared" si="58"/>
        <v>0.66666666666666663</v>
      </c>
      <c r="AT173" s="38">
        <f t="shared" si="53"/>
        <v>1</v>
      </c>
      <c r="AU173" s="27">
        <f t="shared" si="54"/>
        <v>0.66666666666666663</v>
      </c>
    </row>
    <row r="174" spans="1:47" s="1" customFormat="1" ht="21" customHeight="1" x14ac:dyDescent="0.25">
      <c r="A174" s="109">
        <v>46035</v>
      </c>
      <c r="B174" s="47" t="s">
        <v>49</v>
      </c>
      <c r="C174" s="90" t="s">
        <v>51</v>
      </c>
      <c r="D174" s="47" t="s">
        <v>124</v>
      </c>
      <c r="E174" s="48">
        <v>98992</v>
      </c>
      <c r="F174" s="48" t="s">
        <v>215</v>
      </c>
      <c r="G174" s="48" t="s">
        <v>125</v>
      </c>
      <c r="H174" s="30">
        <v>13105</v>
      </c>
      <c r="I174" s="30">
        <v>32</v>
      </c>
      <c r="J174" s="28">
        <f t="shared" si="61"/>
        <v>112.5</v>
      </c>
      <c r="K174" s="31">
        <v>0.58333333333333337</v>
      </c>
      <c r="L174" s="31">
        <v>0.9375</v>
      </c>
      <c r="M174" s="32">
        <f t="shared" si="59"/>
        <v>0.35416666666666663</v>
      </c>
      <c r="N174" s="36">
        <v>510</v>
      </c>
      <c r="O174" s="36">
        <f t="shared" si="49"/>
        <v>440</v>
      </c>
      <c r="P174" s="36">
        <f t="shared" si="47"/>
        <v>440</v>
      </c>
      <c r="Q174" s="15">
        <v>0</v>
      </c>
      <c r="R174" s="20">
        <v>0</v>
      </c>
      <c r="S174" s="16">
        <v>0</v>
      </c>
      <c r="T174" s="16">
        <v>0</v>
      </c>
      <c r="U174" s="20">
        <v>0</v>
      </c>
      <c r="V174" s="20">
        <v>0</v>
      </c>
      <c r="W174" s="20">
        <v>0</v>
      </c>
      <c r="X174" s="20">
        <v>0</v>
      </c>
      <c r="Y174" s="20">
        <v>0</v>
      </c>
      <c r="Z174" s="20">
        <v>0</v>
      </c>
      <c r="AA174" s="20">
        <v>0</v>
      </c>
      <c r="AB174" s="20">
        <v>0</v>
      </c>
      <c r="AC174" s="15">
        <f t="shared" si="44"/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30</v>
      </c>
      <c r="AJ174" s="15">
        <v>10</v>
      </c>
      <c r="AK174" s="15">
        <v>30</v>
      </c>
      <c r="AL174" s="15">
        <f t="shared" si="50"/>
        <v>70</v>
      </c>
      <c r="AM174" s="29">
        <f t="shared" si="48"/>
        <v>825</v>
      </c>
      <c r="AN174" s="19">
        <v>700</v>
      </c>
      <c r="AO174" s="21">
        <v>0</v>
      </c>
      <c r="AP174" s="22">
        <v>1</v>
      </c>
      <c r="AQ174" s="26">
        <f t="shared" si="60"/>
        <v>699</v>
      </c>
      <c r="AR174" s="37">
        <f t="shared" ref="AR174:AR181" si="62">O174/P174</f>
        <v>1</v>
      </c>
      <c r="AS174" s="38">
        <f t="shared" ref="AS174:AS181" si="63">AN174/AM174</f>
        <v>0.84848484848484851</v>
      </c>
      <c r="AT174" s="38">
        <f t="shared" ref="AT174:AT181" si="64">AQ174/AN174</f>
        <v>0.99857142857142855</v>
      </c>
      <c r="AU174" s="27">
        <f t="shared" ref="AU174:AU181" si="65">AR174*AS174*AT174</f>
        <v>0.84727272727272729</v>
      </c>
    </row>
    <row r="175" spans="1:47" s="1" customFormat="1" ht="21" customHeight="1" x14ac:dyDescent="0.25">
      <c r="A175" s="109">
        <v>46035</v>
      </c>
      <c r="B175" s="47" t="s">
        <v>49</v>
      </c>
      <c r="C175" s="90" t="s">
        <v>51</v>
      </c>
      <c r="D175" s="47" t="s">
        <v>122</v>
      </c>
      <c r="E175" s="48">
        <v>98992</v>
      </c>
      <c r="F175" s="48" t="s">
        <v>169</v>
      </c>
      <c r="G175" s="48" t="s">
        <v>125</v>
      </c>
      <c r="H175" s="30">
        <v>15689</v>
      </c>
      <c r="I175" s="30">
        <v>32</v>
      </c>
      <c r="J175" s="28">
        <f t="shared" si="61"/>
        <v>112.5</v>
      </c>
      <c r="K175" s="31">
        <v>0.58333333333333337</v>
      </c>
      <c r="L175" s="31">
        <v>0.9375</v>
      </c>
      <c r="M175" s="32">
        <f t="shared" si="59"/>
        <v>0.35416666666666663</v>
      </c>
      <c r="N175" s="36">
        <v>510</v>
      </c>
      <c r="O175" s="36">
        <f t="shared" si="49"/>
        <v>400</v>
      </c>
      <c r="P175" s="36">
        <f t="shared" si="47"/>
        <v>440</v>
      </c>
      <c r="Q175" s="15">
        <v>0</v>
      </c>
      <c r="R175" s="20">
        <v>0</v>
      </c>
      <c r="S175" s="16">
        <v>0</v>
      </c>
      <c r="T175" s="16">
        <v>40</v>
      </c>
      <c r="U175" s="20">
        <v>0</v>
      </c>
      <c r="V175" s="20">
        <v>0</v>
      </c>
      <c r="W175" s="20">
        <v>0</v>
      </c>
      <c r="X175" s="20">
        <v>0</v>
      </c>
      <c r="Y175" s="20">
        <v>0</v>
      </c>
      <c r="Z175" s="20">
        <v>0</v>
      </c>
      <c r="AA175" s="20">
        <v>0</v>
      </c>
      <c r="AB175" s="20">
        <v>0</v>
      </c>
      <c r="AC175" s="15">
        <f t="shared" si="44"/>
        <v>40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30</v>
      </c>
      <c r="AJ175" s="15">
        <v>10</v>
      </c>
      <c r="AK175" s="15">
        <v>30</v>
      </c>
      <c r="AL175" s="15">
        <f t="shared" si="50"/>
        <v>70</v>
      </c>
      <c r="AM175" s="29">
        <f t="shared" si="48"/>
        <v>825</v>
      </c>
      <c r="AN175" s="19">
        <v>530</v>
      </c>
      <c r="AO175" s="21">
        <v>0</v>
      </c>
      <c r="AP175" s="22">
        <v>1</v>
      </c>
      <c r="AQ175" s="26">
        <f t="shared" si="60"/>
        <v>529</v>
      </c>
      <c r="AR175" s="37">
        <f t="shared" si="62"/>
        <v>0.90909090909090906</v>
      </c>
      <c r="AS175" s="38">
        <f t="shared" si="63"/>
        <v>0.64242424242424245</v>
      </c>
      <c r="AT175" s="38">
        <f t="shared" si="64"/>
        <v>0.99811320754716981</v>
      </c>
      <c r="AU175" s="27">
        <f t="shared" si="65"/>
        <v>0.58292011019283752</v>
      </c>
    </row>
    <row r="176" spans="1:47" s="1" customFormat="1" ht="21" customHeight="1" x14ac:dyDescent="0.25">
      <c r="A176" s="109">
        <v>46035</v>
      </c>
      <c r="B176" s="47" t="s">
        <v>49</v>
      </c>
      <c r="C176" s="90" t="s">
        <v>51</v>
      </c>
      <c r="D176" s="47" t="s">
        <v>128</v>
      </c>
      <c r="E176" s="48">
        <v>98992</v>
      </c>
      <c r="F176" s="48" t="s">
        <v>53</v>
      </c>
      <c r="G176" s="48" t="s">
        <v>125</v>
      </c>
      <c r="H176" s="30">
        <v>15710</v>
      </c>
      <c r="I176" s="30">
        <v>32</v>
      </c>
      <c r="J176" s="28">
        <f t="shared" si="61"/>
        <v>112.5</v>
      </c>
      <c r="K176" s="31">
        <v>0.58333333333333337</v>
      </c>
      <c r="L176" s="31">
        <v>0.9375</v>
      </c>
      <c r="M176" s="32">
        <f t="shared" si="59"/>
        <v>0.35416666666666663</v>
      </c>
      <c r="N176" s="36">
        <v>510</v>
      </c>
      <c r="O176" s="36">
        <f t="shared" si="49"/>
        <v>440</v>
      </c>
      <c r="P176" s="36">
        <f t="shared" si="47"/>
        <v>440</v>
      </c>
      <c r="Q176" s="15">
        <v>0</v>
      </c>
      <c r="R176" s="20">
        <v>0</v>
      </c>
      <c r="S176" s="16">
        <v>0</v>
      </c>
      <c r="T176" s="16">
        <v>0</v>
      </c>
      <c r="U176" s="20">
        <v>0</v>
      </c>
      <c r="V176" s="20">
        <v>0</v>
      </c>
      <c r="W176" s="20">
        <v>0</v>
      </c>
      <c r="X176" s="20">
        <v>0</v>
      </c>
      <c r="Y176" s="20">
        <v>0</v>
      </c>
      <c r="Z176" s="20">
        <v>0</v>
      </c>
      <c r="AA176" s="20">
        <v>0</v>
      </c>
      <c r="AB176" s="20">
        <v>0</v>
      </c>
      <c r="AC176" s="15">
        <f t="shared" si="44"/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30</v>
      </c>
      <c r="AJ176" s="15">
        <v>10</v>
      </c>
      <c r="AK176" s="15">
        <v>30</v>
      </c>
      <c r="AL176" s="15">
        <f t="shared" si="50"/>
        <v>70</v>
      </c>
      <c r="AM176" s="29">
        <f t="shared" si="48"/>
        <v>825</v>
      </c>
      <c r="AN176" s="19">
        <v>640</v>
      </c>
      <c r="AO176" s="21">
        <v>0</v>
      </c>
      <c r="AP176" s="22">
        <v>1</v>
      </c>
      <c r="AQ176" s="26">
        <f t="shared" si="60"/>
        <v>639</v>
      </c>
      <c r="AR176" s="37">
        <f t="shared" si="62"/>
        <v>1</v>
      </c>
      <c r="AS176" s="38">
        <f t="shared" si="63"/>
        <v>0.77575757575757576</v>
      </c>
      <c r="AT176" s="38">
        <f t="shared" si="64"/>
        <v>0.99843749999999998</v>
      </c>
      <c r="AU176" s="27">
        <f t="shared" si="65"/>
        <v>0.77454545454545454</v>
      </c>
    </row>
    <row r="177" spans="1:47" s="1" customFormat="1" ht="21" customHeight="1" x14ac:dyDescent="0.25">
      <c r="A177" s="109">
        <v>46035</v>
      </c>
      <c r="B177" s="47" t="s">
        <v>49</v>
      </c>
      <c r="C177" s="90" t="s">
        <v>51</v>
      </c>
      <c r="D177" s="47" t="s">
        <v>170</v>
      </c>
      <c r="E177" s="48">
        <v>98992</v>
      </c>
      <c r="F177" s="48" t="s">
        <v>176</v>
      </c>
      <c r="G177" s="48" t="s">
        <v>125</v>
      </c>
      <c r="H177" s="30">
        <v>15859</v>
      </c>
      <c r="I177" s="30">
        <v>20</v>
      </c>
      <c r="J177" s="28">
        <f t="shared" si="61"/>
        <v>180</v>
      </c>
      <c r="K177" s="31">
        <v>0.58333333333333337</v>
      </c>
      <c r="L177" s="31">
        <v>0.9375</v>
      </c>
      <c r="M177" s="32">
        <f t="shared" si="59"/>
        <v>0.35416666666666663</v>
      </c>
      <c r="N177" s="36">
        <v>510</v>
      </c>
      <c r="O177" s="36">
        <f t="shared" si="49"/>
        <v>320</v>
      </c>
      <c r="P177" s="36">
        <f t="shared" si="47"/>
        <v>320</v>
      </c>
      <c r="Q177" s="15">
        <v>0</v>
      </c>
      <c r="R177" s="20">
        <v>0</v>
      </c>
      <c r="S177" s="16">
        <v>0</v>
      </c>
      <c r="T177" s="16">
        <v>0</v>
      </c>
      <c r="U177" s="20">
        <v>0</v>
      </c>
      <c r="V177" s="20">
        <v>0</v>
      </c>
      <c r="W177" s="20">
        <v>0</v>
      </c>
      <c r="X177" s="20">
        <v>0</v>
      </c>
      <c r="Y177" s="20">
        <v>0</v>
      </c>
      <c r="Z177" s="20">
        <v>0</v>
      </c>
      <c r="AA177" s="20">
        <v>0</v>
      </c>
      <c r="AB177" s="20">
        <v>0</v>
      </c>
      <c r="AC177" s="15">
        <f t="shared" ref="AC177:AC187" si="66">SUM(Q177:AB177)</f>
        <v>0</v>
      </c>
      <c r="AD177" s="15">
        <v>0</v>
      </c>
      <c r="AE177" s="15">
        <v>0</v>
      </c>
      <c r="AF177" s="15">
        <v>0</v>
      </c>
      <c r="AG177" s="15">
        <v>120</v>
      </c>
      <c r="AH177" s="15">
        <v>0</v>
      </c>
      <c r="AI177" s="15">
        <v>30</v>
      </c>
      <c r="AJ177" s="15">
        <v>10</v>
      </c>
      <c r="AK177" s="15">
        <v>30</v>
      </c>
      <c r="AL177" s="15">
        <f t="shared" si="50"/>
        <v>190</v>
      </c>
      <c r="AM177" s="29">
        <f t="shared" si="48"/>
        <v>960</v>
      </c>
      <c r="AN177" s="19">
        <v>636</v>
      </c>
      <c r="AO177" s="21">
        <v>0</v>
      </c>
      <c r="AP177" s="22">
        <v>0</v>
      </c>
      <c r="AQ177" s="26">
        <f t="shared" si="60"/>
        <v>636</v>
      </c>
      <c r="AR177" s="37">
        <f t="shared" si="62"/>
        <v>1</v>
      </c>
      <c r="AS177" s="38">
        <f t="shared" si="63"/>
        <v>0.66249999999999998</v>
      </c>
      <c r="AT177" s="38">
        <f t="shared" si="64"/>
        <v>1</v>
      </c>
      <c r="AU177" s="27">
        <f t="shared" si="65"/>
        <v>0.66249999999999998</v>
      </c>
    </row>
    <row r="178" spans="1:47" s="1" customFormat="1" ht="21" customHeight="1" x14ac:dyDescent="0.25">
      <c r="A178" s="109">
        <v>46035</v>
      </c>
      <c r="B178" s="47" t="s">
        <v>49</v>
      </c>
      <c r="C178" s="90" t="s">
        <v>51</v>
      </c>
      <c r="D178" s="47" t="s">
        <v>127</v>
      </c>
      <c r="E178" s="48">
        <v>98992</v>
      </c>
      <c r="F178" s="48" t="s">
        <v>175</v>
      </c>
      <c r="G178" s="48" t="s">
        <v>125</v>
      </c>
      <c r="H178" s="30">
        <v>13669</v>
      </c>
      <c r="I178" s="30">
        <v>20</v>
      </c>
      <c r="J178" s="28">
        <f t="shared" si="61"/>
        <v>180</v>
      </c>
      <c r="K178" s="31">
        <v>0.58333333333333337</v>
      </c>
      <c r="L178" s="31">
        <v>0.9375</v>
      </c>
      <c r="M178" s="32">
        <f t="shared" si="59"/>
        <v>0.35416666666666663</v>
      </c>
      <c r="N178" s="36">
        <v>510</v>
      </c>
      <c r="O178" s="36">
        <f t="shared" si="49"/>
        <v>440</v>
      </c>
      <c r="P178" s="36">
        <f t="shared" si="47"/>
        <v>440</v>
      </c>
      <c r="Q178" s="15">
        <v>0</v>
      </c>
      <c r="R178" s="20">
        <v>0</v>
      </c>
      <c r="S178" s="16">
        <v>0</v>
      </c>
      <c r="T178" s="16">
        <v>0</v>
      </c>
      <c r="U178" s="20">
        <v>0</v>
      </c>
      <c r="V178" s="20">
        <v>0</v>
      </c>
      <c r="W178" s="20">
        <v>0</v>
      </c>
      <c r="X178" s="20">
        <v>0</v>
      </c>
      <c r="Y178" s="20">
        <v>0</v>
      </c>
      <c r="Z178" s="20">
        <v>0</v>
      </c>
      <c r="AA178" s="20">
        <v>0</v>
      </c>
      <c r="AB178" s="20">
        <v>0</v>
      </c>
      <c r="AC178" s="15">
        <f t="shared" si="66"/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30</v>
      </c>
      <c r="AJ178" s="15">
        <v>10</v>
      </c>
      <c r="AK178" s="15">
        <v>30</v>
      </c>
      <c r="AL178" s="15">
        <f t="shared" si="50"/>
        <v>70</v>
      </c>
      <c r="AM178" s="29">
        <f t="shared" si="48"/>
        <v>1320</v>
      </c>
      <c r="AN178" s="19">
        <v>1310</v>
      </c>
      <c r="AO178" s="21">
        <v>0</v>
      </c>
      <c r="AP178" s="22">
        <v>0</v>
      </c>
      <c r="AQ178" s="26">
        <f t="shared" si="60"/>
        <v>1310</v>
      </c>
      <c r="AR178" s="37">
        <f t="shared" si="62"/>
        <v>1</v>
      </c>
      <c r="AS178" s="38">
        <f t="shared" si="63"/>
        <v>0.99242424242424243</v>
      </c>
      <c r="AT178" s="38">
        <f t="shared" si="64"/>
        <v>1</v>
      </c>
      <c r="AU178" s="27">
        <f t="shared" si="65"/>
        <v>0.99242424242424243</v>
      </c>
    </row>
    <row r="179" spans="1:47" s="1" customFormat="1" ht="21" customHeight="1" x14ac:dyDescent="0.25">
      <c r="A179" s="109">
        <v>46036</v>
      </c>
      <c r="B179" s="47" t="s">
        <v>49</v>
      </c>
      <c r="C179" s="89" t="s">
        <v>21</v>
      </c>
      <c r="D179" s="47" t="s">
        <v>124</v>
      </c>
      <c r="E179" s="48">
        <v>98992</v>
      </c>
      <c r="F179" s="48" t="s">
        <v>215</v>
      </c>
      <c r="G179" s="48" t="s">
        <v>125</v>
      </c>
      <c r="H179" s="30">
        <v>15688</v>
      </c>
      <c r="I179" s="30">
        <v>32</v>
      </c>
      <c r="J179" s="28">
        <f t="shared" ref="J179:J192" si="67">3600/I179</f>
        <v>112.5</v>
      </c>
      <c r="K179" s="31">
        <v>0.25</v>
      </c>
      <c r="L179" s="31">
        <v>0.60416666666666663</v>
      </c>
      <c r="M179" s="32">
        <f t="shared" si="59"/>
        <v>0.35416666666666663</v>
      </c>
      <c r="N179" s="36">
        <v>510</v>
      </c>
      <c r="O179" s="36">
        <f t="shared" si="49"/>
        <v>320</v>
      </c>
      <c r="P179" s="36">
        <f t="shared" si="47"/>
        <v>320</v>
      </c>
      <c r="Q179" s="15">
        <v>0</v>
      </c>
      <c r="R179" s="20">
        <v>0</v>
      </c>
      <c r="S179" s="16">
        <v>0</v>
      </c>
      <c r="T179" s="16">
        <v>0</v>
      </c>
      <c r="U179" s="20">
        <v>0</v>
      </c>
      <c r="V179" s="20">
        <v>0</v>
      </c>
      <c r="W179" s="20">
        <v>0</v>
      </c>
      <c r="X179" s="20">
        <v>0</v>
      </c>
      <c r="Y179" s="20">
        <v>0</v>
      </c>
      <c r="Z179" s="20">
        <v>0</v>
      </c>
      <c r="AA179" s="20">
        <v>0</v>
      </c>
      <c r="AB179" s="20">
        <v>0</v>
      </c>
      <c r="AC179" s="15">
        <f t="shared" si="66"/>
        <v>0</v>
      </c>
      <c r="AD179" s="15">
        <v>0</v>
      </c>
      <c r="AE179" s="15">
        <v>0</v>
      </c>
      <c r="AF179" s="15">
        <v>0</v>
      </c>
      <c r="AG179" s="15">
        <v>120</v>
      </c>
      <c r="AH179" s="15">
        <v>0</v>
      </c>
      <c r="AI179" s="15">
        <v>30</v>
      </c>
      <c r="AJ179" s="15">
        <v>10</v>
      </c>
      <c r="AK179" s="15">
        <v>30</v>
      </c>
      <c r="AL179" s="15">
        <f t="shared" si="50"/>
        <v>190</v>
      </c>
      <c r="AM179" s="29">
        <f t="shared" si="48"/>
        <v>600</v>
      </c>
      <c r="AN179" s="19">
        <v>480</v>
      </c>
      <c r="AO179" s="21">
        <v>0</v>
      </c>
      <c r="AP179" s="22">
        <v>1</v>
      </c>
      <c r="AQ179" s="26">
        <f t="shared" si="60"/>
        <v>479</v>
      </c>
      <c r="AR179" s="37">
        <f t="shared" si="62"/>
        <v>1</v>
      </c>
      <c r="AS179" s="38">
        <f t="shared" si="63"/>
        <v>0.8</v>
      </c>
      <c r="AT179" s="38">
        <f t="shared" si="64"/>
        <v>0.99791666666666667</v>
      </c>
      <c r="AU179" s="27">
        <f t="shared" si="65"/>
        <v>0.79833333333333334</v>
      </c>
    </row>
    <row r="180" spans="1:47" s="1" customFormat="1" ht="21" customHeight="1" x14ac:dyDescent="0.25">
      <c r="A180" s="109">
        <v>46036</v>
      </c>
      <c r="B180" s="47" t="s">
        <v>49</v>
      </c>
      <c r="C180" s="89" t="s">
        <v>21</v>
      </c>
      <c r="D180" s="47" t="s">
        <v>122</v>
      </c>
      <c r="E180" s="48">
        <v>98992</v>
      </c>
      <c r="F180" s="48" t="s">
        <v>169</v>
      </c>
      <c r="G180" s="48" t="s">
        <v>125</v>
      </c>
      <c r="H180" s="30">
        <v>15676</v>
      </c>
      <c r="I180" s="30">
        <v>32</v>
      </c>
      <c r="J180" s="28">
        <f t="shared" si="67"/>
        <v>112.5</v>
      </c>
      <c r="K180" s="31">
        <v>0.25</v>
      </c>
      <c r="L180" s="31">
        <v>0.60416666666666663</v>
      </c>
      <c r="M180" s="32">
        <f t="shared" si="59"/>
        <v>0.35416666666666663</v>
      </c>
      <c r="N180" s="36">
        <v>510</v>
      </c>
      <c r="O180" s="36">
        <f t="shared" si="49"/>
        <v>320</v>
      </c>
      <c r="P180" s="36">
        <f t="shared" si="47"/>
        <v>320</v>
      </c>
      <c r="Q180" s="15">
        <v>0</v>
      </c>
      <c r="R180" s="20">
        <v>0</v>
      </c>
      <c r="S180" s="16">
        <v>0</v>
      </c>
      <c r="T180" s="16">
        <v>0</v>
      </c>
      <c r="U180" s="20">
        <v>0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15">
        <f t="shared" si="66"/>
        <v>0</v>
      </c>
      <c r="AD180" s="15">
        <v>0</v>
      </c>
      <c r="AE180" s="15">
        <v>0</v>
      </c>
      <c r="AF180" s="15">
        <v>0</v>
      </c>
      <c r="AG180" s="15">
        <v>120</v>
      </c>
      <c r="AH180" s="15">
        <v>0</v>
      </c>
      <c r="AI180" s="15">
        <v>30</v>
      </c>
      <c r="AJ180" s="15">
        <v>10</v>
      </c>
      <c r="AK180" s="15">
        <v>30</v>
      </c>
      <c r="AL180" s="15">
        <f t="shared" si="50"/>
        <v>190</v>
      </c>
      <c r="AM180" s="29">
        <f t="shared" si="48"/>
        <v>600</v>
      </c>
      <c r="AN180" s="19">
        <v>551</v>
      </c>
      <c r="AO180" s="21">
        <v>0</v>
      </c>
      <c r="AP180" s="22">
        <v>1</v>
      </c>
      <c r="AQ180" s="26">
        <f t="shared" si="60"/>
        <v>550</v>
      </c>
      <c r="AR180" s="37">
        <f t="shared" si="62"/>
        <v>1</v>
      </c>
      <c r="AS180" s="38">
        <f t="shared" si="63"/>
        <v>0.91833333333333333</v>
      </c>
      <c r="AT180" s="38">
        <f t="shared" si="64"/>
        <v>0.99818511796733211</v>
      </c>
      <c r="AU180" s="27">
        <f t="shared" si="65"/>
        <v>0.91666666666666663</v>
      </c>
    </row>
    <row r="181" spans="1:47" s="1" customFormat="1" ht="21" customHeight="1" x14ac:dyDescent="0.25">
      <c r="A181" s="109">
        <v>46036</v>
      </c>
      <c r="B181" s="47" t="s">
        <v>49</v>
      </c>
      <c r="C181" s="89" t="s">
        <v>21</v>
      </c>
      <c r="D181" s="47" t="s">
        <v>128</v>
      </c>
      <c r="E181" s="48">
        <v>98992</v>
      </c>
      <c r="F181" s="48" t="s">
        <v>53</v>
      </c>
      <c r="G181" s="48" t="s">
        <v>125</v>
      </c>
      <c r="H181" s="30">
        <v>15833</v>
      </c>
      <c r="I181" s="30">
        <v>32</v>
      </c>
      <c r="J181" s="28">
        <f t="shared" si="67"/>
        <v>112.5</v>
      </c>
      <c r="K181" s="31">
        <v>0.25</v>
      </c>
      <c r="L181" s="31">
        <v>0.60416666666666663</v>
      </c>
      <c r="M181" s="32">
        <f t="shared" si="59"/>
        <v>0.35416666666666663</v>
      </c>
      <c r="N181" s="36">
        <v>510</v>
      </c>
      <c r="O181" s="36">
        <f t="shared" si="49"/>
        <v>320</v>
      </c>
      <c r="P181" s="36">
        <f t="shared" si="47"/>
        <v>320</v>
      </c>
      <c r="Q181" s="15">
        <v>0</v>
      </c>
      <c r="R181" s="20">
        <v>0</v>
      </c>
      <c r="S181" s="16">
        <v>0</v>
      </c>
      <c r="T181" s="16">
        <v>0</v>
      </c>
      <c r="U181" s="20">
        <v>0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15">
        <f t="shared" si="66"/>
        <v>0</v>
      </c>
      <c r="AD181" s="15">
        <v>0</v>
      </c>
      <c r="AE181" s="15">
        <v>0</v>
      </c>
      <c r="AF181" s="15">
        <v>0</v>
      </c>
      <c r="AG181" s="15">
        <v>120</v>
      </c>
      <c r="AH181" s="15">
        <v>0</v>
      </c>
      <c r="AI181" s="15">
        <v>30</v>
      </c>
      <c r="AJ181" s="15">
        <v>10</v>
      </c>
      <c r="AK181" s="15">
        <v>30</v>
      </c>
      <c r="AL181" s="15">
        <f t="shared" si="50"/>
        <v>190</v>
      </c>
      <c r="AM181" s="29">
        <f t="shared" si="48"/>
        <v>600</v>
      </c>
      <c r="AN181" s="19">
        <v>453</v>
      </c>
      <c r="AO181" s="21">
        <v>0</v>
      </c>
      <c r="AP181" s="22">
        <v>0</v>
      </c>
      <c r="AQ181" s="26">
        <f t="shared" si="60"/>
        <v>453</v>
      </c>
      <c r="AR181" s="37">
        <f t="shared" si="62"/>
        <v>1</v>
      </c>
      <c r="AS181" s="38">
        <f t="shared" si="63"/>
        <v>0.755</v>
      </c>
      <c r="AT181" s="38">
        <f t="shared" si="64"/>
        <v>1</v>
      </c>
      <c r="AU181" s="27">
        <f t="shared" si="65"/>
        <v>0.755</v>
      </c>
    </row>
    <row r="182" spans="1:47" s="1" customFormat="1" ht="21" customHeight="1" x14ac:dyDescent="0.25">
      <c r="A182" s="109">
        <v>46036</v>
      </c>
      <c r="B182" s="47" t="s">
        <v>49</v>
      </c>
      <c r="C182" s="89" t="s">
        <v>21</v>
      </c>
      <c r="D182" s="47" t="s">
        <v>170</v>
      </c>
      <c r="E182" s="48">
        <v>98992</v>
      </c>
      <c r="F182" s="48" t="s">
        <v>176</v>
      </c>
      <c r="G182" s="48" t="s">
        <v>125</v>
      </c>
      <c r="H182" s="30">
        <v>15632</v>
      </c>
      <c r="I182" s="30">
        <v>20</v>
      </c>
      <c r="J182" s="28">
        <f t="shared" si="67"/>
        <v>180</v>
      </c>
      <c r="K182" s="31">
        <v>0.25</v>
      </c>
      <c r="L182" s="31">
        <v>0.60416666666666663</v>
      </c>
      <c r="M182" s="32">
        <f t="shared" si="59"/>
        <v>0.35416666666666663</v>
      </c>
      <c r="N182" s="36">
        <v>510</v>
      </c>
      <c r="O182" s="36">
        <f t="shared" si="49"/>
        <v>140</v>
      </c>
      <c r="P182" s="36">
        <f t="shared" si="47"/>
        <v>140</v>
      </c>
      <c r="Q182" s="15">
        <v>0</v>
      </c>
      <c r="R182" s="20">
        <v>0</v>
      </c>
      <c r="S182" s="16">
        <v>0</v>
      </c>
      <c r="T182" s="16">
        <v>0</v>
      </c>
      <c r="U182" s="20">
        <v>0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15">
        <f t="shared" si="66"/>
        <v>0</v>
      </c>
      <c r="AD182" s="15">
        <v>0</v>
      </c>
      <c r="AE182" s="15">
        <v>0</v>
      </c>
      <c r="AF182" s="15">
        <v>0</v>
      </c>
      <c r="AG182" s="15">
        <v>300</v>
      </c>
      <c r="AH182" s="15">
        <v>0</v>
      </c>
      <c r="AI182" s="15">
        <v>30</v>
      </c>
      <c r="AJ182" s="15">
        <v>10</v>
      </c>
      <c r="AK182" s="15">
        <v>30</v>
      </c>
      <c r="AL182" s="15">
        <f t="shared" si="50"/>
        <v>370</v>
      </c>
      <c r="AM182" s="29">
        <f t="shared" si="48"/>
        <v>420</v>
      </c>
      <c r="AN182" s="19">
        <v>392</v>
      </c>
      <c r="AO182" s="21">
        <v>0</v>
      </c>
      <c r="AP182" s="22">
        <v>0</v>
      </c>
      <c r="AQ182" s="26">
        <f t="shared" si="60"/>
        <v>392</v>
      </c>
      <c r="AR182" s="37">
        <f t="shared" ref="AR182:AR184" si="68">O182/P182</f>
        <v>1</v>
      </c>
      <c r="AS182" s="38">
        <f t="shared" ref="AS182:AS184" si="69">AN182/AM182</f>
        <v>0.93333333333333335</v>
      </c>
      <c r="AT182" s="38">
        <f t="shared" ref="AT182:AT184" si="70">AQ182/AN182</f>
        <v>1</v>
      </c>
      <c r="AU182" s="27">
        <f t="shared" ref="AU182:AU184" si="71">AR182*AS182*AT182</f>
        <v>0.93333333333333335</v>
      </c>
    </row>
    <row r="183" spans="1:47" s="1" customFormat="1" ht="21" customHeight="1" x14ac:dyDescent="0.25">
      <c r="A183" s="109">
        <v>46037</v>
      </c>
      <c r="B183" s="47" t="s">
        <v>49</v>
      </c>
      <c r="C183" s="89" t="s">
        <v>21</v>
      </c>
      <c r="D183" s="47" t="s">
        <v>94</v>
      </c>
      <c r="E183" s="48">
        <v>98992</v>
      </c>
      <c r="F183" s="48" t="s">
        <v>67</v>
      </c>
      <c r="G183" s="48" t="s">
        <v>174</v>
      </c>
      <c r="H183" s="30">
        <v>15833</v>
      </c>
      <c r="I183" s="30">
        <v>24</v>
      </c>
      <c r="J183" s="28">
        <f t="shared" si="67"/>
        <v>150</v>
      </c>
      <c r="K183" s="31">
        <v>0.25</v>
      </c>
      <c r="L183" s="31">
        <v>0.60416666666666663</v>
      </c>
      <c r="M183" s="32">
        <f t="shared" si="59"/>
        <v>0.35416666666666663</v>
      </c>
      <c r="N183" s="36">
        <v>510</v>
      </c>
      <c r="O183" s="36">
        <f t="shared" si="49"/>
        <v>240</v>
      </c>
      <c r="P183" s="36">
        <f t="shared" si="47"/>
        <v>240</v>
      </c>
      <c r="Q183" s="15">
        <v>0</v>
      </c>
      <c r="R183" s="20">
        <v>0</v>
      </c>
      <c r="S183" s="16">
        <v>0</v>
      </c>
      <c r="T183" s="16">
        <v>0</v>
      </c>
      <c r="U183" s="20">
        <v>0</v>
      </c>
      <c r="V183" s="20">
        <v>0</v>
      </c>
      <c r="W183" s="20">
        <v>0</v>
      </c>
      <c r="X183" s="20">
        <v>0</v>
      </c>
      <c r="Y183" s="20">
        <v>0</v>
      </c>
      <c r="Z183" s="20">
        <v>0</v>
      </c>
      <c r="AA183" s="20">
        <v>0</v>
      </c>
      <c r="AB183" s="20">
        <v>0</v>
      </c>
      <c r="AC183" s="15">
        <f t="shared" si="66"/>
        <v>0</v>
      </c>
      <c r="AD183" s="15">
        <v>0</v>
      </c>
      <c r="AE183" s="15">
        <v>0</v>
      </c>
      <c r="AF183" s="15">
        <v>0</v>
      </c>
      <c r="AG183" s="15">
        <v>200</v>
      </c>
      <c r="AH183" s="15">
        <v>0</v>
      </c>
      <c r="AI183" s="15">
        <v>30</v>
      </c>
      <c r="AJ183" s="15">
        <v>10</v>
      </c>
      <c r="AK183" s="15">
        <v>30</v>
      </c>
      <c r="AL183" s="15">
        <f t="shared" si="50"/>
        <v>270</v>
      </c>
      <c r="AM183" s="29">
        <f t="shared" si="48"/>
        <v>600</v>
      </c>
      <c r="AN183" s="19">
        <v>370</v>
      </c>
      <c r="AO183" s="21">
        <v>0</v>
      </c>
      <c r="AP183" s="22">
        <v>2</v>
      </c>
      <c r="AQ183" s="26">
        <f t="shared" si="60"/>
        <v>368</v>
      </c>
      <c r="AR183" s="37">
        <f t="shared" si="68"/>
        <v>1</v>
      </c>
      <c r="AS183" s="38">
        <f t="shared" si="69"/>
        <v>0.6166666666666667</v>
      </c>
      <c r="AT183" s="38">
        <f t="shared" si="70"/>
        <v>0.99459459459459465</v>
      </c>
      <c r="AU183" s="27">
        <f t="shared" si="71"/>
        <v>0.6133333333333334</v>
      </c>
    </row>
    <row r="184" spans="1:47" s="1" customFormat="1" ht="21" customHeight="1" x14ac:dyDescent="0.25">
      <c r="A184" s="109">
        <v>46036</v>
      </c>
      <c r="B184" s="47" t="s">
        <v>49</v>
      </c>
      <c r="C184" s="89" t="s">
        <v>51</v>
      </c>
      <c r="D184" s="47" t="s">
        <v>88</v>
      </c>
      <c r="E184" s="48">
        <v>98992</v>
      </c>
      <c r="F184" s="48" t="s">
        <v>126</v>
      </c>
      <c r="G184" s="48" t="s">
        <v>87</v>
      </c>
      <c r="H184" s="30">
        <v>13106</v>
      </c>
      <c r="I184" s="30">
        <v>32</v>
      </c>
      <c r="J184" s="28">
        <f t="shared" si="67"/>
        <v>112.5</v>
      </c>
      <c r="K184" s="31">
        <v>0.58333333333333337</v>
      </c>
      <c r="L184" s="31">
        <v>0.9375</v>
      </c>
      <c r="M184" s="32">
        <f t="shared" si="59"/>
        <v>0.35416666666666663</v>
      </c>
      <c r="N184" s="36">
        <v>510</v>
      </c>
      <c r="O184" s="36">
        <f t="shared" si="49"/>
        <v>320</v>
      </c>
      <c r="P184" s="36">
        <f t="shared" si="47"/>
        <v>320</v>
      </c>
      <c r="Q184" s="15">
        <v>0</v>
      </c>
      <c r="R184" s="20">
        <v>0</v>
      </c>
      <c r="S184" s="16">
        <v>0</v>
      </c>
      <c r="T184" s="16">
        <v>0</v>
      </c>
      <c r="U184" s="20">
        <v>0</v>
      </c>
      <c r="V184" s="20">
        <v>0</v>
      </c>
      <c r="W184" s="20">
        <v>0</v>
      </c>
      <c r="X184" s="20">
        <v>0</v>
      </c>
      <c r="Y184" s="20">
        <v>0</v>
      </c>
      <c r="Z184" s="20">
        <v>0</v>
      </c>
      <c r="AA184" s="20">
        <v>0</v>
      </c>
      <c r="AB184" s="20">
        <v>0</v>
      </c>
      <c r="AC184" s="15">
        <f t="shared" si="66"/>
        <v>0</v>
      </c>
      <c r="AD184" s="15">
        <v>0</v>
      </c>
      <c r="AE184" s="15">
        <v>0</v>
      </c>
      <c r="AF184" s="15">
        <v>0</v>
      </c>
      <c r="AG184" s="15">
        <v>120</v>
      </c>
      <c r="AH184" s="15">
        <v>0</v>
      </c>
      <c r="AI184" s="15">
        <v>30</v>
      </c>
      <c r="AJ184" s="15">
        <v>10</v>
      </c>
      <c r="AK184" s="15">
        <v>30</v>
      </c>
      <c r="AL184" s="15">
        <f t="shared" si="50"/>
        <v>190</v>
      </c>
      <c r="AM184" s="29">
        <f t="shared" si="48"/>
        <v>600</v>
      </c>
      <c r="AN184" s="19">
        <v>423</v>
      </c>
      <c r="AO184" s="21">
        <v>0</v>
      </c>
      <c r="AP184" s="22">
        <v>1</v>
      </c>
      <c r="AQ184" s="26">
        <f t="shared" si="60"/>
        <v>422</v>
      </c>
      <c r="AR184" s="37">
        <f t="shared" si="68"/>
        <v>1</v>
      </c>
      <c r="AS184" s="38">
        <f t="shared" si="69"/>
        <v>0.70499999999999996</v>
      </c>
      <c r="AT184" s="38">
        <f t="shared" si="70"/>
        <v>0.99763593380614657</v>
      </c>
      <c r="AU184" s="27">
        <f t="shared" si="71"/>
        <v>0.70333333333333325</v>
      </c>
    </row>
    <row r="185" spans="1:47" s="1" customFormat="1" ht="21" customHeight="1" x14ac:dyDescent="0.25">
      <c r="A185" s="109">
        <v>46036</v>
      </c>
      <c r="B185" s="47" t="s">
        <v>49</v>
      </c>
      <c r="C185" s="89" t="s">
        <v>51</v>
      </c>
      <c r="D185" s="47" t="s">
        <v>89</v>
      </c>
      <c r="E185" s="48">
        <v>98992</v>
      </c>
      <c r="F185" s="48" t="s">
        <v>169</v>
      </c>
      <c r="G185" s="48" t="s">
        <v>87</v>
      </c>
      <c r="H185" s="30">
        <v>16219</v>
      </c>
      <c r="I185" s="30">
        <v>32</v>
      </c>
      <c r="J185" s="28">
        <f t="shared" si="67"/>
        <v>112.5</v>
      </c>
      <c r="K185" s="31">
        <v>0.58333333333333337</v>
      </c>
      <c r="L185" s="31">
        <v>0.9375</v>
      </c>
      <c r="M185" s="32">
        <f t="shared" si="59"/>
        <v>0.35416666666666663</v>
      </c>
      <c r="N185" s="36">
        <v>510</v>
      </c>
      <c r="O185" s="36">
        <f t="shared" si="49"/>
        <v>440</v>
      </c>
      <c r="P185" s="36">
        <f t="shared" si="47"/>
        <v>440</v>
      </c>
      <c r="Q185" s="15">
        <v>0</v>
      </c>
      <c r="R185" s="20">
        <v>0</v>
      </c>
      <c r="S185" s="16">
        <v>0</v>
      </c>
      <c r="T185" s="16">
        <v>0</v>
      </c>
      <c r="U185" s="20">
        <v>0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15">
        <f t="shared" si="66"/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30</v>
      </c>
      <c r="AJ185" s="15">
        <v>10</v>
      </c>
      <c r="AK185" s="15">
        <v>30</v>
      </c>
      <c r="AL185" s="15">
        <f t="shared" si="50"/>
        <v>70</v>
      </c>
      <c r="AM185" s="29">
        <f t="shared" si="48"/>
        <v>825</v>
      </c>
      <c r="AN185" s="19">
        <v>614</v>
      </c>
      <c r="AO185" s="21">
        <v>0</v>
      </c>
      <c r="AP185" s="22">
        <v>0</v>
      </c>
      <c r="AQ185" s="26">
        <f t="shared" si="60"/>
        <v>614</v>
      </c>
      <c r="AR185" s="37">
        <f t="shared" ref="AR185" si="72">O185/P185</f>
        <v>1</v>
      </c>
      <c r="AS185" s="38">
        <f t="shared" ref="AS185" si="73">AN185/AM185</f>
        <v>0.74424242424242426</v>
      </c>
      <c r="AT185" s="38">
        <f t="shared" ref="AT185" si="74">AQ185/AN185</f>
        <v>1</v>
      </c>
      <c r="AU185" s="27">
        <f t="shared" ref="AU185" si="75">AR185*AS185*AT185</f>
        <v>0.74424242424242426</v>
      </c>
    </row>
    <row r="186" spans="1:47" s="1" customFormat="1" ht="21" customHeight="1" x14ac:dyDescent="0.25">
      <c r="A186" s="109">
        <v>46036</v>
      </c>
      <c r="B186" s="47" t="s">
        <v>49</v>
      </c>
      <c r="C186" s="89" t="s">
        <v>51</v>
      </c>
      <c r="D186" s="47" t="s">
        <v>52</v>
      </c>
      <c r="E186" s="48">
        <v>98992</v>
      </c>
      <c r="F186" s="48" t="s">
        <v>53</v>
      </c>
      <c r="G186" s="48" t="s">
        <v>87</v>
      </c>
      <c r="H186" s="30">
        <v>15731</v>
      </c>
      <c r="I186" s="30">
        <v>32</v>
      </c>
      <c r="J186" s="28">
        <f t="shared" si="67"/>
        <v>112.5</v>
      </c>
      <c r="K186" s="31">
        <v>0.58333333333333337</v>
      </c>
      <c r="L186" s="31">
        <v>0.9375</v>
      </c>
      <c r="M186" s="32">
        <f t="shared" si="59"/>
        <v>0.35416666666666663</v>
      </c>
      <c r="N186" s="36">
        <v>510</v>
      </c>
      <c r="O186" s="36">
        <f t="shared" si="49"/>
        <v>440</v>
      </c>
      <c r="P186" s="36">
        <f t="shared" si="47"/>
        <v>440</v>
      </c>
      <c r="Q186" s="15">
        <v>0</v>
      </c>
      <c r="R186" s="20">
        <v>0</v>
      </c>
      <c r="S186" s="16">
        <v>0</v>
      </c>
      <c r="T186" s="16">
        <v>0</v>
      </c>
      <c r="U186" s="20">
        <v>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15">
        <f t="shared" si="66"/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30</v>
      </c>
      <c r="AJ186" s="15">
        <v>10</v>
      </c>
      <c r="AK186" s="15">
        <v>30</v>
      </c>
      <c r="AL186" s="15">
        <f t="shared" si="50"/>
        <v>70</v>
      </c>
      <c r="AM186" s="29">
        <f t="shared" si="48"/>
        <v>825</v>
      </c>
      <c r="AN186" s="19">
        <v>672</v>
      </c>
      <c r="AO186" s="21">
        <v>0</v>
      </c>
      <c r="AP186" s="22">
        <v>1</v>
      </c>
      <c r="AQ186" s="26">
        <f t="shared" si="60"/>
        <v>671</v>
      </c>
      <c r="AR186" s="37">
        <f t="shared" ref="AR186" si="76">O186/P186</f>
        <v>1</v>
      </c>
      <c r="AS186" s="38">
        <f t="shared" ref="AS186" si="77">AN186/AM186</f>
        <v>0.81454545454545457</v>
      </c>
      <c r="AT186" s="38">
        <f t="shared" ref="AT186" si="78">AQ186/AN186</f>
        <v>0.99851190476190477</v>
      </c>
      <c r="AU186" s="27">
        <f t="shared" ref="AU186" si="79">AR186*AS186*AT186</f>
        <v>0.81333333333333335</v>
      </c>
    </row>
    <row r="187" spans="1:47" s="1" customFormat="1" ht="21" customHeight="1" x14ac:dyDescent="0.25">
      <c r="A187" s="109">
        <v>46036</v>
      </c>
      <c r="B187" s="47" t="s">
        <v>49</v>
      </c>
      <c r="C187" s="89" t="s">
        <v>51</v>
      </c>
      <c r="D187" s="47" t="s">
        <v>86</v>
      </c>
      <c r="E187" s="48">
        <v>98992</v>
      </c>
      <c r="F187" s="48" t="s">
        <v>176</v>
      </c>
      <c r="G187" s="48" t="s">
        <v>87</v>
      </c>
      <c r="H187" s="30">
        <v>15688</v>
      </c>
      <c r="I187" s="30">
        <v>20</v>
      </c>
      <c r="J187" s="28">
        <f t="shared" si="67"/>
        <v>180</v>
      </c>
      <c r="K187" s="31">
        <v>0.58333333333333337</v>
      </c>
      <c r="L187" s="31">
        <v>0.9375</v>
      </c>
      <c r="M187" s="32">
        <f t="shared" si="59"/>
        <v>0.35416666666666663</v>
      </c>
      <c r="N187" s="36">
        <v>510</v>
      </c>
      <c r="O187" s="36">
        <f t="shared" si="49"/>
        <v>440</v>
      </c>
      <c r="P187" s="36">
        <f t="shared" si="47"/>
        <v>440</v>
      </c>
      <c r="Q187" s="15">
        <v>0</v>
      </c>
      <c r="R187" s="20">
        <v>0</v>
      </c>
      <c r="S187" s="16">
        <v>0</v>
      </c>
      <c r="T187" s="16">
        <v>0</v>
      </c>
      <c r="U187" s="20">
        <v>0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15">
        <f t="shared" si="66"/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30</v>
      </c>
      <c r="AJ187" s="15">
        <v>10</v>
      </c>
      <c r="AK187" s="15">
        <v>30</v>
      </c>
      <c r="AL187" s="15">
        <f t="shared" si="50"/>
        <v>70</v>
      </c>
      <c r="AM187" s="29">
        <f t="shared" si="48"/>
        <v>1320</v>
      </c>
      <c r="AN187" s="19">
        <v>712</v>
      </c>
      <c r="AO187" s="21">
        <v>0</v>
      </c>
      <c r="AP187" s="22">
        <v>0</v>
      </c>
      <c r="AQ187" s="26">
        <f t="shared" si="60"/>
        <v>712</v>
      </c>
      <c r="AR187" s="37">
        <f t="shared" ref="AR187:AR243" si="80">O187/P187</f>
        <v>1</v>
      </c>
      <c r="AS187" s="38">
        <f t="shared" ref="AS187:AS197" si="81">AN187/AM187</f>
        <v>0.53939393939393943</v>
      </c>
      <c r="AT187" s="38">
        <f t="shared" ref="AT187:AT197" si="82">AQ187/AN187</f>
        <v>1</v>
      </c>
      <c r="AU187" s="27">
        <f t="shared" ref="AU187:AU243" si="83">AR187*AS187*AT187</f>
        <v>0.53939393939393943</v>
      </c>
    </row>
    <row r="188" spans="1:47" s="1" customFormat="1" ht="21" customHeight="1" x14ac:dyDescent="0.25">
      <c r="A188" s="109">
        <v>46036</v>
      </c>
      <c r="B188" s="47" t="s">
        <v>49</v>
      </c>
      <c r="C188" s="89" t="s">
        <v>51</v>
      </c>
      <c r="D188" s="47" t="s">
        <v>124</v>
      </c>
      <c r="E188" s="48">
        <v>98992</v>
      </c>
      <c r="F188" s="48" t="s">
        <v>215</v>
      </c>
      <c r="G188" s="48" t="s">
        <v>125</v>
      </c>
      <c r="H188" s="30">
        <v>13105</v>
      </c>
      <c r="I188" s="30">
        <v>32</v>
      </c>
      <c r="J188" s="28">
        <f t="shared" si="67"/>
        <v>112.5</v>
      </c>
      <c r="K188" s="31">
        <v>0.58333333333333337</v>
      </c>
      <c r="L188" s="31">
        <v>0.9375</v>
      </c>
      <c r="M188" s="32">
        <f t="shared" si="59"/>
        <v>0.35416666666666663</v>
      </c>
      <c r="N188" s="36">
        <v>510</v>
      </c>
      <c r="O188" s="36">
        <f t="shared" ref="O188:O192" si="84">P188-AC188</f>
        <v>440</v>
      </c>
      <c r="P188" s="36">
        <f t="shared" ref="P188:P192" si="85">N188-AL188</f>
        <v>440</v>
      </c>
      <c r="Q188" s="15">
        <v>0</v>
      </c>
      <c r="R188" s="20">
        <v>0</v>
      </c>
      <c r="S188" s="16">
        <v>0</v>
      </c>
      <c r="T188" s="16">
        <v>0</v>
      </c>
      <c r="U188" s="20">
        <v>0</v>
      </c>
      <c r="V188" s="20">
        <v>0</v>
      </c>
      <c r="W188" s="20">
        <v>0</v>
      </c>
      <c r="X188" s="20">
        <v>0</v>
      </c>
      <c r="Y188" s="20">
        <v>0</v>
      </c>
      <c r="Z188" s="20">
        <v>0</v>
      </c>
      <c r="AA188" s="20">
        <v>0</v>
      </c>
      <c r="AB188" s="20">
        <v>0</v>
      </c>
      <c r="AC188" s="15">
        <f t="shared" ref="AC188:AC191" si="86">SUM(Q188:AB188)</f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30</v>
      </c>
      <c r="AJ188" s="15">
        <v>10</v>
      </c>
      <c r="AK188" s="15">
        <v>30</v>
      </c>
      <c r="AL188" s="15">
        <f t="shared" si="50"/>
        <v>70</v>
      </c>
      <c r="AM188" s="29">
        <f t="shared" si="48"/>
        <v>825</v>
      </c>
      <c r="AN188" s="19">
        <v>679</v>
      </c>
      <c r="AO188" s="21">
        <v>0</v>
      </c>
      <c r="AP188" s="22">
        <v>1</v>
      </c>
      <c r="AQ188" s="26">
        <f t="shared" si="60"/>
        <v>678</v>
      </c>
      <c r="AR188" s="37">
        <f t="shared" si="80"/>
        <v>1</v>
      </c>
      <c r="AS188" s="38">
        <f t="shared" si="81"/>
        <v>0.823030303030303</v>
      </c>
      <c r="AT188" s="38">
        <f t="shared" si="82"/>
        <v>0.99852724594992637</v>
      </c>
      <c r="AU188" s="27">
        <f t="shared" si="83"/>
        <v>0.82181818181818178</v>
      </c>
    </row>
    <row r="189" spans="1:47" s="1" customFormat="1" ht="21" customHeight="1" x14ac:dyDescent="0.25">
      <c r="A189" s="109">
        <v>46036</v>
      </c>
      <c r="B189" s="47" t="s">
        <v>49</v>
      </c>
      <c r="C189" s="89" t="s">
        <v>51</v>
      </c>
      <c r="D189" s="47" t="s">
        <v>122</v>
      </c>
      <c r="E189" s="48">
        <v>98992</v>
      </c>
      <c r="F189" s="48" t="s">
        <v>169</v>
      </c>
      <c r="G189" s="48" t="s">
        <v>125</v>
      </c>
      <c r="H189" s="30">
        <v>15689</v>
      </c>
      <c r="I189" s="30">
        <v>32</v>
      </c>
      <c r="J189" s="28">
        <f t="shared" si="67"/>
        <v>112.5</v>
      </c>
      <c r="K189" s="31">
        <v>0.58333333333333337</v>
      </c>
      <c r="L189" s="31">
        <v>0.9375</v>
      </c>
      <c r="M189" s="32">
        <f t="shared" si="59"/>
        <v>0.35416666666666663</v>
      </c>
      <c r="N189" s="36">
        <v>510</v>
      </c>
      <c r="O189" s="36">
        <f t="shared" si="84"/>
        <v>380</v>
      </c>
      <c r="P189" s="36">
        <f t="shared" si="85"/>
        <v>380</v>
      </c>
      <c r="Q189" s="15">
        <v>0</v>
      </c>
      <c r="R189" s="20">
        <v>0</v>
      </c>
      <c r="S189" s="16">
        <v>0</v>
      </c>
      <c r="T189" s="16">
        <v>0</v>
      </c>
      <c r="U189" s="20">
        <v>0</v>
      </c>
      <c r="V189" s="20">
        <v>0</v>
      </c>
      <c r="W189" s="20">
        <v>0</v>
      </c>
      <c r="X189" s="20">
        <v>0</v>
      </c>
      <c r="Y189" s="20">
        <v>0</v>
      </c>
      <c r="Z189" s="20">
        <v>0</v>
      </c>
      <c r="AA189" s="20">
        <v>0</v>
      </c>
      <c r="AB189" s="20">
        <v>0</v>
      </c>
      <c r="AC189" s="15">
        <f t="shared" si="86"/>
        <v>0</v>
      </c>
      <c r="AD189" s="15">
        <v>0</v>
      </c>
      <c r="AE189" s="15">
        <v>0</v>
      </c>
      <c r="AF189" s="15">
        <v>0</v>
      </c>
      <c r="AG189" s="15">
        <v>60</v>
      </c>
      <c r="AH189" s="15">
        <v>0</v>
      </c>
      <c r="AI189" s="15">
        <v>30</v>
      </c>
      <c r="AJ189" s="15">
        <v>10</v>
      </c>
      <c r="AK189" s="15">
        <v>30</v>
      </c>
      <c r="AL189" s="15">
        <f t="shared" ref="AL189:AL191" si="87">SUM(AD189:AK189)</f>
        <v>130</v>
      </c>
      <c r="AM189" s="29">
        <f t="shared" si="48"/>
        <v>712.5</v>
      </c>
      <c r="AN189" s="19">
        <v>501</v>
      </c>
      <c r="AO189" s="21">
        <v>0</v>
      </c>
      <c r="AP189" s="22">
        <v>0</v>
      </c>
      <c r="AQ189" s="26">
        <f t="shared" si="60"/>
        <v>501</v>
      </c>
      <c r="AR189" s="37">
        <f t="shared" si="80"/>
        <v>1</v>
      </c>
      <c r="AS189" s="38">
        <f t="shared" si="81"/>
        <v>0.70315789473684209</v>
      </c>
      <c r="AT189" s="38">
        <f t="shared" si="82"/>
        <v>1</v>
      </c>
      <c r="AU189" s="27">
        <f t="shared" si="83"/>
        <v>0.70315789473684209</v>
      </c>
    </row>
    <row r="190" spans="1:47" s="1" customFormat="1" ht="21" customHeight="1" x14ac:dyDescent="0.25">
      <c r="A190" s="109">
        <v>46036</v>
      </c>
      <c r="B190" s="47" t="s">
        <v>49</v>
      </c>
      <c r="C190" s="89" t="s">
        <v>51</v>
      </c>
      <c r="D190" s="47" t="s">
        <v>128</v>
      </c>
      <c r="E190" s="48">
        <v>98992</v>
      </c>
      <c r="F190" s="48" t="s">
        <v>53</v>
      </c>
      <c r="G190" s="48" t="s">
        <v>125</v>
      </c>
      <c r="H190" s="30">
        <v>15710</v>
      </c>
      <c r="I190" s="30">
        <v>32</v>
      </c>
      <c r="J190" s="28">
        <f t="shared" si="67"/>
        <v>112.5</v>
      </c>
      <c r="K190" s="31">
        <v>0.58333333333333337</v>
      </c>
      <c r="L190" s="31">
        <v>0.9375</v>
      </c>
      <c r="M190" s="32">
        <f t="shared" si="59"/>
        <v>0.35416666666666663</v>
      </c>
      <c r="N190" s="36">
        <v>510</v>
      </c>
      <c r="O190" s="36">
        <f t="shared" si="84"/>
        <v>260</v>
      </c>
      <c r="P190" s="36">
        <f t="shared" si="85"/>
        <v>260</v>
      </c>
      <c r="Q190" s="15">
        <v>0</v>
      </c>
      <c r="R190" s="20">
        <v>0</v>
      </c>
      <c r="S190" s="16">
        <v>0</v>
      </c>
      <c r="T190" s="16">
        <v>0</v>
      </c>
      <c r="U190" s="20">
        <v>0</v>
      </c>
      <c r="V190" s="20">
        <v>0</v>
      </c>
      <c r="W190" s="20">
        <v>0</v>
      </c>
      <c r="X190" s="20">
        <v>0</v>
      </c>
      <c r="Y190" s="20">
        <v>0</v>
      </c>
      <c r="Z190" s="20">
        <v>0</v>
      </c>
      <c r="AA190" s="20">
        <v>0</v>
      </c>
      <c r="AB190" s="20">
        <v>0</v>
      </c>
      <c r="AC190" s="15">
        <f t="shared" si="86"/>
        <v>0</v>
      </c>
      <c r="AD190" s="15">
        <v>0</v>
      </c>
      <c r="AE190" s="15">
        <v>0</v>
      </c>
      <c r="AF190" s="15">
        <v>0</v>
      </c>
      <c r="AG190" s="15">
        <v>180</v>
      </c>
      <c r="AH190" s="15">
        <v>0</v>
      </c>
      <c r="AI190" s="15">
        <v>30</v>
      </c>
      <c r="AJ190" s="15">
        <v>10</v>
      </c>
      <c r="AK190" s="15">
        <v>30</v>
      </c>
      <c r="AL190" s="15">
        <f t="shared" si="87"/>
        <v>250</v>
      </c>
      <c r="AM190" s="29">
        <f t="shared" si="48"/>
        <v>487.5</v>
      </c>
      <c r="AN190" s="19">
        <v>280</v>
      </c>
      <c r="AO190" s="21">
        <v>0</v>
      </c>
      <c r="AP190" s="22">
        <v>1</v>
      </c>
      <c r="AQ190" s="26">
        <f t="shared" si="60"/>
        <v>279</v>
      </c>
      <c r="AR190" s="37">
        <f t="shared" si="80"/>
        <v>1</v>
      </c>
      <c r="AS190" s="38">
        <f t="shared" si="81"/>
        <v>0.57435897435897432</v>
      </c>
      <c r="AT190" s="38">
        <f t="shared" si="82"/>
        <v>0.99642857142857144</v>
      </c>
      <c r="AU190" s="27">
        <f t="shared" si="83"/>
        <v>0.5723076923076923</v>
      </c>
    </row>
    <row r="191" spans="1:47" s="1" customFormat="1" ht="21" customHeight="1" x14ac:dyDescent="0.25">
      <c r="A191" s="109">
        <v>46036</v>
      </c>
      <c r="B191" s="47" t="s">
        <v>49</v>
      </c>
      <c r="C191" s="89" t="s">
        <v>51</v>
      </c>
      <c r="D191" s="47" t="s">
        <v>170</v>
      </c>
      <c r="E191" s="48">
        <v>98992</v>
      </c>
      <c r="F191" s="48" t="s">
        <v>176</v>
      </c>
      <c r="G191" s="48" t="s">
        <v>125</v>
      </c>
      <c r="H191" s="30">
        <v>15859</v>
      </c>
      <c r="I191" s="30">
        <v>20</v>
      </c>
      <c r="J191" s="28">
        <f t="shared" si="67"/>
        <v>180</v>
      </c>
      <c r="K191" s="31">
        <v>0.58333333333333337</v>
      </c>
      <c r="L191" s="31">
        <v>0.9375</v>
      </c>
      <c r="M191" s="32">
        <f t="shared" si="59"/>
        <v>0.35416666666666663</v>
      </c>
      <c r="N191" s="36">
        <v>510</v>
      </c>
      <c r="O191" s="36">
        <f t="shared" si="84"/>
        <v>140</v>
      </c>
      <c r="P191" s="36">
        <f t="shared" si="85"/>
        <v>140</v>
      </c>
      <c r="Q191" s="15">
        <v>0</v>
      </c>
      <c r="R191" s="20">
        <v>0</v>
      </c>
      <c r="S191" s="16">
        <v>0</v>
      </c>
      <c r="T191" s="16">
        <v>0</v>
      </c>
      <c r="U191" s="20">
        <v>0</v>
      </c>
      <c r="V191" s="20">
        <v>0</v>
      </c>
      <c r="W191" s="20">
        <v>0</v>
      </c>
      <c r="X191" s="20">
        <v>0</v>
      </c>
      <c r="Y191" s="20">
        <v>0</v>
      </c>
      <c r="Z191" s="20">
        <v>0</v>
      </c>
      <c r="AA191" s="20">
        <v>0</v>
      </c>
      <c r="AB191" s="20">
        <v>0</v>
      </c>
      <c r="AC191" s="15">
        <f t="shared" si="86"/>
        <v>0</v>
      </c>
      <c r="AD191" s="15">
        <v>0</v>
      </c>
      <c r="AE191" s="15">
        <v>0</v>
      </c>
      <c r="AF191" s="15">
        <v>0</v>
      </c>
      <c r="AG191" s="15">
        <v>300</v>
      </c>
      <c r="AH191" s="15">
        <v>0</v>
      </c>
      <c r="AI191" s="15">
        <v>30</v>
      </c>
      <c r="AJ191" s="15">
        <v>10</v>
      </c>
      <c r="AK191" s="15">
        <v>30</v>
      </c>
      <c r="AL191" s="15">
        <f t="shared" si="87"/>
        <v>370</v>
      </c>
      <c r="AM191" s="29">
        <f t="shared" si="48"/>
        <v>420</v>
      </c>
      <c r="AN191" s="19">
        <v>300</v>
      </c>
      <c r="AO191" s="21">
        <v>0</v>
      </c>
      <c r="AP191" s="22">
        <v>1</v>
      </c>
      <c r="AQ191" s="26">
        <f t="shared" si="60"/>
        <v>299</v>
      </c>
      <c r="AR191" s="37">
        <f t="shared" si="80"/>
        <v>1</v>
      </c>
      <c r="AS191" s="38">
        <f t="shared" si="81"/>
        <v>0.7142857142857143</v>
      </c>
      <c r="AT191" s="38">
        <f t="shared" si="82"/>
        <v>0.9966666666666667</v>
      </c>
      <c r="AU191" s="27">
        <f t="shared" si="83"/>
        <v>0.71190476190476193</v>
      </c>
    </row>
    <row r="192" spans="1:47" s="1" customFormat="1" ht="21" customHeight="1" x14ac:dyDescent="0.25">
      <c r="A192" s="109">
        <v>46036</v>
      </c>
      <c r="B192" s="47" t="s">
        <v>49</v>
      </c>
      <c r="C192" s="89" t="s">
        <v>51</v>
      </c>
      <c r="D192" s="47" t="s">
        <v>94</v>
      </c>
      <c r="E192" s="48">
        <v>98992</v>
      </c>
      <c r="F192" s="48" t="s">
        <v>67</v>
      </c>
      <c r="G192" s="48" t="s">
        <v>174</v>
      </c>
      <c r="H192" s="30">
        <v>15833</v>
      </c>
      <c r="I192" s="30">
        <v>24</v>
      </c>
      <c r="J192" s="28">
        <f t="shared" si="67"/>
        <v>150</v>
      </c>
      <c r="K192" s="31">
        <v>0.58333333333333337</v>
      </c>
      <c r="L192" s="31">
        <v>0.9375</v>
      </c>
      <c r="M192" s="32">
        <f t="shared" si="59"/>
        <v>0.35416666666666663</v>
      </c>
      <c r="N192" s="36">
        <v>510</v>
      </c>
      <c r="O192" s="36">
        <f t="shared" si="84"/>
        <v>440</v>
      </c>
      <c r="P192" s="36">
        <f t="shared" si="85"/>
        <v>440</v>
      </c>
      <c r="Q192" s="15">
        <v>0</v>
      </c>
      <c r="R192" s="20">
        <v>0</v>
      </c>
      <c r="S192" s="16">
        <v>0</v>
      </c>
      <c r="T192" s="16">
        <v>0</v>
      </c>
      <c r="U192" s="20">
        <v>0</v>
      </c>
      <c r="V192" s="20">
        <v>0</v>
      </c>
      <c r="W192" s="20">
        <v>0</v>
      </c>
      <c r="X192" s="20">
        <v>0</v>
      </c>
      <c r="Y192" s="20">
        <v>0</v>
      </c>
      <c r="Z192" s="20">
        <v>0</v>
      </c>
      <c r="AA192" s="20">
        <v>0</v>
      </c>
      <c r="AB192" s="20">
        <v>0</v>
      </c>
      <c r="AC192" s="15">
        <f t="shared" ref="AC192:AC197" si="88">SUM(Q192:AB192)</f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30</v>
      </c>
      <c r="AJ192" s="15">
        <v>10</v>
      </c>
      <c r="AK192" s="15">
        <v>30</v>
      </c>
      <c r="AL192" s="15">
        <f t="shared" ref="AL192:AL197" si="89">SUM(AD192:AK192)</f>
        <v>70</v>
      </c>
      <c r="AM192" s="29">
        <f t="shared" si="48"/>
        <v>1100</v>
      </c>
      <c r="AN192" s="19">
        <v>1016</v>
      </c>
      <c r="AO192" s="21">
        <v>0</v>
      </c>
      <c r="AP192" s="22">
        <v>16</v>
      </c>
      <c r="AQ192" s="26">
        <f t="shared" si="60"/>
        <v>1000</v>
      </c>
      <c r="AR192" s="37">
        <f t="shared" si="80"/>
        <v>1</v>
      </c>
      <c r="AS192" s="38">
        <f t="shared" si="81"/>
        <v>0.92363636363636359</v>
      </c>
      <c r="AT192" s="38">
        <f t="shared" si="82"/>
        <v>0.98425196850393704</v>
      </c>
      <c r="AU192" s="27">
        <f t="shared" si="83"/>
        <v>0.90909090909090906</v>
      </c>
    </row>
    <row r="193" spans="1:47" s="1" customFormat="1" ht="23.1" customHeight="1" x14ac:dyDescent="0.25">
      <c r="A193" s="109">
        <v>46037</v>
      </c>
      <c r="B193" s="47" t="s">
        <v>49</v>
      </c>
      <c r="C193" s="89" t="s">
        <v>51</v>
      </c>
      <c r="D193" s="47" t="s">
        <v>94</v>
      </c>
      <c r="E193" s="48">
        <v>98992</v>
      </c>
      <c r="F193" s="48" t="s">
        <v>67</v>
      </c>
      <c r="G193" s="48" t="s">
        <v>174</v>
      </c>
      <c r="H193" s="30">
        <v>14957</v>
      </c>
      <c r="I193" s="30">
        <v>24</v>
      </c>
      <c r="J193" s="28">
        <f t="shared" ref="J193:J203" si="90">3600/I193</f>
        <v>150</v>
      </c>
      <c r="K193" s="31">
        <v>0.58333333333333337</v>
      </c>
      <c r="L193" s="31">
        <v>0.9375</v>
      </c>
      <c r="M193" s="32">
        <f t="shared" ref="M193:M198" si="91">IF(L193&gt;K193,L193-K193,1+L193-K193)</f>
        <v>0.35416666666666663</v>
      </c>
      <c r="N193" s="36">
        <v>510</v>
      </c>
      <c r="O193" s="36">
        <f t="shared" ref="O193:O198" si="92">P193-AC193</f>
        <v>440</v>
      </c>
      <c r="P193" s="36">
        <f t="shared" ref="P193:P198" si="93">N193-AL193</f>
        <v>440</v>
      </c>
      <c r="Q193" s="15">
        <v>0</v>
      </c>
      <c r="R193" s="20">
        <v>0</v>
      </c>
      <c r="S193" s="16">
        <v>0</v>
      </c>
      <c r="T193" s="16">
        <v>0</v>
      </c>
      <c r="U193" s="20">
        <v>0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15">
        <f t="shared" si="88"/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30</v>
      </c>
      <c r="AJ193" s="15">
        <v>10</v>
      </c>
      <c r="AK193" s="15">
        <v>30</v>
      </c>
      <c r="AL193" s="15">
        <f t="shared" si="89"/>
        <v>70</v>
      </c>
      <c r="AM193" s="29">
        <f t="shared" si="48"/>
        <v>1100</v>
      </c>
      <c r="AN193" s="19">
        <v>1016</v>
      </c>
      <c r="AO193" s="21">
        <v>0</v>
      </c>
      <c r="AP193" s="22">
        <v>15</v>
      </c>
      <c r="AQ193" s="26">
        <f t="shared" si="60"/>
        <v>1001</v>
      </c>
      <c r="AR193" s="37">
        <f t="shared" si="80"/>
        <v>1</v>
      </c>
      <c r="AS193" s="38">
        <f t="shared" si="81"/>
        <v>0.92363636363636359</v>
      </c>
      <c r="AT193" s="38">
        <f t="shared" si="82"/>
        <v>0.98523622047244097</v>
      </c>
      <c r="AU193" s="27">
        <f t="shared" si="83"/>
        <v>0.91</v>
      </c>
    </row>
    <row r="194" spans="1:47" s="1" customFormat="1" ht="23.1" customHeight="1" x14ac:dyDescent="0.25">
      <c r="A194" s="109">
        <v>46037</v>
      </c>
      <c r="B194" s="47" t="s">
        <v>49</v>
      </c>
      <c r="C194" s="89" t="s">
        <v>51</v>
      </c>
      <c r="D194" s="47" t="s">
        <v>88</v>
      </c>
      <c r="E194" s="48">
        <v>98992</v>
      </c>
      <c r="F194" s="48" t="s">
        <v>126</v>
      </c>
      <c r="G194" s="48" t="s">
        <v>87</v>
      </c>
      <c r="H194" s="30">
        <v>13106</v>
      </c>
      <c r="I194" s="30">
        <v>32</v>
      </c>
      <c r="J194" s="28">
        <f t="shared" si="90"/>
        <v>112.5</v>
      </c>
      <c r="K194" s="31">
        <v>0.58333333333333337</v>
      </c>
      <c r="L194" s="31">
        <v>0.9375</v>
      </c>
      <c r="M194" s="32">
        <f t="shared" si="91"/>
        <v>0.35416666666666663</v>
      </c>
      <c r="N194" s="36">
        <v>510</v>
      </c>
      <c r="O194" s="36">
        <f t="shared" si="92"/>
        <v>320</v>
      </c>
      <c r="P194" s="36">
        <f t="shared" si="93"/>
        <v>320</v>
      </c>
      <c r="Q194" s="15">
        <v>0</v>
      </c>
      <c r="R194" s="20">
        <v>0</v>
      </c>
      <c r="S194" s="16">
        <v>0</v>
      </c>
      <c r="T194" s="16">
        <v>0</v>
      </c>
      <c r="U194" s="20">
        <v>0</v>
      </c>
      <c r="V194" s="20">
        <v>0</v>
      </c>
      <c r="W194" s="20">
        <v>0</v>
      </c>
      <c r="X194" s="20">
        <v>0</v>
      </c>
      <c r="Y194" s="20">
        <v>0</v>
      </c>
      <c r="Z194" s="20">
        <v>0</v>
      </c>
      <c r="AA194" s="20">
        <v>0</v>
      </c>
      <c r="AB194" s="20">
        <v>0</v>
      </c>
      <c r="AC194" s="15">
        <f t="shared" si="88"/>
        <v>0</v>
      </c>
      <c r="AD194" s="15">
        <v>0</v>
      </c>
      <c r="AE194" s="15">
        <v>0</v>
      </c>
      <c r="AF194" s="15">
        <v>0</v>
      </c>
      <c r="AG194" s="15">
        <v>120</v>
      </c>
      <c r="AH194" s="15">
        <v>0</v>
      </c>
      <c r="AI194" s="15">
        <v>30</v>
      </c>
      <c r="AJ194" s="15">
        <v>10</v>
      </c>
      <c r="AK194" s="15">
        <v>30</v>
      </c>
      <c r="AL194" s="15">
        <f t="shared" si="89"/>
        <v>190</v>
      </c>
      <c r="AM194" s="29">
        <f t="shared" si="48"/>
        <v>600</v>
      </c>
      <c r="AN194" s="19">
        <v>423</v>
      </c>
      <c r="AO194" s="21">
        <v>0</v>
      </c>
      <c r="AP194" s="22">
        <v>1</v>
      </c>
      <c r="AQ194" s="26">
        <f t="shared" si="60"/>
        <v>422</v>
      </c>
      <c r="AR194" s="37">
        <f t="shared" si="80"/>
        <v>1</v>
      </c>
      <c r="AS194" s="38">
        <f t="shared" si="81"/>
        <v>0.70499999999999996</v>
      </c>
      <c r="AT194" s="38">
        <f t="shared" si="82"/>
        <v>0.99763593380614657</v>
      </c>
      <c r="AU194" s="27">
        <f t="shared" si="83"/>
        <v>0.70333333333333325</v>
      </c>
    </row>
    <row r="195" spans="1:47" s="1" customFormat="1" ht="23.1" customHeight="1" x14ac:dyDescent="0.25">
      <c r="A195" s="109">
        <v>46037</v>
      </c>
      <c r="B195" s="47" t="s">
        <v>49</v>
      </c>
      <c r="C195" s="89" t="s">
        <v>51</v>
      </c>
      <c r="D195" s="47" t="s">
        <v>89</v>
      </c>
      <c r="E195" s="48">
        <v>98992</v>
      </c>
      <c r="F195" s="48" t="s">
        <v>169</v>
      </c>
      <c r="G195" s="48" t="s">
        <v>87</v>
      </c>
      <c r="H195" s="30">
        <v>16219</v>
      </c>
      <c r="I195" s="30">
        <v>32</v>
      </c>
      <c r="J195" s="28">
        <f t="shared" si="90"/>
        <v>112.5</v>
      </c>
      <c r="K195" s="31">
        <v>0.58333333333333337</v>
      </c>
      <c r="L195" s="31">
        <v>0.9375</v>
      </c>
      <c r="M195" s="32">
        <f t="shared" si="91"/>
        <v>0.35416666666666663</v>
      </c>
      <c r="N195" s="36">
        <v>510</v>
      </c>
      <c r="O195" s="36">
        <f t="shared" si="92"/>
        <v>440</v>
      </c>
      <c r="P195" s="36">
        <f t="shared" si="93"/>
        <v>440</v>
      </c>
      <c r="Q195" s="15">
        <v>0</v>
      </c>
      <c r="R195" s="20">
        <v>0</v>
      </c>
      <c r="S195" s="16">
        <v>0</v>
      </c>
      <c r="T195" s="16">
        <v>0</v>
      </c>
      <c r="U195" s="20">
        <v>0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15">
        <f t="shared" si="88"/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30</v>
      </c>
      <c r="AJ195" s="15">
        <v>10</v>
      </c>
      <c r="AK195" s="15">
        <v>30</v>
      </c>
      <c r="AL195" s="15">
        <f t="shared" si="89"/>
        <v>70</v>
      </c>
      <c r="AM195" s="29">
        <f t="shared" si="48"/>
        <v>825</v>
      </c>
      <c r="AN195" s="19">
        <v>614</v>
      </c>
      <c r="AO195" s="21">
        <v>0</v>
      </c>
      <c r="AP195" s="22">
        <v>1</v>
      </c>
      <c r="AQ195" s="26">
        <f t="shared" si="60"/>
        <v>613</v>
      </c>
      <c r="AR195" s="37">
        <f t="shared" si="80"/>
        <v>1</v>
      </c>
      <c r="AS195" s="38">
        <f t="shared" si="81"/>
        <v>0.74424242424242426</v>
      </c>
      <c r="AT195" s="38">
        <f t="shared" si="82"/>
        <v>0.99837133550488599</v>
      </c>
      <c r="AU195" s="27">
        <f t="shared" si="83"/>
        <v>0.74303030303030304</v>
      </c>
    </row>
    <row r="196" spans="1:47" s="1" customFormat="1" ht="23.1" customHeight="1" x14ac:dyDescent="0.25">
      <c r="A196" s="109">
        <v>46037</v>
      </c>
      <c r="B196" s="47" t="s">
        <v>49</v>
      </c>
      <c r="C196" s="89" t="s">
        <v>51</v>
      </c>
      <c r="D196" s="47" t="s">
        <v>52</v>
      </c>
      <c r="E196" s="48">
        <v>98992</v>
      </c>
      <c r="F196" s="48" t="s">
        <v>53</v>
      </c>
      <c r="G196" s="48" t="s">
        <v>87</v>
      </c>
      <c r="H196" s="30">
        <v>15721</v>
      </c>
      <c r="I196" s="30">
        <v>32</v>
      </c>
      <c r="J196" s="28">
        <f t="shared" si="90"/>
        <v>112.5</v>
      </c>
      <c r="K196" s="31">
        <v>0.58333333333333337</v>
      </c>
      <c r="L196" s="31">
        <v>0.9375</v>
      </c>
      <c r="M196" s="32">
        <f t="shared" si="91"/>
        <v>0.35416666666666663</v>
      </c>
      <c r="N196" s="36">
        <v>510</v>
      </c>
      <c r="O196" s="36">
        <f t="shared" si="92"/>
        <v>440</v>
      </c>
      <c r="P196" s="36">
        <f t="shared" si="93"/>
        <v>440</v>
      </c>
      <c r="Q196" s="15">
        <v>0</v>
      </c>
      <c r="R196" s="20">
        <v>0</v>
      </c>
      <c r="S196" s="16">
        <v>0</v>
      </c>
      <c r="T196" s="16">
        <v>0</v>
      </c>
      <c r="U196" s="20">
        <v>0</v>
      </c>
      <c r="V196" s="20">
        <v>0</v>
      </c>
      <c r="W196" s="20">
        <v>0</v>
      </c>
      <c r="X196" s="20">
        <v>0</v>
      </c>
      <c r="Y196" s="20">
        <v>0</v>
      </c>
      <c r="Z196" s="20">
        <v>0</v>
      </c>
      <c r="AA196" s="20">
        <v>0</v>
      </c>
      <c r="AB196" s="20">
        <v>0</v>
      </c>
      <c r="AC196" s="15">
        <f t="shared" si="88"/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30</v>
      </c>
      <c r="AJ196" s="15">
        <v>10</v>
      </c>
      <c r="AK196" s="15">
        <v>30</v>
      </c>
      <c r="AL196" s="15">
        <f t="shared" si="89"/>
        <v>70</v>
      </c>
      <c r="AM196" s="29">
        <f t="shared" si="48"/>
        <v>825</v>
      </c>
      <c r="AN196" s="19">
        <v>672</v>
      </c>
      <c r="AO196" s="21">
        <v>0</v>
      </c>
      <c r="AP196" s="22">
        <v>2</v>
      </c>
      <c r="AQ196" s="26">
        <f t="shared" si="60"/>
        <v>670</v>
      </c>
      <c r="AR196" s="37">
        <f t="shared" si="80"/>
        <v>1</v>
      </c>
      <c r="AS196" s="38">
        <f t="shared" si="81"/>
        <v>0.81454545454545457</v>
      </c>
      <c r="AT196" s="38">
        <f t="shared" si="82"/>
        <v>0.99702380952380953</v>
      </c>
      <c r="AU196" s="27">
        <f t="shared" si="83"/>
        <v>0.81212121212121213</v>
      </c>
    </row>
    <row r="197" spans="1:47" s="1" customFormat="1" ht="23.1" customHeight="1" x14ac:dyDescent="0.25">
      <c r="A197" s="109">
        <v>46037</v>
      </c>
      <c r="B197" s="47" t="s">
        <v>49</v>
      </c>
      <c r="C197" s="89" t="s">
        <v>51</v>
      </c>
      <c r="D197" s="47" t="s">
        <v>86</v>
      </c>
      <c r="E197" s="48">
        <v>98992</v>
      </c>
      <c r="F197" s="48" t="s">
        <v>176</v>
      </c>
      <c r="G197" s="48" t="s">
        <v>87</v>
      </c>
      <c r="H197" s="30">
        <v>15589</v>
      </c>
      <c r="I197" s="30">
        <v>20</v>
      </c>
      <c r="J197" s="28">
        <f t="shared" si="90"/>
        <v>180</v>
      </c>
      <c r="K197" s="31">
        <v>0.58333333333333337</v>
      </c>
      <c r="L197" s="31">
        <v>0.9375</v>
      </c>
      <c r="M197" s="32">
        <f t="shared" si="91"/>
        <v>0.35416666666666663</v>
      </c>
      <c r="N197" s="36">
        <v>510</v>
      </c>
      <c r="O197" s="36">
        <f t="shared" si="92"/>
        <v>320</v>
      </c>
      <c r="P197" s="36">
        <f t="shared" si="93"/>
        <v>320</v>
      </c>
      <c r="Q197" s="15">
        <v>0</v>
      </c>
      <c r="R197" s="20">
        <v>0</v>
      </c>
      <c r="S197" s="16">
        <v>0</v>
      </c>
      <c r="T197" s="16">
        <v>0</v>
      </c>
      <c r="U197" s="20">
        <v>0</v>
      </c>
      <c r="V197" s="20">
        <v>0</v>
      </c>
      <c r="W197" s="20">
        <v>0</v>
      </c>
      <c r="X197" s="20">
        <v>0</v>
      </c>
      <c r="Y197" s="20">
        <v>0</v>
      </c>
      <c r="Z197" s="20">
        <v>0</v>
      </c>
      <c r="AA197" s="20">
        <v>0</v>
      </c>
      <c r="AB197" s="20">
        <v>0</v>
      </c>
      <c r="AC197" s="15">
        <f t="shared" si="88"/>
        <v>0</v>
      </c>
      <c r="AD197" s="15">
        <v>0</v>
      </c>
      <c r="AE197" s="15">
        <v>0</v>
      </c>
      <c r="AF197" s="15">
        <v>0</v>
      </c>
      <c r="AG197" s="15">
        <v>120</v>
      </c>
      <c r="AH197" s="15">
        <v>0</v>
      </c>
      <c r="AI197" s="15">
        <v>30</v>
      </c>
      <c r="AJ197" s="15">
        <v>10</v>
      </c>
      <c r="AK197" s="15">
        <v>30</v>
      </c>
      <c r="AL197" s="15">
        <f t="shared" si="89"/>
        <v>190</v>
      </c>
      <c r="AM197" s="29">
        <f t="shared" si="48"/>
        <v>960</v>
      </c>
      <c r="AN197" s="19">
        <v>712</v>
      </c>
      <c r="AO197" s="21">
        <v>0</v>
      </c>
      <c r="AP197" s="22">
        <v>0</v>
      </c>
      <c r="AQ197" s="26">
        <f t="shared" si="60"/>
        <v>712</v>
      </c>
      <c r="AR197" s="37">
        <f t="shared" si="80"/>
        <v>1</v>
      </c>
      <c r="AS197" s="38">
        <f t="shared" si="81"/>
        <v>0.7416666666666667</v>
      </c>
      <c r="AT197" s="38">
        <f t="shared" si="82"/>
        <v>1</v>
      </c>
      <c r="AU197" s="27">
        <f t="shared" si="83"/>
        <v>0.7416666666666667</v>
      </c>
    </row>
    <row r="198" spans="1:47" s="1" customFormat="1" ht="23.1" customHeight="1" x14ac:dyDescent="0.25">
      <c r="A198" s="109">
        <v>46037</v>
      </c>
      <c r="B198" s="47" t="s">
        <v>49</v>
      </c>
      <c r="C198" s="89" t="s">
        <v>51</v>
      </c>
      <c r="D198" s="47" t="s">
        <v>172</v>
      </c>
      <c r="E198" s="48">
        <v>98992</v>
      </c>
      <c r="F198" s="48" t="s">
        <v>175</v>
      </c>
      <c r="G198" s="48" t="s">
        <v>87</v>
      </c>
      <c r="H198" s="30">
        <v>15710</v>
      </c>
      <c r="I198" s="30">
        <v>20</v>
      </c>
      <c r="J198" s="28">
        <f t="shared" si="90"/>
        <v>180</v>
      </c>
      <c r="K198" s="31">
        <v>0.58333333333333337</v>
      </c>
      <c r="L198" s="31">
        <v>0.9375</v>
      </c>
      <c r="M198" s="32">
        <f t="shared" si="91"/>
        <v>0.35416666666666663</v>
      </c>
      <c r="N198" s="36">
        <v>510</v>
      </c>
      <c r="O198" s="36">
        <f t="shared" si="92"/>
        <v>220</v>
      </c>
      <c r="P198" s="36">
        <f t="shared" si="93"/>
        <v>220</v>
      </c>
      <c r="Q198" s="15">
        <v>0</v>
      </c>
      <c r="R198" s="20">
        <v>0</v>
      </c>
      <c r="S198" s="16">
        <v>0</v>
      </c>
      <c r="T198" s="16">
        <v>0</v>
      </c>
      <c r="U198" s="20">
        <v>0</v>
      </c>
      <c r="V198" s="20">
        <v>0</v>
      </c>
      <c r="W198" s="20">
        <v>0</v>
      </c>
      <c r="X198" s="20">
        <v>0</v>
      </c>
      <c r="Y198" s="20">
        <v>0</v>
      </c>
      <c r="Z198" s="20">
        <v>0</v>
      </c>
      <c r="AA198" s="20">
        <v>0</v>
      </c>
      <c r="AB198" s="20">
        <v>0</v>
      </c>
      <c r="AC198" s="15">
        <f t="shared" ref="AC198:AC215" si="94">SUM(Q198:AB198)</f>
        <v>0</v>
      </c>
      <c r="AD198" s="15">
        <v>0</v>
      </c>
      <c r="AE198" s="15">
        <v>0</v>
      </c>
      <c r="AF198" s="15">
        <v>0</v>
      </c>
      <c r="AG198" s="15">
        <v>220</v>
      </c>
      <c r="AH198" s="15">
        <v>0</v>
      </c>
      <c r="AI198" s="15">
        <v>30</v>
      </c>
      <c r="AJ198" s="15">
        <v>10</v>
      </c>
      <c r="AK198" s="15">
        <v>30</v>
      </c>
      <c r="AL198" s="15">
        <f t="shared" ref="AL198:AL214" si="95">SUM(AD198:AK198)</f>
        <v>290</v>
      </c>
      <c r="AM198" s="29">
        <f t="shared" ref="AM198:AM261" si="96">P198*(J198/60)</f>
        <v>660</v>
      </c>
      <c r="AN198" s="19">
        <v>504</v>
      </c>
      <c r="AO198" s="21">
        <v>0</v>
      </c>
      <c r="AP198" s="22">
        <v>0</v>
      </c>
      <c r="AQ198" s="26">
        <f t="shared" si="60"/>
        <v>504</v>
      </c>
      <c r="AR198" s="37">
        <f t="shared" si="80"/>
        <v>1</v>
      </c>
      <c r="AS198" s="38">
        <f t="shared" ref="AS198:AS243" si="97">AN198/AM198</f>
        <v>0.76363636363636367</v>
      </c>
      <c r="AT198" s="38">
        <f t="shared" ref="AT198:AT243" si="98">AQ198/AN198</f>
        <v>1</v>
      </c>
      <c r="AU198" s="27">
        <f t="shared" si="83"/>
        <v>0.76363636363636367</v>
      </c>
    </row>
    <row r="199" spans="1:47" s="1" customFormat="1" ht="23.1" customHeight="1" x14ac:dyDescent="0.25">
      <c r="A199" s="109">
        <v>46037</v>
      </c>
      <c r="B199" s="47" t="s">
        <v>49</v>
      </c>
      <c r="C199" s="89" t="s">
        <v>51</v>
      </c>
      <c r="D199" s="47" t="s">
        <v>124</v>
      </c>
      <c r="E199" s="48">
        <v>98992</v>
      </c>
      <c r="F199" s="48" t="s">
        <v>215</v>
      </c>
      <c r="G199" s="48" t="s">
        <v>125</v>
      </c>
      <c r="H199" s="30">
        <v>13105</v>
      </c>
      <c r="I199" s="30">
        <v>32</v>
      </c>
      <c r="J199" s="28">
        <f t="shared" si="90"/>
        <v>112.5</v>
      </c>
      <c r="K199" s="31">
        <v>0.58333333333333337</v>
      </c>
      <c r="L199" s="31">
        <v>0.9375</v>
      </c>
      <c r="M199" s="32">
        <f t="shared" ref="M199:M263" si="99">IF(L199&gt;K199,L199-K199,1+L199-K199)</f>
        <v>0.35416666666666663</v>
      </c>
      <c r="N199" s="36">
        <v>510</v>
      </c>
      <c r="O199" s="36">
        <f t="shared" ref="O199:O262" si="100">P199-AC199</f>
        <v>440</v>
      </c>
      <c r="P199" s="36">
        <f t="shared" ref="P199:P262" si="101">N199-AL199</f>
        <v>440</v>
      </c>
      <c r="Q199" s="15">
        <v>0</v>
      </c>
      <c r="R199" s="20">
        <v>0</v>
      </c>
      <c r="S199" s="16">
        <v>0</v>
      </c>
      <c r="T199" s="16">
        <v>0</v>
      </c>
      <c r="U199" s="20">
        <v>0</v>
      </c>
      <c r="V199" s="20">
        <v>0</v>
      </c>
      <c r="W199" s="20">
        <v>0</v>
      </c>
      <c r="X199" s="20">
        <v>0</v>
      </c>
      <c r="Y199" s="20">
        <v>0</v>
      </c>
      <c r="Z199" s="20">
        <v>0</v>
      </c>
      <c r="AA199" s="20">
        <v>0</v>
      </c>
      <c r="AB199" s="20">
        <v>0</v>
      </c>
      <c r="AC199" s="15">
        <f t="shared" si="94"/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30</v>
      </c>
      <c r="AJ199" s="15">
        <v>10</v>
      </c>
      <c r="AK199" s="15">
        <v>30</v>
      </c>
      <c r="AL199" s="15">
        <f t="shared" si="95"/>
        <v>70</v>
      </c>
      <c r="AM199" s="29">
        <f t="shared" si="96"/>
        <v>825</v>
      </c>
      <c r="AN199" s="19">
        <v>679</v>
      </c>
      <c r="AO199" s="21">
        <v>0</v>
      </c>
      <c r="AP199" s="22">
        <v>1</v>
      </c>
      <c r="AQ199" s="26">
        <f t="shared" si="60"/>
        <v>678</v>
      </c>
      <c r="AR199" s="37">
        <f t="shared" si="80"/>
        <v>1</v>
      </c>
      <c r="AS199" s="38">
        <f t="shared" si="97"/>
        <v>0.823030303030303</v>
      </c>
      <c r="AT199" s="38">
        <f t="shared" si="98"/>
        <v>0.99852724594992637</v>
      </c>
      <c r="AU199" s="27">
        <f t="shared" si="83"/>
        <v>0.82181818181818178</v>
      </c>
    </row>
    <row r="200" spans="1:47" s="1" customFormat="1" ht="23.1" customHeight="1" x14ac:dyDescent="0.25">
      <c r="A200" s="109">
        <v>46037</v>
      </c>
      <c r="B200" s="47" t="s">
        <v>49</v>
      </c>
      <c r="C200" s="89" t="s">
        <v>51</v>
      </c>
      <c r="D200" s="47" t="s">
        <v>122</v>
      </c>
      <c r="E200" s="48">
        <v>98992</v>
      </c>
      <c r="F200" s="48" t="s">
        <v>169</v>
      </c>
      <c r="G200" s="48" t="s">
        <v>125</v>
      </c>
      <c r="H200" s="30">
        <v>14972</v>
      </c>
      <c r="I200" s="30">
        <v>32</v>
      </c>
      <c r="J200" s="28">
        <f t="shared" si="90"/>
        <v>112.5</v>
      </c>
      <c r="K200" s="31">
        <v>0.58333333333333337</v>
      </c>
      <c r="L200" s="31">
        <v>0.9375</v>
      </c>
      <c r="M200" s="32">
        <f t="shared" si="99"/>
        <v>0.35416666666666663</v>
      </c>
      <c r="N200" s="36">
        <v>510</v>
      </c>
      <c r="O200" s="36">
        <f t="shared" si="100"/>
        <v>320</v>
      </c>
      <c r="P200" s="36">
        <f t="shared" si="101"/>
        <v>320</v>
      </c>
      <c r="Q200" s="15">
        <v>0</v>
      </c>
      <c r="R200" s="20">
        <v>0</v>
      </c>
      <c r="S200" s="16">
        <v>0</v>
      </c>
      <c r="T200" s="16">
        <v>0</v>
      </c>
      <c r="U200" s="20">
        <v>0</v>
      </c>
      <c r="V200" s="20">
        <v>0</v>
      </c>
      <c r="W200" s="20">
        <v>0</v>
      </c>
      <c r="X200" s="20">
        <v>0</v>
      </c>
      <c r="Y200" s="20">
        <v>0</v>
      </c>
      <c r="Z200" s="20">
        <v>0</v>
      </c>
      <c r="AA200" s="20">
        <v>0</v>
      </c>
      <c r="AB200" s="20">
        <v>0</v>
      </c>
      <c r="AC200" s="15">
        <f t="shared" si="94"/>
        <v>0</v>
      </c>
      <c r="AD200" s="15">
        <v>0</v>
      </c>
      <c r="AE200" s="15">
        <v>0</v>
      </c>
      <c r="AF200" s="15">
        <v>0</v>
      </c>
      <c r="AG200" s="15">
        <v>120</v>
      </c>
      <c r="AH200" s="15">
        <v>0</v>
      </c>
      <c r="AI200" s="15">
        <v>30</v>
      </c>
      <c r="AJ200" s="15">
        <v>10</v>
      </c>
      <c r="AK200" s="15">
        <v>30</v>
      </c>
      <c r="AL200" s="15">
        <f t="shared" si="95"/>
        <v>190</v>
      </c>
      <c r="AM200" s="29">
        <f t="shared" si="96"/>
        <v>600</v>
      </c>
      <c r="AN200" s="19">
        <v>501</v>
      </c>
      <c r="AO200" s="21">
        <v>0</v>
      </c>
      <c r="AP200" s="22">
        <v>1</v>
      </c>
      <c r="AQ200" s="26">
        <f t="shared" si="60"/>
        <v>500</v>
      </c>
      <c r="AR200" s="37">
        <f t="shared" si="80"/>
        <v>1</v>
      </c>
      <c r="AS200" s="38">
        <f t="shared" si="97"/>
        <v>0.83499999999999996</v>
      </c>
      <c r="AT200" s="38">
        <f t="shared" si="98"/>
        <v>0.99800399201596801</v>
      </c>
      <c r="AU200" s="27">
        <f t="shared" si="83"/>
        <v>0.83333333333333326</v>
      </c>
    </row>
    <row r="201" spans="1:47" s="1" customFormat="1" ht="23.1" customHeight="1" x14ac:dyDescent="0.25">
      <c r="A201" s="109">
        <v>46037</v>
      </c>
      <c r="B201" s="47" t="s">
        <v>49</v>
      </c>
      <c r="C201" s="89" t="s">
        <v>51</v>
      </c>
      <c r="D201" s="47" t="s">
        <v>128</v>
      </c>
      <c r="E201" s="48">
        <v>98992</v>
      </c>
      <c r="F201" s="48" t="s">
        <v>53</v>
      </c>
      <c r="G201" s="48" t="s">
        <v>125</v>
      </c>
      <c r="H201" s="30">
        <v>15618</v>
      </c>
      <c r="I201" s="30">
        <v>32</v>
      </c>
      <c r="J201" s="28">
        <f t="shared" si="90"/>
        <v>112.5</v>
      </c>
      <c r="K201" s="31">
        <v>0.58333333333333337</v>
      </c>
      <c r="L201" s="31">
        <v>0.9375</v>
      </c>
      <c r="M201" s="32">
        <f t="shared" si="99"/>
        <v>0.35416666666666663</v>
      </c>
      <c r="N201" s="36">
        <v>510</v>
      </c>
      <c r="O201" s="36">
        <f t="shared" si="100"/>
        <v>240</v>
      </c>
      <c r="P201" s="36">
        <f t="shared" si="101"/>
        <v>240</v>
      </c>
      <c r="Q201" s="15">
        <v>0</v>
      </c>
      <c r="R201" s="20">
        <v>0</v>
      </c>
      <c r="S201" s="16">
        <v>0</v>
      </c>
      <c r="T201" s="16">
        <v>0</v>
      </c>
      <c r="U201" s="20">
        <v>0</v>
      </c>
      <c r="V201" s="20">
        <v>0</v>
      </c>
      <c r="W201" s="20">
        <v>0</v>
      </c>
      <c r="X201" s="20">
        <v>0</v>
      </c>
      <c r="Y201" s="20">
        <v>0</v>
      </c>
      <c r="Z201" s="20">
        <v>0</v>
      </c>
      <c r="AA201" s="20">
        <v>0</v>
      </c>
      <c r="AB201" s="20">
        <v>0</v>
      </c>
      <c r="AC201" s="15">
        <f t="shared" si="94"/>
        <v>0</v>
      </c>
      <c r="AD201" s="15">
        <v>0</v>
      </c>
      <c r="AE201" s="15">
        <v>0</v>
      </c>
      <c r="AF201" s="15">
        <v>0</v>
      </c>
      <c r="AG201" s="15">
        <v>200</v>
      </c>
      <c r="AH201" s="15">
        <v>0</v>
      </c>
      <c r="AI201" s="15">
        <v>30</v>
      </c>
      <c r="AJ201" s="15">
        <v>10</v>
      </c>
      <c r="AK201" s="15">
        <v>30</v>
      </c>
      <c r="AL201" s="15">
        <f t="shared" si="95"/>
        <v>270</v>
      </c>
      <c r="AM201" s="29">
        <f t="shared" si="96"/>
        <v>450</v>
      </c>
      <c r="AN201" s="19">
        <v>280</v>
      </c>
      <c r="AO201" s="21">
        <v>0</v>
      </c>
      <c r="AP201" s="22">
        <v>1</v>
      </c>
      <c r="AQ201" s="26">
        <f t="shared" si="60"/>
        <v>279</v>
      </c>
      <c r="AR201" s="37">
        <f t="shared" si="80"/>
        <v>1</v>
      </c>
      <c r="AS201" s="38">
        <f t="shared" si="97"/>
        <v>0.62222222222222223</v>
      </c>
      <c r="AT201" s="38">
        <f t="shared" si="98"/>
        <v>0.99642857142857144</v>
      </c>
      <c r="AU201" s="27">
        <f t="shared" si="83"/>
        <v>0.62</v>
      </c>
    </row>
    <row r="202" spans="1:47" s="1" customFormat="1" ht="23.1" customHeight="1" x14ac:dyDescent="0.25">
      <c r="A202" s="109">
        <v>46037</v>
      </c>
      <c r="B202" s="47" t="s">
        <v>49</v>
      </c>
      <c r="C202" s="89" t="s">
        <v>51</v>
      </c>
      <c r="D202" s="47" t="s">
        <v>170</v>
      </c>
      <c r="E202" s="48">
        <v>98992</v>
      </c>
      <c r="F202" s="48" t="s">
        <v>176</v>
      </c>
      <c r="G202" s="48" t="s">
        <v>125</v>
      </c>
      <c r="H202" s="30">
        <v>15859</v>
      </c>
      <c r="I202" s="30">
        <v>20</v>
      </c>
      <c r="J202" s="28">
        <f t="shared" si="90"/>
        <v>180</v>
      </c>
      <c r="K202" s="31">
        <v>0.58333333333333337</v>
      </c>
      <c r="L202" s="31">
        <v>0.9375</v>
      </c>
      <c r="M202" s="32">
        <f t="shared" si="99"/>
        <v>0.35416666666666663</v>
      </c>
      <c r="N202" s="36">
        <v>510</v>
      </c>
      <c r="O202" s="36">
        <f t="shared" si="100"/>
        <v>190</v>
      </c>
      <c r="P202" s="36">
        <f t="shared" si="101"/>
        <v>190</v>
      </c>
      <c r="Q202" s="15">
        <v>0</v>
      </c>
      <c r="R202" s="20">
        <v>0</v>
      </c>
      <c r="S202" s="16">
        <v>0</v>
      </c>
      <c r="T202" s="16">
        <v>0</v>
      </c>
      <c r="U202" s="20">
        <v>0</v>
      </c>
      <c r="V202" s="20">
        <v>0</v>
      </c>
      <c r="W202" s="20">
        <v>0</v>
      </c>
      <c r="X202" s="20">
        <v>0</v>
      </c>
      <c r="Y202" s="20">
        <v>0</v>
      </c>
      <c r="Z202" s="20">
        <v>0</v>
      </c>
      <c r="AA202" s="20">
        <v>0</v>
      </c>
      <c r="AB202" s="20">
        <v>0</v>
      </c>
      <c r="AC202" s="15">
        <f t="shared" si="94"/>
        <v>0</v>
      </c>
      <c r="AD202" s="15">
        <v>0</v>
      </c>
      <c r="AE202" s="15">
        <v>0</v>
      </c>
      <c r="AF202" s="15">
        <v>0</v>
      </c>
      <c r="AG202" s="15">
        <v>250</v>
      </c>
      <c r="AH202" s="15">
        <v>0</v>
      </c>
      <c r="AI202" s="15">
        <v>30</v>
      </c>
      <c r="AJ202" s="15">
        <v>10</v>
      </c>
      <c r="AK202" s="15">
        <v>30</v>
      </c>
      <c r="AL202" s="15">
        <f t="shared" si="95"/>
        <v>320</v>
      </c>
      <c r="AM202" s="29">
        <f t="shared" si="96"/>
        <v>570</v>
      </c>
      <c r="AN202" s="19">
        <v>300</v>
      </c>
      <c r="AO202" s="21">
        <v>0</v>
      </c>
      <c r="AP202" s="22">
        <v>0</v>
      </c>
      <c r="AQ202" s="26">
        <f t="shared" si="60"/>
        <v>300</v>
      </c>
      <c r="AR202" s="37">
        <f t="shared" si="80"/>
        <v>1</v>
      </c>
      <c r="AS202" s="38">
        <f t="shared" si="97"/>
        <v>0.52631578947368418</v>
      </c>
      <c r="AT202" s="38">
        <f t="shared" si="98"/>
        <v>1</v>
      </c>
      <c r="AU202" s="27">
        <f t="shared" si="83"/>
        <v>0.52631578947368418</v>
      </c>
    </row>
    <row r="203" spans="1:47" s="1" customFormat="1" ht="23.1" customHeight="1" x14ac:dyDescent="0.25">
      <c r="A203" s="109">
        <v>46037</v>
      </c>
      <c r="B203" s="47" t="s">
        <v>49</v>
      </c>
      <c r="C203" s="89" t="s">
        <v>51</v>
      </c>
      <c r="D203" s="47" t="s">
        <v>127</v>
      </c>
      <c r="E203" s="48">
        <v>98992</v>
      </c>
      <c r="F203" s="48" t="s">
        <v>175</v>
      </c>
      <c r="G203" s="48" t="s">
        <v>125</v>
      </c>
      <c r="H203" s="30">
        <v>13106</v>
      </c>
      <c r="I203" s="30">
        <v>20</v>
      </c>
      <c r="J203" s="28">
        <f t="shared" si="90"/>
        <v>180</v>
      </c>
      <c r="K203" s="31">
        <v>0.58333333333333337</v>
      </c>
      <c r="L203" s="31">
        <v>0.9375</v>
      </c>
      <c r="M203" s="32">
        <f t="shared" si="99"/>
        <v>0.35416666666666663</v>
      </c>
      <c r="N203" s="36">
        <v>510</v>
      </c>
      <c r="O203" s="36">
        <f t="shared" si="100"/>
        <v>220</v>
      </c>
      <c r="P203" s="36">
        <f t="shared" si="101"/>
        <v>220</v>
      </c>
      <c r="Q203" s="15">
        <v>0</v>
      </c>
      <c r="R203" s="20">
        <v>0</v>
      </c>
      <c r="S203" s="16">
        <v>0</v>
      </c>
      <c r="T203" s="16">
        <v>0</v>
      </c>
      <c r="U203" s="20">
        <v>0</v>
      </c>
      <c r="V203" s="20">
        <v>0</v>
      </c>
      <c r="W203" s="20">
        <v>0</v>
      </c>
      <c r="X203" s="20">
        <v>0</v>
      </c>
      <c r="Y203" s="20">
        <v>0</v>
      </c>
      <c r="Z203" s="20">
        <v>0</v>
      </c>
      <c r="AA203" s="20">
        <v>0</v>
      </c>
      <c r="AB203" s="20">
        <v>0</v>
      </c>
      <c r="AC203" s="15">
        <f t="shared" si="94"/>
        <v>0</v>
      </c>
      <c r="AD203" s="15">
        <v>0</v>
      </c>
      <c r="AE203" s="15">
        <v>0</v>
      </c>
      <c r="AF203" s="15">
        <v>0</v>
      </c>
      <c r="AG203" s="15">
        <v>220</v>
      </c>
      <c r="AH203" s="15">
        <v>0</v>
      </c>
      <c r="AI203" s="15">
        <v>30</v>
      </c>
      <c r="AJ203" s="15">
        <v>10</v>
      </c>
      <c r="AK203" s="15">
        <v>30</v>
      </c>
      <c r="AL203" s="15">
        <f t="shared" si="95"/>
        <v>290</v>
      </c>
      <c r="AM203" s="29">
        <f t="shared" si="96"/>
        <v>660</v>
      </c>
      <c r="AN203" s="19">
        <v>450</v>
      </c>
      <c r="AO203" s="21">
        <v>0</v>
      </c>
      <c r="AP203" s="22">
        <v>2</v>
      </c>
      <c r="AQ203" s="26">
        <f t="shared" si="60"/>
        <v>448</v>
      </c>
      <c r="AR203" s="37">
        <f t="shared" si="80"/>
        <v>1</v>
      </c>
      <c r="AS203" s="38">
        <f t="shared" si="97"/>
        <v>0.68181818181818177</v>
      </c>
      <c r="AT203" s="38">
        <f t="shared" si="98"/>
        <v>0.99555555555555553</v>
      </c>
      <c r="AU203" s="27">
        <f t="shared" si="83"/>
        <v>0.67878787878787872</v>
      </c>
    </row>
    <row r="204" spans="1:47" s="1" customFormat="1" ht="23.1" customHeight="1" x14ac:dyDescent="0.25">
      <c r="A204" s="109">
        <v>46038</v>
      </c>
      <c r="B204" s="47" t="s">
        <v>49</v>
      </c>
      <c r="C204" s="80" t="s">
        <v>21</v>
      </c>
      <c r="D204" s="47" t="s">
        <v>94</v>
      </c>
      <c r="E204" s="48">
        <v>98992</v>
      </c>
      <c r="F204" s="48" t="s">
        <v>67</v>
      </c>
      <c r="G204" s="48" t="s">
        <v>174</v>
      </c>
      <c r="H204" s="30">
        <v>15736</v>
      </c>
      <c r="I204" s="30">
        <v>24</v>
      </c>
      <c r="J204" s="28">
        <f t="shared" ref="J204:J210" si="102">3600/I204</f>
        <v>150</v>
      </c>
      <c r="K204" s="31">
        <v>0.25</v>
      </c>
      <c r="L204" s="31">
        <v>0.60416666666666663</v>
      </c>
      <c r="M204" s="32">
        <f t="shared" si="99"/>
        <v>0.35416666666666663</v>
      </c>
      <c r="N204" s="36">
        <v>510</v>
      </c>
      <c r="O204" s="36">
        <f t="shared" si="100"/>
        <v>440</v>
      </c>
      <c r="P204" s="36">
        <f t="shared" si="101"/>
        <v>440</v>
      </c>
      <c r="Q204" s="15">
        <v>0</v>
      </c>
      <c r="R204" s="20">
        <v>0</v>
      </c>
      <c r="S204" s="16">
        <v>0</v>
      </c>
      <c r="T204" s="16">
        <v>0</v>
      </c>
      <c r="U204" s="20">
        <v>0</v>
      </c>
      <c r="V204" s="20">
        <v>0</v>
      </c>
      <c r="W204" s="20">
        <v>0</v>
      </c>
      <c r="X204" s="20">
        <v>0</v>
      </c>
      <c r="Y204" s="20">
        <v>0</v>
      </c>
      <c r="Z204" s="20">
        <v>0</v>
      </c>
      <c r="AA204" s="20">
        <v>0</v>
      </c>
      <c r="AB204" s="20">
        <v>0</v>
      </c>
      <c r="AC204" s="15">
        <f t="shared" si="94"/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30</v>
      </c>
      <c r="AJ204" s="15">
        <v>10</v>
      </c>
      <c r="AK204" s="15">
        <v>30</v>
      </c>
      <c r="AL204" s="15">
        <f t="shared" si="95"/>
        <v>70</v>
      </c>
      <c r="AM204" s="29">
        <f t="shared" si="96"/>
        <v>1100</v>
      </c>
      <c r="AN204" s="19">
        <v>780</v>
      </c>
      <c r="AO204" s="21">
        <v>0</v>
      </c>
      <c r="AP204" s="22">
        <v>9</v>
      </c>
      <c r="AQ204" s="26">
        <f t="shared" si="60"/>
        <v>771</v>
      </c>
      <c r="AR204" s="37">
        <f t="shared" si="80"/>
        <v>1</v>
      </c>
      <c r="AS204" s="38">
        <f t="shared" si="97"/>
        <v>0.70909090909090911</v>
      </c>
      <c r="AT204" s="38">
        <f t="shared" si="98"/>
        <v>0.9884615384615385</v>
      </c>
      <c r="AU204" s="27">
        <f t="shared" si="83"/>
        <v>0.70090909090909093</v>
      </c>
    </row>
    <row r="205" spans="1:47" s="1" customFormat="1" ht="23.1" customHeight="1" x14ac:dyDescent="0.25">
      <c r="A205" s="109">
        <v>46038</v>
      </c>
      <c r="B205" s="47" t="s">
        <v>49</v>
      </c>
      <c r="C205" s="80" t="s">
        <v>21</v>
      </c>
      <c r="D205" s="47" t="s">
        <v>88</v>
      </c>
      <c r="E205" s="48">
        <v>98992</v>
      </c>
      <c r="F205" s="48" t="s">
        <v>126</v>
      </c>
      <c r="G205" s="48" t="s">
        <v>87</v>
      </c>
      <c r="H205" s="30">
        <v>13106</v>
      </c>
      <c r="I205" s="30">
        <v>32</v>
      </c>
      <c r="J205" s="28">
        <f t="shared" si="102"/>
        <v>112.5</v>
      </c>
      <c r="K205" s="31">
        <v>0.25</v>
      </c>
      <c r="L205" s="31">
        <v>0.60416666666666663</v>
      </c>
      <c r="M205" s="32">
        <f t="shared" si="99"/>
        <v>0.35416666666666663</v>
      </c>
      <c r="N205" s="36">
        <v>510</v>
      </c>
      <c r="O205" s="36">
        <f t="shared" si="100"/>
        <v>440</v>
      </c>
      <c r="P205" s="36">
        <f t="shared" si="101"/>
        <v>440</v>
      </c>
      <c r="Q205" s="15">
        <v>0</v>
      </c>
      <c r="R205" s="20">
        <v>0</v>
      </c>
      <c r="S205" s="16">
        <v>0</v>
      </c>
      <c r="T205" s="16">
        <v>0</v>
      </c>
      <c r="U205" s="20">
        <v>0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15">
        <f t="shared" si="94"/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30</v>
      </c>
      <c r="AJ205" s="15">
        <v>10</v>
      </c>
      <c r="AK205" s="15">
        <v>30</v>
      </c>
      <c r="AL205" s="15">
        <f t="shared" si="95"/>
        <v>70</v>
      </c>
      <c r="AM205" s="29">
        <f t="shared" si="96"/>
        <v>825</v>
      </c>
      <c r="AN205" s="19">
        <v>624</v>
      </c>
      <c r="AO205" s="21">
        <v>0</v>
      </c>
      <c r="AP205" s="22">
        <v>2</v>
      </c>
      <c r="AQ205" s="26">
        <f t="shared" si="60"/>
        <v>622</v>
      </c>
      <c r="AR205" s="37">
        <f t="shared" si="80"/>
        <v>1</v>
      </c>
      <c r="AS205" s="38">
        <f t="shared" si="97"/>
        <v>0.75636363636363635</v>
      </c>
      <c r="AT205" s="38">
        <f t="shared" si="98"/>
        <v>0.99679487179487181</v>
      </c>
      <c r="AU205" s="27">
        <f t="shared" si="83"/>
        <v>0.75393939393939391</v>
      </c>
    </row>
    <row r="206" spans="1:47" s="1" customFormat="1" ht="23.1" customHeight="1" x14ac:dyDescent="0.25">
      <c r="A206" s="109">
        <v>46038</v>
      </c>
      <c r="B206" s="47" t="s">
        <v>49</v>
      </c>
      <c r="C206" s="80" t="s">
        <v>21</v>
      </c>
      <c r="D206" s="47" t="s">
        <v>89</v>
      </c>
      <c r="E206" s="48">
        <v>98992</v>
      </c>
      <c r="F206" s="48" t="s">
        <v>169</v>
      </c>
      <c r="G206" s="48" t="s">
        <v>87</v>
      </c>
      <c r="H206" s="30">
        <v>15851</v>
      </c>
      <c r="I206" s="30">
        <v>32</v>
      </c>
      <c r="J206" s="28">
        <f t="shared" si="102"/>
        <v>112.5</v>
      </c>
      <c r="K206" s="31">
        <v>0.25</v>
      </c>
      <c r="L206" s="31">
        <v>0.60416666666666663</v>
      </c>
      <c r="M206" s="32">
        <f t="shared" si="99"/>
        <v>0.35416666666666663</v>
      </c>
      <c r="N206" s="36">
        <v>510</v>
      </c>
      <c r="O206" s="36">
        <f t="shared" si="100"/>
        <v>440</v>
      </c>
      <c r="P206" s="36">
        <f t="shared" si="101"/>
        <v>440</v>
      </c>
      <c r="Q206" s="15">
        <v>0</v>
      </c>
      <c r="R206" s="20">
        <v>0</v>
      </c>
      <c r="S206" s="16">
        <v>0</v>
      </c>
      <c r="T206" s="16">
        <v>0</v>
      </c>
      <c r="U206" s="20">
        <v>0</v>
      </c>
      <c r="V206" s="20">
        <v>0</v>
      </c>
      <c r="W206" s="20">
        <v>0</v>
      </c>
      <c r="X206" s="20">
        <v>0</v>
      </c>
      <c r="Y206" s="20">
        <v>0</v>
      </c>
      <c r="Z206" s="20">
        <v>0</v>
      </c>
      <c r="AA206" s="20">
        <v>0</v>
      </c>
      <c r="AB206" s="20">
        <v>0</v>
      </c>
      <c r="AC206" s="15">
        <f t="shared" si="94"/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30</v>
      </c>
      <c r="AJ206" s="15">
        <v>10</v>
      </c>
      <c r="AK206" s="15">
        <v>30</v>
      </c>
      <c r="AL206" s="15">
        <f t="shared" si="95"/>
        <v>70</v>
      </c>
      <c r="AM206" s="29">
        <f t="shared" si="96"/>
        <v>825</v>
      </c>
      <c r="AN206" s="19">
        <v>540</v>
      </c>
      <c r="AO206" s="21">
        <v>0</v>
      </c>
      <c r="AP206" s="22">
        <v>0</v>
      </c>
      <c r="AQ206" s="26">
        <f t="shared" si="60"/>
        <v>540</v>
      </c>
      <c r="AR206" s="37">
        <f t="shared" si="80"/>
        <v>1</v>
      </c>
      <c r="AS206" s="38">
        <f t="shared" si="97"/>
        <v>0.65454545454545454</v>
      </c>
      <c r="AT206" s="38">
        <f t="shared" si="98"/>
        <v>1</v>
      </c>
      <c r="AU206" s="27">
        <f t="shared" si="83"/>
        <v>0.65454545454545454</v>
      </c>
    </row>
    <row r="207" spans="1:47" s="1" customFormat="1" ht="23.1" customHeight="1" x14ac:dyDescent="0.25">
      <c r="A207" s="109">
        <v>46038</v>
      </c>
      <c r="B207" s="47" t="s">
        <v>49</v>
      </c>
      <c r="C207" s="80" t="s">
        <v>21</v>
      </c>
      <c r="D207" s="47" t="s">
        <v>52</v>
      </c>
      <c r="E207" s="48">
        <v>98992</v>
      </c>
      <c r="F207" s="48" t="s">
        <v>53</v>
      </c>
      <c r="G207" s="48" t="s">
        <v>87</v>
      </c>
      <c r="H207" s="30">
        <v>15618</v>
      </c>
      <c r="I207" s="30">
        <v>32</v>
      </c>
      <c r="J207" s="28">
        <f t="shared" si="102"/>
        <v>112.5</v>
      </c>
      <c r="K207" s="31">
        <v>0.25</v>
      </c>
      <c r="L207" s="31">
        <v>0.60416666666666663</v>
      </c>
      <c r="M207" s="32">
        <f t="shared" si="99"/>
        <v>0.35416666666666663</v>
      </c>
      <c r="N207" s="36">
        <v>510</v>
      </c>
      <c r="O207" s="36">
        <f t="shared" si="100"/>
        <v>440</v>
      </c>
      <c r="P207" s="36">
        <f t="shared" si="101"/>
        <v>440</v>
      </c>
      <c r="Q207" s="15">
        <v>0</v>
      </c>
      <c r="R207" s="20">
        <v>0</v>
      </c>
      <c r="S207" s="16">
        <v>0</v>
      </c>
      <c r="T207" s="16">
        <v>0</v>
      </c>
      <c r="U207" s="20">
        <v>0</v>
      </c>
      <c r="V207" s="20">
        <v>0</v>
      </c>
      <c r="W207" s="20">
        <v>0</v>
      </c>
      <c r="X207" s="20">
        <v>0</v>
      </c>
      <c r="Y207" s="20">
        <v>0</v>
      </c>
      <c r="Z207" s="20">
        <v>0</v>
      </c>
      <c r="AA207" s="20">
        <v>0</v>
      </c>
      <c r="AB207" s="20">
        <v>0</v>
      </c>
      <c r="AC207" s="15">
        <f t="shared" si="94"/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30</v>
      </c>
      <c r="AJ207" s="15">
        <v>10</v>
      </c>
      <c r="AK207" s="15">
        <v>30</v>
      </c>
      <c r="AL207" s="15">
        <f t="shared" si="95"/>
        <v>70</v>
      </c>
      <c r="AM207" s="29">
        <f t="shared" si="96"/>
        <v>825</v>
      </c>
      <c r="AN207" s="19">
        <v>640</v>
      </c>
      <c r="AO207" s="21">
        <v>0</v>
      </c>
      <c r="AP207" s="22">
        <v>0</v>
      </c>
      <c r="AQ207" s="26">
        <f t="shared" si="60"/>
        <v>640</v>
      </c>
      <c r="AR207" s="37">
        <f t="shared" si="80"/>
        <v>1</v>
      </c>
      <c r="AS207" s="38">
        <f t="shared" si="97"/>
        <v>0.77575757575757576</v>
      </c>
      <c r="AT207" s="38">
        <f t="shared" si="98"/>
        <v>1</v>
      </c>
      <c r="AU207" s="27">
        <f t="shared" si="83"/>
        <v>0.77575757575757576</v>
      </c>
    </row>
    <row r="208" spans="1:47" s="1" customFormat="1" ht="23.1" customHeight="1" x14ac:dyDescent="0.25">
      <c r="A208" s="109">
        <v>46038</v>
      </c>
      <c r="B208" s="47" t="s">
        <v>49</v>
      </c>
      <c r="C208" s="80" t="s">
        <v>21</v>
      </c>
      <c r="D208" s="47" t="s">
        <v>86</v>
      </c>
      <c r="E208" s="48">
        <v>98992</v>
      </c>
      <c r="F208" s="48" t="s">
        <v>176</v>
      </c>
      <c r="G208" s="48" t="s">
        <v>87</v>
      </c>
      <c r="H208" s="30">
        <v>15859</v>
      </c>
      <c r="I208" s="30">
        <v>20</v>
      </c>
      <c r="J208" s="28">
        <f t="shared" si="102"/>
        <v>180</v>
      </c>
      <c r="K208" s="31">
        <v>0.25</v>
      </c>
      <c r="L208" s="31">
        <v>0.60416666666666663</v>
      </c>
      <c r="M208" s="32">
        <f t="shared" si="99"/>
        <v>0.35416666666666663</v>
      </c>
      <c r="N208" s="36">
        <v>510</v>
      </c>
      <c r="O208" s="36">
        <f t="shared" si="100"/>
        <v>320</v>
      </c>
      <c r="P208" s="36">
        <f t="shared" si="101"/>
        <v>320</v>
      </c>
      <c r="Q208" s="15">
        <v>0</v>
      </c>
      <c r="R208" s="20">
        <v>0</v>
      </c>
      <c r="S208" s="16">
        <v>0</v>
      </c>
      <c r="T208" s="16">
        <v>0</v>
      </c>
      <c r="U208" s="20">
        <v>0</v>
      </c>
      <c r="V208" s="20">
        <v>0</v>
      </c>
      <c r="W208" s="20">
        <v>0</v>
      </c>
      <c r="X208" s="20">
        <v>0</v>
      </c>
      <c r="Y208" s="20">
        <v>0</v>
      </c>
      <c r="Z208" s="20">
        <v>0</v>
      </c>
      <c r="AA208" s="20">
        <v>0</v>
      </c>
      <c r="AB208" s="20">
        <v>0</v>
      </c>
      <c r="AC208" s="15">
        <f t="shared" si="94"/>
        <v>0</v>
      </c>
      <c r="AD208" s="15">
        <v>0</v>
      </c>
      <c r="AE208" s="15">
        <v>0</v>
      </c>
      <c r="AF208" s="15">
        <v>0</v>
      </c>
      <c r="AG208" s="15">
        <v>120</v>
      </c>
      <c r="AH208" s="15">
        <v>0</v>
      </c>
      <c r="AI208" s="15">
        <v>30</v>
      </c>
      <c r="AJ208" s="15">
        <v>10</v>
      </c>
      <c r="AK208" s="15">
        <v>30</v>
      </c>
      <c r="AL208" s="15">
        <f t="shared" si="95"/>
        <v>190</v>
      </c>
      <c r="AM208" s="29">
        <f t="shared" si="96"/>
        <v>960</v>
      </c>
      <c r="AN208" s="19">
        <v>595</v>
      </c>
      <c r="AO208" s="21">
        <v>0</v>
      </c>
      <c r="AP208" s="22">
        <v>0</v>
      </c>
      <c r="AQ208" s="26">
        <f t="shared" si="60"/>
        <v>595</v>
      </c>
      <c r="AR208" s="37">
        <f t="shared" si="80"/>
        <v>1</v>
      </c>
      <c r="AS208" s="38">
        <f t="shared" si="97"/>
        <v>0.61979166666666663</v>
      </c>
      <c r="AT208" s="38">
        <f t="shared" si="98"/>
        <v>1</v>
      </c>
      <c r="AU208" s="27">
        <f t="shared" si="83"/>
        <v>0.61979166666666663</v>
      </c>
    </row>
    <row r="209" spans="1:47" s="1" customFormat="1" ht="23.1" customHeight="1" x14ac:dyDescent="0.25">
      <c r="A209" s="109">
        <v>46038</v>
      </c>
      <c r="B209" s="47" t="s">
        <v>49</v>
      </c>
      <c r="C209" s="80" t="s">
        <v>21</v>
      </c>
      <c r="D209" s="47" t="s">
        <v>172</v>
      </c>
      <c r="E209" s="48">
        <v>98992</v>
      </c>
      <c r="F209" s="48" t="s">
        <v>175</v>
      </c>
      <c r="G209" s="48" t="s">
        <v>87</v>
      </c>
      <c r="H209" s="30">
        <v>15882</v>
      </c>
      <c r="I209" s="30">
        <v>20</v>
      </c>
      <c r="J209" s="28">
        <f t="shared" si="102"/>
        <v>180</v>
      </c>
      <c r="K209" s="31">
        <v>0.25</v>
      </c>
      <c r="L209" s="31">
        <v>0.60416666666666663</v>
      </c>
      <c r="M209" s="32">
        <f t="shared" si="99"/>
        <v>0.35416666666666663</v>
      </c>
      <c r="N209" s="36">
        <v>510</v>
      </c>
      <c r="O209" s="36">
        <f t="shared" si="100"/>
        <v>320</v>
      </c>
      <c r="P209" s="36">
        <f t="shared" si="101"/>
        <v>320</v>
      </c>
      <c r="Q209" s="15">
        <v>0</v>
      </c>
      <c r="R209" s="20">
        <v>0</v>
      </c>
      <c r="S209" s="16">
        <v>0</v>
      </c>
      <c r="T209" s="16">
        <v>0</v>
      </c>
      <c r="U209" s="20">
        <v>0</v>
      </c>
      <c r="V209" s="20">
        <v>0</v>
      </c>
      <c r="W209" s="20">
        <v>0</v>
      </c>
      <c r="X209" s="20">
        <v>0</v>
      </c>
      <c r="Y209" s="20">
        <v>0</v>
      </c>
      <c r="Z209" s="20">
        <v>0</v>
      </c>
      <c r="AA209" s="20">
        <v>0</v>
      </c>
      <c r="AB209" s="20">
        <v>0</v>
      </c>
      <c r="AC209" s="15">
        <f t="shared" si="94"/>
        <v>0</v>
      </c>
      <c r="AD209" s="15">
        <v>0</v>
      </c>
      <c r="AE209" s="15">
        <v>0</v>
      </c>
      <c r="AF209" s="15">
        <v>0</v>
      </c>
      <c r="AG209" s="15">
        <v>120</v>
      </c>
      <c r="AH209" s="15">
        <v>0</v>
      </c>
      <c r="AI209" s="15">
        <v>30</v>
      </c>
      <c r="AJ209" s="15">
        <v>10</v>
      </c>
      <c r="AK209" s="15">
        <v>30</v>
      </c>
      <c r="AL209" s="15">
        <f t="shared" si="95"/>
        <v>190</v>
      </c>
      <c r="AM209" s="29">
        <f t="shared" si="96"/>
        <v>960</v>
      </c>
      <c r="AN209" s="19">
        <v>864</v>
      </c>
      <c r="AO209" s="21">
        <v>0</v>
      </c>
      <c r="AP209" s="22">
        <v>0</v>
      </c>
      <c r="AQ209" s="26">
        <f t="shared" si="60"/>
        <v>864</v>
      </c>
      <c r="AR209" s="37">
        <f t="shared" si="80"/>
        <v>1</v>
      </c>
      <c r="AS209" s="38">
        <f t="shared" si="97"/>
        <v>0.9</v>
      </c>
      <c r="AT209" s="38">
        <f t="shared" si="98"/>
        <v>1</v>
      </c>
      <c r="AU209" s="27">
        <f t="shared" si="83"/>
        <v>0.9</v>
      </c>
    </row>
    <row r="210" spans="1:47" s="1" customFormat="1" ht="23.1" customHeight="1" x14ac:dyDescent="0.25">
      <c r="A210" s="109">
        <v>46038</v>
      </c>
      <c r="B210" s="47" t="s">
        <v>49</v>
      </c>
      <c r="C210" s="80" t="s">
        <v>21</v>
      </c>
      <c r="D210" s="47" t="s">
        <v>122</v>
      </c>
      <c r="E210" s="48">
        <v>98992</v>
      </c>
      <c r="F210" s="48" t="s">
        <v>169</v>
      </c>
      <c r="G210" s="48" t="s">
        <v>125</v>
      </c>
      <c r="H210" s="30">
        <v>13105</v>
      </c>
      <c r="I210" s="30">
        <v>32</v>
      </c>
      <c r="J210" s="28">
        <f t="shared" si="102"/>
        <v>112.5</v>
      </c>
      <c r="K210" s="31">
        <v>0.25</v>
      </c>
      <c r="L210" s="31">
        <v>0.60416666666666663</v>
      </c>
      <c r="M210" s="32">
        <f t="shared" si="99"/>
        <v>0.35416666666666663</v>
      </c>
      <c r="N210" s="36">
        <v>510</v>
      </c>
      <c r="O210" s="36">
        <f t="shared" si="100"/>
        <v>440</v>
      </c>
      <c r="P210" s="36">
        <f t="shared" si="101"/>
        <v>440</v>
      </c>
      <c r="Q210" s="15">
        <v>0</v>
      </c>
      <c r="R210" s="20">
        <v>0</v>
      </c>
      <c r="S210" s="16">
        <v>0</v>
      </c>
      <c r="T210" s="16">
        <v>0</v>
      </c>
      <c r="U210" s="20">
        <v>0</v>
      </c>
      <c r="V210" s="20">
        <v>0</v>
      </c>
      <c r="W210" s="20">
        <v>0</v>
      </c>
      <c r="X210" s="20">
        <v>0</v>
      </c>
      <c r="Y210" s="20">
        <v>0</v>
      </c>
      <c r="Z210" s="20">
        <v>0</v>
      </c>
      <c r="AA210" s="20">
        <v>0</v>
      </c>
      <c r="AB210" s="20">
        <v>0</v>
      </c>
      <c r="AC210" s="15">
        <f t="shared" si="94"/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30</v>
      </c>
      <c r="AJ210" s="15">
        <v>10</v>
      </c>
      <c r="AK210" s="15">
        <v>30</v>
      </c>
      <c r="AL210" s="15">
        <f t="shared" si="95"/>
        <v>70</v>
      </c>
      <c r="AM210" s="29">
        <f t="shared" si="96"/>
        <v>825</v>
      </c>
      <c r="AN210" s="19">
        <v>570</v>
      </c>
      <c r="AO210" s="21">
        <v>0</v>
      </c>
      <c r="AP210" s="22">
        <v>2</v>
      </c>
      <c r="AQ210" s="26">
        <f t="shared" si="60"/>
        <v>568</v>
      </c>
      <c r="AR210" s="37">
        <f t="shared" si="80"/>
        <v>1</v>
      </c>
      <c r="AS210" s="38">
        <f t="shared" si="97"/>
        <v>0.69090909090909092</v>
      </c>
      <c r="AT210" s="38">
        <f t="shared" si="98"/>
        <v>0.99649122807017543</v>
      </c>
      <c r="AU210" s="27">
        <f t="shared" si="83"/>
        <v>0.68848484848484848</v>
      </c>
    </row>
    <row r="211" spans="1:47" s="1" customFormat="1" ht="23.1" customHeight="1" x14ac:dyDescent="0.25">
      <c r="A211" s="109">
        <v>46038</v>
      </c>
      <c r="B211" s="47" t="s">
        <v>49</v>
      </c>
      <c r="C211" s="80" t="s">
        <v>51</v>
      </c>
      <c r="D211" s="47" t="s">
        <v>94</v>
      </c>
      <c r="E211" s="48">
        <v>98992</v>
      </c>
      <c r="F211" s="48" t="s">
        <v>67</v>
      </c>
      <c r="G211" s="48" t="s">
        <v>174</v>
      </c>
      <c r="H211" s="30">
        <v>15833</v>
      </c>
      <c r="I211" s="30">
        <v>24</v>
      </c>
      <c r="J211" s="28">
        <f t="shared" ref="J211:J221" si="103">3600/I211</f>
        <v>150</v>
      </c>
      <c r="K211" s="31">
        <v>0.58333333333333337</v>
      </c>
      <c r="L211" s="31">
        <v>0.9375</v>
      </c>
      <c r="M211" s="32">
        <f t="shared" si="99"/>
        <v>0.35416666666666663</v>
      </c>
      <c r="N211" s="36">
        <v>510</v>
      </c>
      <c r="O211" s="36">
        <f t="shared" si="100"/>
        <v>440</v>
      </c>
      <c r="P211" s="36">
        <f t="shared" si="101"/>
        <v>440</v>
      </c>
      <c r="Q211" s="15">
        <v>0</v>
      </c>
      <c r="R211" s="20">
        <v>0</v>
      </c>
      <c r="S211" s="16">
        <v>0</v>
      </c>
      <c r="T211" s="16">
        <v>0</v>
      </c>
      <c r="U211" s="20">
        <v>0</v>
      </c>
      <c r="V211" s="20">
        <v>0</v>
      </c>
      <c r="W211" s="20">
        <v>0</v>
      </c>
      <c r="X211" s="20">
        <v>0</v>
      </c>
      <c r="Y211" s="20">
        <v>0</v>
      </c>
      <c r="Z211" s="20">
        <v>0</v>
      </c>
      <c r="AA211" s="20">
        <v>0</v>
      </c>
      <c r="AB211" s="20">
        <v>0</v>
      </c>
      <c r="AC211" s="15">
        <f t="shared" si="94"/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30</v>
      </c>
      <c r="AJ211" s="15">
        <v>10</v>
      </c>
      <c r="AK211" s="15">
        <v>30</v>
      </c>
      <c r="AL211" s="15">
        <f t="shared" si="95"/>
        <v>70</v>
      </c>
      <c r="AM211" s="29">
        <f t="shared" si="96"/>
        <v>1100</v>
      </c>
      <c r="AN211" s="19">
        <v>845</v>
      </c>
      <c r="AO211" s="21">
        <v>0</v>
      </c>
      <c r="AP211" s="22">
        <v>25</v>
      </c>
      <c r="AQ211" s="26">
        <f t="shared" si="60"/>
        <v>820</v>
      </c>
      <c r="AR211" s="37">
        <f t="shared" si="80"/>
        <v>1</v>
      </c>
      <c r="AS211" s="38">
        <f t="shared" si="97"/>
        <v>0.76818181818181819</v>
      </c>
      <c r="AT211" s="38">
        <f t="shared" si="98"/>
        <v>0.97041420118343191</v>
      </c>
      <c r="AU211" s="27">
        <f t="shared" si="83"/>
        <v>0.74545454545454548</v>
      </c>
    </row>
    <row r="212" spans="1:47" s="1" customFormat="1" ht="23.1" customHeight="1" x14ac:dyDescent="0.25">
      <c r="A212" s="109">
        <v>46038</v>
      </c>
      <c r="B212" s="47" t="s">
        <v>49</v>
      </c>
      <c r="C212" s="80" t="s">
        <v>51</v>
      </c>
      <c r="D212" s="47" t="s">
        <v>88</v>
      </c>
      <c r="E212" s="48">
        <v>98992</v>
      </c>
      <c r="F212" s="48" t="s">
        <v>126</v>
      </c>
      <c r="G212" s="48" t="s">
        <v>87</v>
      </c>
      <c r="H212" s="30">
        <v>15036</v>
      </c>
      <c r="I212" s="30">
        <v>32</v>
      </c>
      <c r="J212" s="28">
        <f t="shared" si="103"/>
        <v>112.5</v>
      </c>
      <c r="K212" s="31">
        <v>0.58333333333333337</v>
      </c>
      <c r="L212" s="31">
        <v>0.9375</v>
      </c>
      <c r="M212" s="32">
        <f t="shared" si="99"/>
        <v>0.35416666666666663</v>
      </c>
      <c r="N212" s="36">
        <v>510</v>
      </c>
      <c r="O212" s="36">
        <f t="shared" si="100"/>
        <v>440</v>
      </c>
      <c r="P212" s="36">
        <f t="shared" si="101"/>
        <v>440</v>
      </c>
      <c r="Q212" s="15">
        <v>0</v>
      </c>
      <c r="R212" s="20">
        <v>0</v>
      </c>
      <c r="S212" s="16">
        <v>0</v>
      </c>
      <c r="T212" s="16">
        <v>0</v>
      </c>
      <c r="U212" s="20">
        <v>0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15">
        <f t="shared" si="94"/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30</v>
      </c>
      <c r="AJ212" s="15">
        <v>10</v>
      </c>
      <c r="AK212" s="15">
        <v>30</v>
      </c>
      <c r="AL212" s="15">
        <f t="shared" si="95"/>
        <v>70</v>
      </c>
      <c r="AM212" s="29">
        <f t="shared" si="96"/>
        <v>825</v>
      </c>
      <c r="AN212" s="19">
        <v>674</v>
      </c>
      <c r="AO212" s="21">
        <v>0</v>
      </c>
      <c r="AP212" s="22">
        <v>1</v>
      </c>
      <c r="AQ212" s="26">
        <f t="shared" si="60"/>
        <v>673</v>
      </c>
      <c r="AR212" s="37">
        <f t="shared" si="80"/>
        <v>1</v>
      </c>
      <c r="AS212" s="38">
        <f t="shared" si="97"/>
        <v>0.81696969696969701</v>
      </c>
      <c r="AT212" s="38">
        <f t="shared" si="98"/>
        <v>0.99851632047477745</v>
      </c>
      <c r="AU212" s="27">
        <f t="shared" si="83"/>
        <v>0.81575757575757579</v>
      </c>
    </row>
    <row r="213" spans="1:47" s="1" customFormat="1" ht="23.1" customHeight="1" x14ac:dyDescent="0.25">
      <c r="A213" s="109">
        <v>46038</v>
      </c>
      <c r="B213" s="47" t="s">
        <v>49</v>
      </c>
      <c r="C213" s="80" t="s">
        <v>51</v>
      </c>
      <c r="D213" s="47" t="s">
        <v>89</v>
      </c>
      <c r="E213" s="48">
        <v>98992</v>
      </c>
      <c r="F213" s="48" t="s">
        <v>169</v>
      </c>
      <c r="G213" s="48" t="s">
        <v>87</v>
      </c>
      <c r="H213" s="30">
        <v>11682</v>
      </c>
      <c r="I213" s="30">
        <v>32</v>
      </c>
      <c r="J213" s="28">
        <f t="shared" si="103"/>
        <v>112.5</v>
      </c>
      <c r="K213" s="31">
        <v>0.58333333333333337</v>
      </c>
      <c r="L213" s="31">
        <v>0.9375</v>
      </c>
      <c r="M213" s="32">
        <f t="shared" si="99"/>
        <v>0.35416666666666663</v>
      </c>
      <c r="N213" s="36">
        <v>510</v>
      </c>
      <c r="O213" s="36">
        <f t="shared" si="100"/>
        <v>440</v>
      </c>
      <c r="P213" s="36">
        <f t="shared" si="101"/>
        <v>440</v>
      </c>
      <c r="Q213" s="15">
        <v>0</v>
      </c>
      <c r="R213" s="20">
        <v>0</v>
      </c>
      <c r="S213" s="16">
        <v>0</v>
      </c>
      <c r="T213" s="16">
        <v>0</v>
      </c>
      <c r="U213" s="20">
        <v>0</v>
      </c>
      <c r="V213" s="20">
        <v>0</v>
      </c>
      <c r="W213" s="20">
        <v>0</v>
      </c>
      <c r="X213" s="20">
        <v>0</v>
      </c>
      <c r="Y213" s="20">
        <v>0</v>
      </c>
      <c r="Z213" s="20">
        <v>0</v>
      </c>
      <c r="AA213" s="20">
        <v>0</v>
      </c>
      <c r="AB213" s="20">
        <v>0</v>
      </c>
      <c r="AC213" s="15">
        <f t="shared" si="94"/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30</v>
      </c>
      <c r="AJ213" s="15">
        <v>10</v>
      </c>
      <c r="AK213" s="15">
        <v>30</v>
      </c>
      <c r="AL213" s="15">
        <f t="shared" si="95"/>
        <v>70</v>
      </c>
      <c r="AM213" s="29">
        <f t="shared" si="96"/>
        <v>825</v>
      </c>
      <c r="AN213" s="19">
        <v>666</v>
      </c>
      <c r="AO213" s="21">
        <v>0</v>
      </c>
      <c r="AP213" s="22">
        <v>0</v>
      </c>
      <c r="AQ213" s="26">
        <f t="shared" si="60"/>
        <v>666</v>
      </c>
      <c r="AR213" s="37">
        <f t="shared" si="80"/>
        <v>1</v>
      </c>
      <c r="AS213" s="38">
        <f t="shared" si="97"/>
        <v>0.80727272727272725</v>
      </c>
      <c r="AT213" s="38">
        <f t="shared" si="98"/>
        <v>1</v>
      </c>
      <c r="AU213" s="27">
        <f t="shared" si="83"/>
        <v>0.80727272727272725</v>
      </c>
    </row>
    <row r="214" spans="1:47" s="1" customFormat="1" ht="23.1" customHeight="1" x14ac:dyDescent="0.25">
      <c r="A214" s="109">
        <v>46038</v>
      </c>
      <c r="B214" s="47" t="s">
        <v>49</v>
      </c>
      <c r="C214" s="80" t="s">
        <v>51</v>
      </c>
      <c r="D214" s="47" t="s">
        <v>52</v>
      </c>
      <c r="E214" s="48">
        <v>98992</v>
      </c>
      <c r="F214" s="48" t="s">
        <v>53</v>
      </c>
      <c r="G214" s="48" t="s">
        <v>87</v>
      </c>
      <c r="H214" s="30">
        <v>15126</v>
      </c>
      <c r="I214" s="30">
        <v>32</v>
      </c>
      <c r="J214" s="28">
        <f t="shared" si="103"/>
        <v>112.5</v>
      </c>
      <c r="K214" s="31">
        <v>0.58333333333333337</v>
      </c>
      <c r="L214" s="31">
        <v>0.9375</v>
      </c>
      <c r="M214" s="32">
        <f t="shared" si="99"/>
        <v>0.35416666666666663</v>
      </c>
      <c r="N214" s="36">
        <v>510</v>
      </c>
      <c r="O214" s="36">
        <f t="shared" si="100"/>
        <v>440</v>
      </c>
      <c r="P214" s="36">
        <f t="shared" si="101"/>
        <v>440</v>
      </c>
      <c r="Q214" s="15">
        <v>0</v>
      </c>
      <c r="R214" s="20">
        <v>0</v>
      </c>
      <c r="S214" s="16">
        <v>0</v>
      </c>
      <c r="T214" s="16">
        <v>0</v>
      </c>
      <c r="U214" s="20">
        <v>0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15">
        <f t="shared" si="94"/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30</v>
      </c>
      <c r="AJ214" s="15">
        <v>10</v>
      </c>
      <c r="AK214" s="15">
        <v>30</v>
      </c>
      <c r="AL214" s="15">
        <f t="shared" si="95"/>
        <v>70</v>
      </c>
      <c r="AM214" s="29">
        <f t="shared" si="96"/>
        <v>825</v>
      </c>
      <c r="AN214" s="19">
        <v>604</v>
      </c>
      <c r="AO214" s="21">
        <v>0</v>
      </c>
      <c r="AP214" s="22">
        <v>1</v>
      </c>
      <c r="AQ214" s="26">
        <f t="shared" si="60"/>
        <v>603</v>
      </c>
      <c r="AR214" s="37">
        <f t="shared" si="80"/>
        <v>1</v>
      </c>
      <c r="AS214" s="38">
        <f t="shared" si="97"/>
        <v>0.73212121212121217</v>
      </c>
      <c r="AT214" s="38">
        <f t="shared" si="98"/>
        <v>0.9983443708609272</v>
      </c>
      <c r="AU214" s="27">
        <f t="shared" si="83"/>
        <v>0.73090909090909095</v>
      </c>
    </row>
    <row r="215" spans="1:47" s="1" customFormat="1" ht="23.1" customHeight="1" x14ac:dyDescent="0.25">
      <c r="A215" s="109">
        <v>46038</v>
      </c>
      <c r="B215" s="47" t="s">
        <v>49</v>
      </c>
      <c r="C215" s="80" t="s">
        <v>51</v>
      </c>
      <c r="D215" s="47" t="s">
        <v>86</v>
      </c>
      <c r="E215" s="48">
        <v>98992</v>
      </c>
      <c r="F215" s="48" t="s">
        <v>176</v>
      </c>
      <c r="G215" s="48" t="s">
        <v>87</v>
      </c>
      <c r="H215" s="30">
        <v>15688</v>
      </c>
      <c r="I215" s="30">
        <v>20</v>
      </c>
      <c r="J215" s="28">
        <f t="shared" si="103"/>
        <v>180</v>
      </c>
      <c r="K215" s="31">
        <v>0.58333333333333337</v>
      </c>
      <c r="L215" s="31">
        <v>0.9375</v>
      </c>
      <c r="M215" s="32">
        <f t="shared" si="99"/>
        <v>0.35416666666666663</v>
      </c>
      <c r="N215" s="36">
        <v>510</v>
      </c>
      <c r="O215" s="36">
        <f t="shared" si="100"/>
        <v>320</v>
      </c>
      <c r="P215" s="36">
        <f t="shared" si="101"/>
        <v>320</v>
      </c>
      <c r="Q215" s="15">
        <v>0</v>
      </c>
      <c r="R215" s="20">
        <v>0</v>
      </c>
      <c r="S215" s="16">
        <v>0</v>
      </c>
      <c r="T215" s="16">
        <v>0</v>
      </c>
      <c r="U215" s="20">
        <v>0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15">
        <f t="shared" si="94"/>
        <v>0</v>
      </c>
      <c r="AD215" s="15">
        <v>0</v>
      </c>
      <c r="AE215" s="15">
        <v>0</v>
      </c>
      <c r="AF215" s="15">
        <v>0</v>
      </c>
      <c r="AG215" s="15">
        <v>120</v>
      </c>
      <c r="AH215" s="15">
        <v>0</v>
      </c>
      <c r="AI215" s="15">
        <v>30</v>
      </c>
      <c r="AJ215" s="15">
        <v>10</v>
      </c>
      <c r="AK215" s="15">
        <v>30</v>
      </c>
      <c r="AL215" s="15">
        <f t="shared" ref="AL215:AL278" si="104">SUM(AD215:AK215)</f>
        <v>190</v>
      </c>
      <c r="AM215" s="29">
        <f t="shared" si="96"/>
        <v>960</v>
      </c>
      <c r="AN215" s="19">
        <v>664</v>
      </c>
      <c r="AO215" s="21">
        <v>0</v>
      </c>
      <c r="AP215" s="22">
        <v>0</v>
      </c>
      <c r="AQ215" s="26">
        <f t="shared" si="60"/>
        <v>664</v>
      </c>
      <c r="AR215" s="37">
        <f t="shared" si="80"/>
        <v>1</v>
      </c>
      <c r="AS215" s="38">
        <f t="shared" si="97"/>
        <v>0.69166666666666665</v>
      </c>
      <c r="AT215" s="38">
        <f t="shared" si="98"/>
        <v>1</v>
      </c>
      <c r="AU215" s="27">
        <f t="shared" si="83"/>
        <v>0.69166666666666665</v>
      </c>
    </row>
    <row r="216" spans="1:47" s="1" customFormat="1" ht="23.1" customHeight="1" x14ac:dyDescent="0.25">
      <c r="A216" s="109">
        <v>46038</v>
      </c>
      <c r="B216" s="47" t="s">
        <v>49</v>
      </c>
      <c r="C216" s="80" t="s">
        <v>51</v>
      </c>
      <c r="D216" s="47" t="s">
        <v>172</v>
      </c>
      <c r="E216" s="48">
        <v>98992</v>
      </c>
      <c r="F216" s="48" t="s">
        <v>175</v>
      </c>
      <c r="G216" s="48" t="s">
        <v>87</v>
      </c>
      <c r="H216" s="30">
        <v>15672</v>
      </c>
      <c r="I216" s="30">
        <v>20</v>
      </c>
      <c r="J216" s="28">
        <f t="shared" si="103"/>
        <v>180</v>
      </c>
      <c r="K216" s="31">
        <v>0.58333333333333337</v>
      </c>
      <c r="L216" s="31">
        <v>0.9375</v>
      </c>
      <c r="M216" s="32">
        <f t="shared" si="99"/>
        <v>0.35416666666666663</v>
      </c>
      <c r="N216" s="36">
        <v>510</v>
      </c>
      <c r="O216" s="36">
        <f t="shared" si="100"/>
        <v>220</v>
      </c>
      <c r="P216" s="36">
        <f t="shared" si="101"/>
        <v>220</v>
      </c>
      <c r="Q216" s="15">
        <v>0</v>
      </c>
      <c r="R216" s="20">
        <v>0</v>
      </c>
      <c r="S216" s="16">
        <v>0</v>
      </c>
      <c r="T216" s="16">
        <v>0</v>
      </c>
      <c r="U216" s="20">
        <v>0</v>
      </c>
      <c r="V216" s="20">
        <v>0</v>
      </c>
      <c r="W216" s="20">
        <v>0</v>
      </c>
      <c r="X216" s="20">
        <v>0</v>
      </c>
      <c r="Y216" s="20">
        <v>0</v>
      </c>
      <c r="Z216" s="20">
        <v>0</v>
      </c>
      <c r="AA216" s="20">
        <v>0</v>
      </c>
      <c r="AB216" s="20">
        <v>0</v>
      </c>
      <c r="AC216" s="15">
        <f t="shared" ref="AC216:AC279" si="105">SUM(Q216:AB216)</f>
        <v>0</v>
      </c>
      <c r="AD216" s="15">
        <v>0</v>
      </c>
      <c r="AE216" s="15">
        <v>0</v>
      </c>
      <c r="AF216" s="15">
        <v>0</v>
      </c>
      <c r="AG216" s="15">
        <v>220</v>
      </c>
      <c r="AH216" s="15">
        <v>0</v>
      </c>
      <c r="AI216" s="15">
        <v>30</v>
      </c>
      <c r="AJ216" s="15">
        <v>10</v>
      </c>
      <c r="AK216" s="15">
        <v>30</v>
      </c>
      <c r="AL216" s="15">
        <f t="shared" si="104"/>
        <v>290</v>
      </c>
      <c r="AM216" s="29">
        <f t="shared" si="96"/>
        <v>660</v>
      </c>
      <c r="AN216" s="19">
        <v>450</v>
      </c>
      <c r="AO216" s="21">
        <v>0</v>
      </c>
      <c r="AP216" s="22">
        <v>0</v>
      </c>
      <c r="AQ216" s="26">
        <f t="shared" si="60"/>
        <v>450</v>
      </c>
      <c r="AR216" s="37">
        <f t="shared" si="80"/>
        <v>1</v>
      </c>
      <c r="AS216" s="38">
        <f t="shared" si="97"/>
        <v>0.68181818181818177</v>
      </c>
      <c r="AT216" s="38">
        <f t="shared" si="98"/>
        <v>1</v>
      </c>
      <c r="AU216" s="27">
        <f t="shared" si="83"/>
        <v>0.68181818181818177</v>
      </c>
    </row>
    <row r="217" spans="1:47" s="1" customFormat="1" ht="23.1" customHeight="1" x14ac:dyDescent="0.25">
      <c r="A217" s="109">
        <v>46038</v>
      </c>
      <c r="B217" s="47" t="s">
        <v>49</v>
      </c>
      <c r="C217" s="80" t="s">
        <v>51</v>
      </c>
      <c r="D217" s="47" t="s">
        <v>124</v>
      </c>
      <c r="E217" s="48">
        <v>98992</v>
      </c>
      <c r="F217" s="48" t="s">
        <v>215</v>
      </c>
      <c r="G217" s="48" t="s">
        <v>125</v>
      </c>
      <c r="H217" s="30">
        <v>14972</v>
      </c>
      <c r="I217" s="30">
        <v>32</v>
      </c>
      <c r="J217" s="28">
        <f t="shared" si="103"/>
        <v>112.5</v>
      </c>
      <c r="K217" s="31">
        <v>0.58333333333333337</v>
      </c>
      <c r="L217" s="31">
        <v>0.9375</v>
      </c>
      <c r="M217" s="32">
        <f t="shared" si="99"/>
        <v>0.35416666666666663</v>
      </c>
      <c r="N217" s="36">
        <v>510</v>
      </c>
      <c r="O217" s="36">
        <f t="shared" si="100"/>
        <v>320</v>
      </c>
      <c r="P217" s="36">
        <f t="shared" si="101"/>
        <v>320</v>
      </c>
      <c r="Q217" s="15">
        <v>0</v>
      </c>
      <c r="R217" s="20">
        <v>0</v>
      </c>
      <c r="S217" s="16">
        <v>0</v>
      </c>
      <c r="T217" s="16">
        <v>0</v>
      </c>
      <c r="U217" s="20">
        <v>0</v>
      </c>
      <c r="V217" s="20">
        <v>0</v>
      </c>
      <c r="W217" s="20">
        <v>0</v>
      </c>
      <c r="X217" s="20">
        <v>0</v>
      </c>
      <c r="Y217" s="20">
        <v>0</v>
      </c>
      <c r="Z217" s="20">
        <v>0</v>
      </c>
      <c r="AA217" s="20">
        <v>0</v>
      </c>
      <c r="AB217" s="20">
        <v>0</v>
      </c>
      <c r="AC217" s="15">
        <f t="shared" si="105"/>
        <v>0</v>
      </c>
      <c r="AD217" s="15">
        <v>0</v>
      </c>
      <c r="AE217" s="15">
        <v>0</v>
      </c>
      <c r="AF217" s="15">
        <v>0</v>
      </c>
      <c r="AG217" s="15">
        <v>120</v>
      </c>
      <c r="AH217" s="15">
        <v>0</v>
      </c>
      <c r="AI217" s="15">
        <v>30</v>
      </c>
      <c r="AJ217" s="15">
        <v>10</v>
      </c>
      <c r="AK217" s="15">
        <v>30</v>
      </c>
      <c r="AL217" s="15">
        <f t="shared" si="104"/>
        <v>190</v>
      </c>
      <c r="AM217" s="29">
        <f t="shared" si="96"/>
        <v>600</v>
      </c>
      <c r="AN217" s="19">
        <v>488</v>
      </c>
      <c r="AO217" s="21">
        <v>0</v>
      </c>
      <c r="AP217" s="22">
        <v>0</v>
      </c>
      <c r="AQ217" s="26">
        <f t="shared" si="60"/>
        <v>488</v>
      </c>
      <c r="AR217" s="37">
        <f t="shared" si="80"/>
        <v>1</v>
      </c>
      <c r="AS217" s="38">
        <f t="shared" si="97"/>
        <v>0.81333333333333335</v>
      </c>
      <c r="AT217" s="38">
        <f t="shared" si="98"/>
        <v>1</v>
      </c>
      <c r="AU217" s="27">
        <f t="shared" si="83"/>
        <v>0.81333333333333335</v>
      </c>
    </row>
    <row r="218" spans="1:47" s="1" customFormat="1" ht="23.1" customHeight="1" x14ac:dyDescent="0.25">
      <c r="A218" s="109">
        <v>46038</v>
      </c>
      <c r="B218" s="47" t="s">
        <v>49</v>
      </c>
      <c r="C218" s="80" t="s">
        <v>51</v>
      </c>
      <c r="D218" s="47" t="s">
        <v>122</v>
      </c>
      <c r="E218" s="48">
        <v>98992</v>
      </c>
      <c r="F218" s="48" t="s">
        <v>169</v>
      </c>
      <c r="G218" s="48" t="s">
        <v>125</v>
      </c>
      <c r="H218" s="30">
        <v>15676</v>
      </c>
      <c r="I218" s="30">
        <v>32</v>
      </c>
      <c r="J218" s="28">
        <f t="shared" si="103"/>
        <v>112.5</v>
      </c>
      <c r="K218" s="31">
        <v>0.58333333333333337</v>
      </c>
      <c r="L218" s="31">
        <v>0.9375</v>
      </c>
      <c r="M218" s="32">
        <f t="shared" si="99"/>
        <v>0.35416666666666663</v>
      </c>
      <c r="N218" s="36">
        <v>510</v>
      </c>
      <c r="O218" s="36">
        <f t="shared" si="100"/>
        <v>440</v>
      </c>
      <c r="P218" s="36">
        <f t="shared" si="101"/>
        <v>440</v>
      </c>
      <c r="Q218" s="15">
        <v>0</v>
      </c>
      <c r="R218" s="20">
        <v>0</v>
      </c>
      <c r="S218" s="16">
        <v>0</v>
      </c>
      <c r="T218" s="16">
        <v>0</v>
      </c>
      <c r="U218" s="20">
        <v>0</v>
      </c>
      <c r="V218" s="20">
        <v>0</v>
      </c>
      <c r="W218" s="20">
        <v>0</v>
      </c>
      <c r="X218" s="20">
        <v>0</v>
      </c>
      <c r="Y218" s="20">
        <v>0</v>
      </c>
      <c r="Z218" s="20">
        <v>0</v>
      </c>
      <c r="AA218" s="20">
        <v>0</v>
      </c>
      <c r="AB218" s="20">
        <v>0</v>
      </c>
      <c r="AC218" s="15">
        <f t="shared" si="105"/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30</v>
      </c>
      <c r="AJ218" s="15">
        <v>10</v>
      </c>
      <c r="AK218" s="15">
        <v>30</v>
      </c>
      <c r="AL218" s="15">
        <f t="shared" si="104"/>
        <v>70</v>
      </c>
      <c r="AM218" s="29">
        <f t="shared" si="96"/>
        <v>825</v>
      </c>
      <c r="AN218" s="19">
        <v>601</v>
      </c>
      <c r="AO218" s="21">
        <v>0</v>
      </c>
      <c r="AP218" s="22">
        <v>0</v>
      </c>
      <c r="AQ218" s="26">
        <f t="shared" si="60"/>
        <v>601</v>
      </c>
      <c r="AR218" s="37">
        <f t="shared" si="80"/>
        <v>1</v>
      </c>
      <c r="AS218" s="38">
        <f t="shared" si="97"/>
        <v>0.72848484848484851</v>
      </c>
      <c r="AT218" s="38">
        <f t="shared" si="98"/>
        <v>1</v>
      </c>
      <c r="AU218" s="27">
        <f t="shared" si="83"/>
        <v>0.72848484848484851</v>
      </c>
    </row>
    <row r="219" spans="1:47" s="1" customFormat="1" ht="23.1" customHeight="1" x14ac:dyDescent="0.25">
      <c r="A219" s="109">
        <v>46038</v>
      </c>
      <c r="B219" s="47" t="s">
        <v>49</v>
      </c>
      <c r="C219" s="80" t="s">
        <v>51</v>
      </c>
      <c r="D219" s="47" t="s">
        <v>128</v>
      </c>
      <c r="E219" s="48">
        <v>98992</v>
      </c>
      <c r="F219" s="48" t="s">
        <v>53</v>
      </c>
      <c r="G219" s="48" t="s">
        <v>125</v>
      </c>
      <c r="H219" s="30">
        <v>16000</v>
      </c>
      <c r="I219" s="30">
        <v>32</v>
      </c>
      <c r="J219" s="28">
        <f t="shared" si="103"/>
        <v>112.5</v>
      </c>
      <c r="K219" s="31">
        <v>0.58333333333333337</v>
      </c>
      <c r="L219" s="31">
        <v>0.9375</v>
      </c>
      <c r="M219" s="32">
        <f t="shared" si="99"/>
        <v>0.35416666666666663</v>
      </c>
      <c r="N219" s="36">
        <v>510</v>
      </c>
      <c r="O219" s="36">
        <f t="shared" si="100"/>
        <v>440</v>
      </c>
      <c r="P219" s="36">
        <f t="shared" si="101"/>
        <v>440</v>
      </c>
      <c r="Q219" s="15">
        <v>0</v>
      </c>
      <c r="R219" s="20">
        <v>0</v>
      </c>
      <c r="S219" s="16">
        <v>0</v>
      </c>
      <c r="T219" s="16">
        <v>0</v>
      </c>
      <c r="U219" s="20">
        <v>0</v>
      </c>
      <c r="V219" s="20">
        <v>0</v>
      </c>
      <c r="W219" s="20">
        <v>0</v>
      </c>
      <c r="X219" s="20">
        <v>0</v>
      </c>
      <c r="Y219" s="20">
        <v>0</v>
      </c>
      <c r="Z219" s="20">
        <v>0</v>
      </c>
      <c r="AA219" s="20">
        <v>0</v>
      </c>
      <c r="AB219" s="20">
        <v>0</v>
      </c>
      <c r="AC219" s="15">
        <f t="shared" si="105"/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30</v>
      </c>
      <c r="AJ219" s="15">
        <v>10</v>
      </c>
      <c r="AK219" s="15">
        <v>30</v>
      </c>
      <c r="AL219" s="15">
        <f t="shared" si="104"/>
        <v>70</v>
      </c>
      <c r="AM219" s="29">
        <f t="shared" si="96"/>
        <v>825</v>
      </c>
      <c r="AN219" s="19">
        <v>650</v>
      </c>
      <c r="AO219" s="21">
        <v>0</v>
      </c>
      <c r="AP219" s="22">
        <v>1</v>
      </c>
      <c r="AQ219" s="26">
        <f t="shared" si="60"/>
        <v>649</v>
      </c>
      <c r="AR219" s="37">
        <f t="shared" si="80"/>
        <v>1</v>
      </c>
      <c r="AS219" s="38">
        <f t="shared" si="97"/>
        <v>0.78787878787878785</v>
      </c>
      <c r="AT219" s="38">
        <f t="shared" si="98"/>
        <v>0.99846153846153851</v>
      </c>
      <c r="AU219" s="27">
        <f t="shared" si="83"/>
        <v>0.78666666666666663</v>
      </c>
    </row>
    <row r="220" spans="1:47" s="1" customFormat="1" ht="23.1" customHeight="1" x14ac:dyDescent="0.25">
      <c r="A220" s="109">
        <v>46038</v>
      </c>
      <c r="B220" s="47" t="s">
        <v>49</v>
      </c>
      <c r="C220" s="80" t="s">
        <v>51</v>
      </c>
      <c r="D220" s="47" t="s">
        <v>170</v>
      </c>
      <c r="E220" s="48">
        <v>98992</v>
      </c>
      <c r="F220" s="48" t="s">
        <v>176</v>
      </c>
      <c r="G220" s="48" t="s">
        <v>125</v>
      </c>
      <c r="H220" s="30">
        <v>15859</v>
      </c>
      <c r="I220" s="30">
        <v>20</v>
      </c>
      <c r="J220" s="28">
        <f t="shared" si="103"/>
        <v>180</v>
      </c>
      <c r="K220" s="31">
        <v>0.58333333333333337</v>
      </c>
      <c r="L220" s="31">
        <v>0.9375</v>
      </c>
      <c r="M220" s="32">
        <f t="shared" si="99"/>
        <v>0.35416666666666663</v>
      </c>
      <c r="N220" s="36">
        <v>510</v>
      </c>
      <c r="O220" s="36">
        <f t="shared" si="100"/>
        <v>320</v>
      </c>
      <c r="P220" s="36">
        <f t="shared" si="101"/>
        <v>320</v>
      </c>
      <c r="Q220" s="15">
        <v>0</v>
      </c>
      <c r="R220" s="20">
        <v>0</v>
      </c>
      <c r="S220" s="16">
        <v>0</v>
      </c>
      <c r="T220" s="16">
        <v>0</v>
      </c>
      <c r="U220" s="20">
        <v>0</v>
      </c>
      <c r="V220" s="20">
        <v>0</v>
      </c>
      <c r="W220" s="20">
        <v>0</v>
      </c>
      <c r="X220" s="20">
        <v>0</v>
      </c>
      <c r="Y220" s="20">
        <v>0</v>
      </c>
      <c r="Z220" s="20">
        <v>0</v>
      </c>
      <c r="AA220" s="20">
        <v>0</v>
      </c>
      <c r="AB220" s="20">
        <v>0</v>
      </c>
      <c r="AC220" s="15">
        <f t="shared" si="105"/>
        <v>0</v>
      </c>
      <c r="AD220" s="15">
        <v>0</v>
      </c>
      <c r="AE220" s="15">
        <v>0</v>
      </c>
      <c r="AF220" s="15">
        <v>0</v>
      </c>
      <c r="AG220" s="15">
        <v>120</v>
      </c>
      <c r="AH220" s="15">
        <v>0</v>
      </c>
      <c r="AI220" s="15">
        <v>30</v>
      </c>
      <c r="AJ220" s="15">
        <v>10</v>
      </c>
      <c r="AK220" s="15">
        <v>30</v>
      </c>
      <c r="AL220" s="15">
        <f t="shared" si="104"/>
        <v>190</v>
      </c>
      <c r="AM220" s="29">
        <f t="shared" si="96"/>
        <v>960</v>
      </c>
      <c r="AN220" s="19">
        <v>876</v>
      </c>
      <c r="AO220" s="21">
        <v>0</v>
      </c>
      <c r="AP220" s="22">
        <v>1</v>
      </c>
      <c r="AQ220" s="26">
        <f t="shared" si="60"/>
        <v>875</v>
      </c>
      <c r="AR220" s="37">
        <f t="shared" si="80"/>
        <v>1</v>
      </c>
      <c r="AS220" s="38">
        <f t="shared" si="97"/>
        <v>0.91249999999999998</v>
      </c>
      <c r="AT220" s="38">
        <f t="shared" si="98"/>
        <v>0.99885844748858443</v>
      </c>
      <c r="AU220" s="27">
        <f t="shared" si="83"/>
        <v>0.91145833333333326</v>
      </c>
    </row>
    <row r="221" spans="1:47" s="1" customFormat="1" ht="23.1" customHeight="1" x14ac:dyDescent="0.25">
      <c r="A221" s="109">
        <v>46038</v>
      </c>
      <c r="B221" s="47" t="s">
        <v>49</v>
      </c>
      <c r="C221" s="90" t="s">
        <v>51</v>
      </c>
      <c r="D221" s="47" t="s">
        <v>127</v>
      </c>
      <c r="E221" s="48">
        <v>98992</v>
      </c>
      <c r="F221" s="48" t="s">
        <v>175</v>
      </c>
      <c r="G221" s="48" t="s">
        <v>125</v>
      </c>
      <c r="H221" s="30">
        <v>15882</v>
      </c>
      <c r="I221" s="30">
        <v>20</v>
      </c>
      <c r="J221" s="28">
        <f t="shared" si="103"/>
        <v>180</v>
      </c>
      <c r="K221" s="31">
        <v>0.58333333333333337</v>
      </c>
      <c r="L221" s="31">
        <v>0.9375</v>
      </c>
      <c r="M221" s="32">
        <f t="shared" si="99"/>
        <v>0.35416666666666663</v>
      </c>
      <c r="N221" s="36">
        <v>510</v>
      </c>
      <c r="O221" s="36">
        <f t="shared" si="100"/>
        <v>160</v>
      </c>
      <c r="P221" s="36">
        <f t="shared" si="101"/>
        <v>160</v>
      </c>
      <c r="Q221" s="15">
        <v>0</v>
      </c>
      <c r="R221" s="20">
        <v>0</v>
      </c>
      <c r="S221" s="16">
        <v>0</v>
      </c>
      <c r="T221" s="16">
        <v>0</v>
      </c>
      <c r="U221" s="20">
        <v>0</v>
      </c>
      <c r="V221" s="20">
        <v>0</v>
      </c>
      <c r="W221" s="20">
        <v>0</v>
      </c>
      <c r="X221" s="20">
        <v>0</v>
      </c>
      <c r="Y221" s="20">
        <v>0</v>
      </c>
      <c r="Z221" s="20">
        <v>0</v>
      </c>
      <c r="AA221" s="20">
        <v>0</v>
      </c>
      <c r="AB221" s="20">
        <v>0</v>
      </c>
      <c r="AC221" s="15">
        <f t="shared" si="105"/>
        <v>0</v>
      </c>
      <c r="AD221" s="15">
        <v>0</v>
      </c>
      <c r="AE221" s="15">
        <v>0</v>
      </c>
      <c r="AF221" s="15">
        <v>0</v>
      </c>
      <c r="AG221" s="15">
        <v>280</v>
      </c>
      <c r="AH221" s="15">
        <v>0</v>
      </c>
      <c r="AI221" s="15">
        <v>30</v>
      </c>
      <c r="AJ221" s="15">
        <v>10</v>
      </c>
      <c r="AK221" s="15">
        <v>30</v>
      </c>
      <c r="AL221" s="15">
        <f t="shared" si="104"/>
        <v>350</v>
      </c>
      <c r="AM221" s="29">
        <f t="shared" si="96"/>
        <v>480</v>
      </c>
      <c r="AN221" s="19">
        <v>372</v>
      </c>
      <c r="AO221" s="21">
        <v>0</v>
      </c>
      <c r="AP221" s="22">
        <v>0</v>
      </c>
      <c r="AQ221" s="26">
        <f t="shared" si="60"/>
        <v>372</v>
      </c>
      <c r="AR221" s="37">
        <f t="shared" si="80"/>
        <v>1</v>
      </c>
      <c r="AS221" s="38">
        <f t="shared" si="97"/>
        <v>0.77500000000000002</v>
      </c>
      <c r="AT221" s="38">
        <f t="shared" si="98"/>
        <v>1</v>
      </c>
      <c r="AU221" s="27">
        <f t="shared" si="83"/>
        <v>0.77500000000000002</v>
      </c>
    </row>
    <row r="222" spans="1:47" s="1" customFormat="1" ht="23.1" customHeight="1" x14ac:dyDescent="0.25">
      <c r="A222" s="109">
        <v>46039</v>
      </c>
      <c r="B222" s="47" t="s">
        <v>49</v>
      </c>
      <c r="C222" s="90" t="s">
        <v>21</v>
      </c>
      <c r="D222" s="47" t="s">
        <v>94</v>
      </c>
      <c r="E222" s="48">
        <v>98992</v>
      </c>
      <c r="F222" s="48" t="s">
        <v>67</v>
      </c>
      <c r="G222" s="48" t="s">
        <v>174</v>
      </c>
      <c r="H222" s="30">
        <v>13562</v>
      </c>
      <c r="I222" s="30">
        <v>24</v>
      </c>
      <c r="J222" s="28">
        <f t="shared" ref="J222:J241" si="106">3600/I222</f>
        <v>150</v>
      </c>
      <c r="K222" s="31">
        <v>0.25</v>
      </c>
      <c r="L222" s="31">
        <v>0.60416666666666696</v>
      </c>
      <c r="M222" s="32">
        <f t="shared" si="99"/>
        <v>0.35416666666666696</v>
      </c>
      <c r="N222" s="36">
        <v>510</v>
      </c>
      <c r="O222" s="36">
        <f t="shared" si="100"/>
        <v>440</v>
      </c>
      <c r="P222" s="36">
        <f t="shared" si="101"/>
        <v>440</v>
      </c>
      <c r="Q222" s="15">
        <v>0</v>
      </c>
      <c r="R222" s="20">
        <v>0</v>
      </c>
      <c r="S222" s="16">
        <v>0</v>
      </c>
      <c r="T222" s="16">
        <v>0</v>
      </c>
      <c r="U222" s="20">
        <v>0</v>
      </c>
      <c r="V222" s="20">
        <v>0</v>
      </c>
      <c r="W222" s="20">
        <v>0</v>
      </c>
      <c r="X222" s="20">
        <v>0</v>
      </c>
      <c r="Y222" s="20">
        <v>0</v>
      </c>
      <c r="Z222" s="20">
        <v>0</v>
      </c>
      <c r="AA222" s="20">
        <v>0</v>
      </c>
      <c r="AB222" s="20">
        <v>0</v>
      </c>
      <c r="AC222" s="15">
        <f t="shared" si="105"/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30</v>
      </c>
      <c r="AJ222" s="15">
        <v>10</v>
      </c>
      <c r="AK222" s="15">
        <v>30</v>
      </c>
      <c r="AL222" s="15">
        <f t="shared" si="104"/>
        <v>70</v>
      </c>
      <c r="AM222" s="29">
        <f t="shared" si="96"/>
        <v>1100</v>
      </c>
      <c r="AN222" s="19">
        <v>972</v>
      </c>
      <c r="AO222" s="21">
        <v>0</v>
      </c>
      <c r="AP222" s="22">
        <v>62</v>
      </c>
      <c r="AQ222" s="26">
        <f t="shared" si="60"/>
        <v>910</v>
      </c>
      <c r="AR222" s="37">
        <f t="shared" si="80"/>
        <v>1</v>
      </c>
      <c r="AS222" s="38">
        <f t="shared" si="97"/>
        <v>0.88363636363636366</v>
      </c>
      <c r="AT222" s="38">
        <f t="shared" si="98"/>
        <v>0.93621399176954734</v>
      </c>
      <c r="AU222" s="27">
        <f t="shared" si="83"/>
        <v>0.82727272727272727</v>
      </c>
    </row>
    <row r="223" spans="1:47" s="1" customFormat="1" ht="23.1" customHeight="1" x14ac:dyDescent="0.25">
      <c r="A223" s="109">
        <v>46039</v>
      </c>
      <c r="B223" s="47" t="s">
        <v>49</v>
      </c>
      <c r="C223" s="90" t="s">
        <v>21</v>
      </c>
      <c r="D223" s="47" t="s">
        <v>88</v>
      </c>
      <c r="E223" s="48">
        <v>98992</v>
      </c>
      <c r="F223" s="48" t="s">
        <v>126</v>
      </c>
      <c r="G223" s="48" t="s">
        <v>87</v>
      </c>
      <c r="H223" s="30">
        <v>13106</v>
      </c>
      <c r="I223" s="30">
        <v>32</v>
      </c>
      <c r="J223" s="28">
        <f t="shared" si="106"/>
        <v>112.5</v>
      </c>
      <c r="K223" s="31">
        <v>0.25</v>
      </c>
      <c r="L223" s="31">
        <v>0.60416666666666696</v>
      </c>
      <c r="M223" s="32">
        <f t="shared" si="99"/>
        <v>0.35416666666666696</v>
      </c>
      <c r="N223" s="36">
        <v>510</v>
      </c>
      <c r="O223" s="36">
        <f t="shared" si="100"/>
        <v>440</v>
      </c>
      <c r="P223" s="36">
        <f t="shared" si="101"/>
        <v>440</v>
      </c>
      <c r="Q223" s="15">
        <v>0</v>
      </c>
      <c r="R223" s="20">
        <v>0</v>
      </c>
      <c r="S223" s="16">
        <v>0</v>
      </c>
      <c r="T223" s="16">
        <v>0</v>
      </c>
      <c r="U223" s="20">
        <v>0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15">
        <f t="shared" si="105"/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30</v>
      </c>
      <c r="AJ223" s="15">
        <v>10</v>
      </c>
      <c r="AK223" s="15">
        <v>30</v>
      </c>
      <c r="AL223" s="15">
        <f t="shared" si="104"/>
        <v>70</v>
      </c>
      <c r="AM223" s="29">
        <f t="shared" si="96"/>
        <v>825</v>
      </c>
      <c r="AN223" s="19">
        <v>700</v>
      </c>
      <c r="AO223" s="21">
        <v>0</v>
      </c>
      <c r="AP223" s="22">
        <v>1</v>
      </c>
      <c r="AQ223" s="26">
        <f t="shared" si="60"/>
        <v>699</v>
      </c>
      <c r="AR223" s="37">
        <f t="shared" si="80"/>
        <v>1</v>
      </c>
      <c r="AS223" s="38">
        <f t="shared" si="97"/>
        <v>0.84848484848484851</v>
      </c>
      <c r="AT223" s="38">
        <f t="shared" si="98"/>
        <v>0.99857142857142855</v>
      </c>
      <c r="AU223" s="27">
        <f t="shared" si="83"/>
        <v>0.84727272727272729</v>
      </c>
    </row>
    <row r="224" spans="1:47" s="1" customFormat="1" ht="23.1" customHeight="1" x14ac:dyDescent="0.25">
      <c r="A224" s="109">
        <v>46039</v>
      </c>
      <c r="B224" s="47" t="s">
        <v>49</v>
      </c>
      <c r="C224" s="90" t="s">
        <v>21</v>
      </c>
      <c r="D224" s="47" t="s">
        <v>89</v>
      </c>
      <c r="E224" s="48">
        <v>98992</v>
      </c>
      <c r="F224" s="48" t="s">
        <v>169</v>
      </c>
      <c r="G224" s="48" t="s">
        <v>87</v>
      </c>
      <c r="H224" s="30">
        <v>16219</v>
      </c>
      <c r="I224" s="30">
        <v>32</v>
      </c>
      <c r="J224" s="28">
        <f t="shared" si="106"/>
        <v>112.5</v>
      </c>
      <c r="K224" s="31">
        <v>0.25</v>
      </c>
      <c r="L224" s="31">
        <v>0.60416666666666696</v>
      </c>
      <c r="M224" s="32">
        <f t="shared" si="99"/>
        <v>0.35416666666666696</v>
      </c>
      <c r="N224" s="36">
        <v>510</v>
      </c>
      <c r="O224" s="36">
        <f t="shared" si="100"/>
        <v>440</v>
      </c>
      <c r="P224" s="36">
        <f t="shared" si="101"/>
        <v>440</v>
      </c>
      <c r="Q224" s="15">
        <v>0</v>
      </c>
      <c r="R224" s="20">
        <v>0</v>
      </c>
      <c r="S224" s="16">
        <v>0</v>
      </c>
      <c r="T224" s="16">
        <v>0</v>
      </c>
      <c r="U224" s="20">
        <v>0</v>
      </c>
      <c r="V224" s="20">
        <v>0</v>
      </c>
      <c r="W224" s="20">
        <v>0</v>
      </c>
      <c r="X224" s="20">
        <v>0</v>
      </c>
      <c r="Y224" s="20">
        <v>0</v>
      </c>
      <c r="Z224" s="20">
        <v>0</v>
      </c>
      <c r="AA224" s="20">
        <v>0</v>
      </c>
      <c r="AB224" s="20">
        <v>0</v>
      </c>
      <c r="AC224" s="15">
        <f t="shared" si="105"/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30</v>
      </c>
      <c r="AJ224" s="15">
        <v>10</v>
      </c>
      <c r="AK224" s="15">
        <v>30</v>
      </c>
      <c r="AL224" s="15">
        <f t="shared" si="104"/>
        <v>70</v>
      </c>
      <c r="AM224" s="29">
        <f t="shared" si="96"/>
        <v>825</v>
      </c>
      <c r="AN224" s="19">
        <v>634</v>
      </c>
      <c r="AO224" s="21">
        <v>0</v>
      </c>
      <c r="AP224" s="22">
        <v>2</v>
      </c>
      <c r="AQ224" s="26">
        <f t="shared" si="60"/>
        <v>632</v>
      </c>
      <c r="AR224" s="37">
        <f t="shared" si="80"/>
        <v>1</v>
      </c>
      <c r="AS224" s="38">
        <f t="shared" si="97"/>
        <v>0.76848484848484844</v>
      </c>
      <c r="AT224" s="38">
        <f t="shared" si="98"/>
        <v>0.99684542586750791</v>
      </c>
      <c r="AU224" s="27">
        <f t="shared" si="83"/>
        <v>0.766060606060606</v>
      </c>
    </row>
    <row r="225" spans="1:47" s="1" customFormat="1" ht="23.1" customHeight="1" x14ac:dyDescent="0.25">
      <c r="A225" s="109">
        <v>46039</v>
      </c>
      <c r="B225" s="47" t="s">
        <v>49</v>
      </c>
      <c r="C225" s="90" t="s">
        <v>21</v>
      </c>
      <c r="D225" s="47" t="s">
        <v>52</v>
      </c>
      <c r="E225" s="48">
        <v>98992</v>
      </c>
      <c r="F225" s="48" t="s">
        <v>53</v>
      </c>
      <c r="G225" s="48" t="s">
        <v>87</v>
      </c>
      <c r="H225" s="30">
        <v>15731</v>
      </c>
      <c r="I225" s="30">
        <v>32</v>
      </c>
      <c r="J225" s="28">
        <f t="shared" si="106"/>
        <v>112.5</v>
      </c>
      <c r="K225" s="31">
        <v>0.25</v>
      </c>
      <c r="L225" s="31">
        <v>0.60416666666666696</v>
      </c>
      <c r="M225" s="32">
        <f t="shared" si="99"/>
        <v>0.35416666666666696</v>
      </c>
      <c r="N225" s="36">
        <v>510</v>
      </c>
      <c r="O225" s="36">
        <f t="shared" si="100"/>
        <v>440</v>
      </c>
      <c r="P225" s="36">
        <f t="shared" si="101"/>
        <v>440</v>
      </c>
      <c r="Q225" s="15">
        <v>0</v>
      </c>
      <c r="R225" s="20">
        <v>0</v>
      </c>
      <c r="S225" s="16">
        <v>0</v>
      </c>
      <c r="T225" s="16">
        <v>0</v>
      </c>
      <c r="U225" s="20">
        <v>0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15">
        <f t="shared" si="105"/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30</v>
      </c>
      <c r="AJ225" s="15">
        <v>10</v>
      </c>
      <c r="AK225" s="15">
        <v>30</v>
      </c>
      <c r="AL225" s="15">
        <f t="shared" si="104"/>
        <v>70</v>
      </c>
      <c r="AM225" s="29">
        <f t="shared" si="96"/>
        <v>825</v>
      </c>
      <c r="AN225" s="19">
        <v>624</v>
      </c>
      <c r="AO225" s="21">
        <v>0</v>
      </c>
      <c r="AP225" s="22">
        <v>1</v>
      </c>
      <c r="AQ225" s="26">
        <f t="shared" si="60"/>
        <v>623</v>
      </c>
      <c r="AR225" s="37">
        <f t="shared" si="80"/>
        <v>1</v>
      </c>
      <c r="AS225" s="38">
        <f t="shared" si="97"/>
        <v>0.75636363636363635</v>
      </c>
      <c r="AT225" s="38">
        <f t="shared" si="98"/>
        <v>0.9983974358974359</v>
      </c>
      <c r="AU225" s="27">
        <f t="shared" si="83"/>
        <v>0.75515151515151513</v>
      </c>
    </row>
    <row r="226" spans="1:47" s="1" customFormat="1" ht="23.1" customHeight="1" x14ac:dyDescent="0.25">
      <c r="A226" s="109">
        <v>46039</v>
      </c>
      <c r="B226" s="47" t="s">
        <v>49</v>
      </c>
      <c r="C226" s="90" t="s">
        <v>21</v>
      </c>
      <c r="D226" s="47" t="s">
        <v>124</v>
      </c>
      <c r="E226" s="48">
        <v>98992</v>
      </c>
      <c r="F226" s="48" t="s">
        <v>215</v>
      </c>
      <c r="G226" s="48" t="s">
        <v>125</v>
      </c>
      <c r="H226" s="30">
        <v>13105</v>
      </c>
      <c r="I226" s="30">
        <v>32</v>
      </c>
      <c r="J226" s="28">
        <f t="shared" si="106"/>
        <v>112.5</v>
      </c>
      <c r="K226" s="31">
        <v>0.25</v>
      </c>
      <c r="L226" s="31">
        <v>0.60416666666666696</v>
      </c>
      <c r="M226" s="32">
        <f t="shared" si="99"/>
        <v>0.35416666666666696</v>
      </c>
      <c r="N226" s="36">
        <v>510</v>
      </c>
      <c r="O226" s="36">
        <f t="shared" si="100"/>
        <v>440</v>
      </c>
      <c r="P226" s="36">
        <f t="shared" si="101"/>
        <v>440</v>
      </c>
      <c r="Q226" s="15">
        <v>0</v>
      </c>
      <c r="R226" s="20">
        <v>0</v>
      </c>
      <c r="S226" s="16">
        <v>0</v>
      </c>
      <c r="T226" s="16">
        <v>0</v>
      </c>
      <c r="U226" s="20">
        <v>0</v>
      </c>
      <c r="V226" s="20">
        <v>0</v>
      </c>
      <c r="W226" s="20">
        <v>0</v>
      </c>
      <c r="X226" s="20">
        <v>0</v>
      </c>
      <c r="Y226" s="20">
        <v>0</v>
      </c>
      <c r="Z226" s="20">
        <v>0</v>
      </c>
      <c r="AA226" s="20">
        <v>0</v>
      </c>
      <c r="AB226" s="20">
        <v>0</v>
      </c>
      <c r="AC226" s="15">
        <f t="shared" si="105"/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30</v>
      </c>
      <c r="AJ226" s="15">
        <v>10</v>
      </c>
      <c r="AK226" s="15">
        <v>30</v>
      </c>
      <c r="AL226" s="15">
        <f t="shared" si="104"/>
        <v>70</v>
      </c>
      <c r="AM226" s="29">
        <f t="shared" si="96"/>
        <v>825</v>
      </c>
      <c r="AN226" s="19">
        <v>687</v>
      </c>
      <c r="AO226" s="21">
        <v>0</v>
      </c>
      <c r="AP226" s="22">
        <v>1</v>
      </c>
      <c r="AQ226" s="26">
        <f t="shared" si="60"/>
        <v>686</v>
      </c>
      <c r="AR226" s="37">
        <f t="shared" si="80"/>
        <v>1</v>
      </c>
      <c r="AS226" s="38">
        <f t="shared" si="97"/>
        <v>0.83272727272727276</v>
      </c>
      <c r="AT226" s="38">
        <f t="shared" si="98"/>
        <v>0.99854439592430855</v>
      </c>
      <c r="AU226" s="27">
        <f t="shared" si="83"/>
        <v>0.83151515151515154</v>
      </c>
    </row>
    <row r="227" spans="1:47" s="1" customFormat="1" ht="23.1" customHeight="1" x14ac:dyDescent="0.25">
      <c r="A227" s="109">
        <v>46039</v>
      </c>
      <c r="B227" s="47" t="s">
        <v>49</v>
      </c>
      <c r="C227" s="90" t="s">
        <v>21</v>
      </c>
      <c r="D227" s="47" t="s">
        <v>122</v>
      </c>
      <c r="E227" s="48">
        <v>98992</v>
      </c>
      <c r="F227" s="48" t="s">
        <v>169</v>
      </c>
      <c r="G227" s="48" t="s">
        <v>125</v>
      </c>
      <c r="H227" s="30">
        <v>14957</v>
      </c>
      <c r="I227" s="30">
        <v>32</v>
      </c>
      <c r="J227" s="28">
        <f t="shared" si="106"/>
        <v>112.5</v>
      </c>
      <c r="K227" s="31">
        <v>0.25</v>
      </c>
      <c r="L227" s="31">
        <v>0.60416666666666696</v>
      </c>
      <c r="M227" s="32">
        <f t="shared" si="99"/>
        <v>0.35416666666666696</v>
      </c>
      <c r="N227" s="36">
        <v>510</v>
      </c>
      <c r="O227" s="36">
        <f t="shared" si="100"/>
        <v>440</v>
      </c>
      <c r="P227" s="36">
        <f t="shared" si="101"/>
        <v>440</v>
      </c>
      <c r="Q227" s="15">
        <v>0</v>
      </c>
      <c r="R227" s="20">
        <v>0</v>
      </c>
      <c r="S227" s="16">
        <v>0</v>
      </c>
      <c r="T227" s="16">
        <v>0</v>
      </c>
      <c r="U227" s="20">
        <v>0</v>
      </c>
      <c r="V227" s="20">
        <v>0</v>
      </c>
      <c r="W227" s="20">
        <v>0</v>
      </c>
      <c r="X227" s="20">
        <v>0</v>
      </c>
      <c r="Y227" s="20">
        <v>0</v>
      </c>
      <c r="Z227" s="20">
        <v>0</v>
      </c>
      <c r="AA227" s="20">
        <v>0</v>
      </c>
      <c r="AB227" s="20">
        <v>0</v>
      </c>
      <c r="AC227" s="15">
        <f t="shared" si="105"/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30</v>
      </c>
      <c r="AJ227" s="15">
        <v>10</v>
      </c>
      <c r="AK227" s="15">
        <v>30</v>
      </c>
      <c r="AL227" s="15">
        <f t="shared" si="104"/>
        <v>70</v>
      </c>
      <c r="AM227" s="29">
        <f t="shared" si="96"/>
        <v>825</v>
      </c>
      <c r="AN227" s="19">
        <v>570</v>
      </c>
      <c r="AO227" s="21">
        <v>0</v>
      </c>
      <c r="AP227" s="22">
        <v>1</v>
      </c>
      <c r="AQ227" s="26">
        <f t="shared" si="60"/>
        <v>569</v>
      </c>
      <c r="AR227" s="37">
        <f t="shared" si="80"/>
        <v>1</v>
      </c>
      <c r="AS227" s="38">
        <f t="shared" si="97"/>
        <v>0.69090909090909092</v>
      </c>
      <c r="AT227" s="38">
        <f t="shared" si="98"/>
        <v>0.99824561403508771</v>
      </c>
      <c r="AU227" s="27">
        <f t="shared" si="83"/>
        <v>0.6896969696969697</v>
      </c>
    </row>
    <row r="228" spans="1:47" s="1" customFormat="1" ht="23.1" customHeight="1" x14ac:dyDescent="0.25">
      <c r="A228" s="109">
        <v>46039</v>
      </c>
      <c r="B228" s="47" t="s">
        <v>49</v>
      </c>
      <c r="C228" s="90" t="s">
        <v>21</v>
      </c>
      <c r="D228" s="47" t="s">
        <v>128</v>
      </c>
      <c r="E228" s="48">
        <v>98992</v>
      </c>
      <c r="F228" s="48" t="s">
        <v>53</v>
      </c>
      <c r="G228" s="48" t="s">
        <v>125</v>
      </c>
      <c r="H228" s="30">
        <v>15679</v>
      </c>
      <c r="I228" s="30">
        <v>32</v>
      </c>
      <c r="J228" s="28">
        <f t="shared" si="106"/>
        <v>112.5</v>
      </c>
      <c r="K228" s="31">
        <v>0.25</v>
      </c>
      <c r="L228" s="31">
        <v>0.60416666666666696</v>
      </c>
      <c r="M228" s="32">
        <f t="shared" si="99"/>
        <v>0.35416666666666696</v>
      </c>
      <c r="N228" s="36">
        <v>510</v>
      </c>
      <c r="O228" s="36">
        <f t="shared" si="100"/>
        <v>320</v>
      </c>
      <c r="P228" s="36">
        <f t="shared" si="101"/>
        <v>320</v>
      </c>
      <c r="Q228" s="15">
        <v>0</v>
      </c>
      <c r="R228" s="20">
        <v>0</v>
      </c>
      <c r="S228" s="16">
        <v>0</v>
      </c>
      <c r="T228" s="16">
        <v>0</v>
      </c>
      <c r="U228" s="20">
        <v>0</v>
      </c>
      <c r="V228" s="20">
        <v>0</v>
      </c>
      <c r="W228" s="20">
        <v>0</v>
      </c>
      <c r="X228" s="20">
        <v>0</v>
      </c>
      <c r="Y228" s="20">
        <v>0</v>
      </c>
      <c r="Z228" s="20">
        <v>0</v>
      </c>
      <c r="AA228" s="20">
        <v>0</v>
      </c>
      <c r="AB228" s="20">
        <v>0</v>
      </c>
      <c r="AC228" s="15">
        <f t="shared" si="105"/>
        <v>0</v>
      </c>
      <c r="AD228" s="15">
        <v>0</v>
      </c>
      <c r="AE228" s="15">
        <v>0</v>
      </c>
      <c r="AF228" s="15">
        <v>0</v>
      </c>
      <c r="AG228" s="15">
        <v>120</v>
      </c>
      <c r="AH228" s="15">
        <v>0</v>
      </c>
      <c r="AI228" s="15">
        <v>30</v>
      </c>
      <c r="AJ228" s="15">
        <v>10</v>
      </c>
      <c r="AK228" s="15">
        <v>30</v>
      </c>
      <c r="AL228" s="15">
        <f t="shared" si="104"/>
        <v>190</v>
      </c>
      <c r="AM228" s="29">
        <f t="shared" si="96"/>
        <v>600</v>
      </c>
      <c r="AN228" s="19">
        <v>420</v>
      </c>
      <c r="AO228" s="21">
        <v>0</v>
      </c>
      <c r="AP228" s="22">
        <v>1</v>
      </c>
      <c r="AQ228" s="26">
        <f t="shared" si="60"/>
        <v>419</v>
      </c>
      <c r="AR228" s="37">
        <f t="shared" si="80"/>
        <v>1</v>
      </c>
      <c r="AS228" s="38">
        <f t="shared" si="97"/>
        <v>0.7</v>
      </c>
      <c r="AT228" s="38">
        <f t="shared" si="98"/>
        <v>0.99761904761904763</v>
      </c>
      <c r="AU228" s="27">
        <f t="shared" si="83"/>
        <v>0.69833333333333325</v>
      </c>
    </row>
    <row r="229" spans="1:47" s="1" customFormat="1" ht="23.1" customHeight="1" x14ac:dyDescent="0.25">
      <c r="A229" s="109">
        <v>46039</v>
      </c>
      <c r="B229" s="47" t="s">
        <v>49</v>
      </c>
      <c r="C229" s="90" t="s">
        <v>21</v>
      </c>
      <c r="D229" s="47" t="s">
        <v>170</v>
      </c>
      <c r="E229" s="48">
        <v>98992</v>
      </c>
      <c r="F229" s="48" t="s">
        <v>176</v>
      </c>
      <c r="G229" s="48" t="s">
        <v>125</v>
      </c>
      <c r="H229" s="30">
        <v>15859</v>
      </c>
      <c r="I229" s="30">
        <v>20</v>
      </c>
      <c r="J229" s="28">
        <f t="shared" si="106"/>
        <v>180</v>
      </c>
      <c r="K229" s="31">
        <v>0.25</v>
      </c>
      <c r="L229" s="31">
        <v>0.60416666666666696</v>
      </c>
      <c r="M229" s="32">
        <f t="shared" si="99"/>
        <v>0.35416666666666696</v>
      </c>
      <c r="N229" s="36">
        <v>510</v>
      </c>
      <c r="O229" s="36">
        <f t="shared" si="100"/>
        <v>220</v>
      </c>
      <c r="P229" s="36">
        <f t="shared" si="101"/>
        <v>220</v>
      </c>
      <c r="Q229" s="15">
        <v>0</v>
      </c>
      <c r="R229" s="20">
        <v>0</v>
      </c>
      <c r="S229" s="16">
        <v>0</v>
      </c>
      <c r="T229" s="16">
        <v>0</v>
      </c>
      <c r="U229" s="20">
        <v>0</v>
      </c>
      <c r="V229" s="20">
        <v>0</v>
      </c>
      <c r="W229" s="20">
        <v>0</v>
      </c>
      <c r="X229" s="20">
        <v>0</v>
      </c>
      <c r="Y229" s="20">
        <v>0</v>
      </c>
      <c r="Z229" s="20">
        <v>0</v>
      </c>
      <c r="AA229" s="20">
        <v>0</v>
      </c>
      <c r="AB229" s="20">
        <v>0</v>
      </c>
      <c r="AC229" s="15">
        <f t="shared" si="105"/>
        <v>0</v>
      </c>
      <c r="AD229" s="15">
        <v>0</v>
      </c>
      <c r="AE229" s="15">
        <v>0</v>
      </c>
      <c r="AF229" s="15">
        <v>0</v>
      </c>
      <c r="AG229" s="15">
        <v>220</v>
      </c>
      <c r="AH229" s="15">
        <v>0</v>
      </c>
      <c r="AI229" s="15">
        <v>30</v>
      </c>
      <c r="AJ229" s="15">
        <v>10</v>
      </c>
      <c r="AK229" s="15">
        <v>30</v>
      </c>
      <c r="AL229" s="15">
        <f t="shared" si="104"/>
        <v>290</v>
      </c>
      <c r="AM229" s="29">
        <f t="shared" si="96"/>
        <v>660</v>
      </c>
      <c r="AN229" s="19">
        <v>456</v>
      </c>
      <c r="AO229" s="21">
        <v>0</v>
      </c>
      <c r="AP229" s="22">
        <v>0</v>
      </c>
      <c r="AQ229" s="26">
        <f t="shared" si="60"/>
        <v>456</v>
      </c>
      <c r="AR229" s="37">
        <f t="shared" si="80"/>
        <v>1</v>
      </c>
      <c r="AS229" s="38">
        <f t="shared" si="97"/>
        <v>0.69090909090909092</v>
      </c>
      <c r="AT229" s="38">
        <f t="shared" si="98"/>
        <v>1</v>
      </c>
      <c r="AU229" s="27">
        <f t="shared" si="83"/>
        <v>0.69090909090909092</v>
      </c>
    </row>
    <row r="230" spans="1:47" s="1" customFormat="1" ht="23.1" customHeight="1" x14ac:dyDescent="0.25">
      <c r="A230" s="109">
        <v>46039</v>
      </c>
      <c r="B230" s="47" t="s">
        <v>49</v>
      </c>
      <c r="C230" s="90" t="s">
        <v>21</v>
      </c>
      <c r="D230" s="47" t="s">
        <v>127</v>
      </c>
      <c r="E230" s="48">
        <v>98992</v>
      </c>
      <c r="F230" s="48" t="s">
        <v>175</v>
      </c>
      <c r="G230" s="48" t="s">
        <v>125</v>
      </c>
      <c r="H230" s="30">
        <v>15882</v>
      </c>
      <c r="I230" s="30">
        <v>20</v>
      </c>
      <c r="J230" s="28">
        <f t="shared" si="106"/>
        <v>180</v>
      </c>
      <c r="K230" s="31">
        <v>0.25</v>
      </c>
      <c r="L230" s="31">
        <v>0.60416666666666696</v>
      </c>
      <c r="M230" s="32">
        <f t="shared" si="99"/>
        <v>0.35416666666666696</v>
      </c>
      <c r="N230" s="36">
        <v>510</v>
      </c>
      <c r="O230" s="36">
        <f t="shared" si="100"/>
        <v>320</v>
      </c>
      <c r="P230" s="36">
        <f t="shared" si="101"/>
        <v>320</v>
      </c>
      <c r="Q230" s="15">
        <v>0</v>
      </c>
      <c r="R230" s="20">
        <v>0</v>
      </c>
      <c r="S230" s="16">
        <v>0</v>
      </c>
      <c r="T230" s="16">
        <v>0</v>
      </c>
      <c r="U230" s="20">
        <v>0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15">
        <f t="shared" si="105"/>
        <v>0</v>
      </c>
      <c r="AD230" s="15">
        <v>0</v>
      </c>
      <c r="AE230" s="15">
        <v>0</v>
      </c>
      <c r="AF230" s="15">
        <v>0</v>
      </c>
      <c r="AG230" s="15">
        <v>120</v>
      </c>
      <c r="AH230" s="15">
        <v>0</v>
      </c>
      <c r="AI230" s="15">
        <v>30</v>
      </c>
      <c r="AJ230" s="15">
        <v>10</v>
      </c>
      <c r="AK230" s="15">
        <v>30</v>
      </c>
      <c r="AL230" s="15">
        <f t="shared" si="104"/>
        <v>190</v>
      </c>
      <c r="AM230" s="29">
        <f t="shared" si="96"/>
        <v>960</v>
      </c>
      <c r="AN230" s="19">
        <v>600</v>
      </c>
      <c r="AO230" s="21">
        <v>0</v>
      </c>
      <c r="AP230" s="22">
        <v>0</v>
      </c>
      <c r="AQ230" s="26">
        <f t="shared" si="60"/>
        <v>600</v>
      </c>
      <c r="AR230" s="37">
        <f t="shared" si="80"/>
        <v>1</v>
      </c>
      <c r="AS230" s="38">
        <f t="shared" si="97"/>
        <v>0.625</v>
      </c>
      <c r="AT230" s="38">
        <f t="shared" si="98"/>
        <v>1</v>
      </c>
      <c r="AU230" s="27">
        <f t="shared" si="83"/>
        <v>0.625</v>
      </c>
    </row>
    <row r="231" spans="1:47" s="1" customFormat="1" ht="23.1" customHeight="1" x14ac:dyDescent="0.25">
      <c r="A231" s="109">
        <v>46039</v>
      </c>
      <c r="B231" s="47" t="s">
        <v>49</v>
      </c>
      <c r="C231" s="90" t="s">
        <v>51</v>
      </c>
      <c r="D231" s="47" t="s">
        <v>94</v>
      </c>
      <c r="E231" s="48">
        <v>98992</v>
      </c>
      <c r="F231" s="48" t="s">
        <v>67</v>
      </c>
      <c r="G231" s="48" t="s">
        <v>174</v>
      </c>
      <c r="H231" s="30">
        <v>15833</v>
      </c>
      <c r="I231" s="30">
        <v>24</v>
      </c>
      <c r="J231" s="28">
        <f t="shared" si="106"/>
        <v>150</v>
      </c>
      <c r="K231" s="31">
        <v>0.58333333333333337</v>
      </c>
      <c r="L231" s="31">
        <v>0.9375</v>
      </c>
      <c r="M231" s="32">
        <f t="shared" si="99"/>
        <v>0.35416666666666663</v>
      </c>
      <c r="N231" s="36">
        <v>510</v>
      </c>
      <c r="O231" s="36">
        <f t="shared" si="100"/>
        <v>440</v>
      </c>
      <c r="P231" s="36">
        <f t="shared" si="101"/>
        <v>440</v>
      </c>
      <c r="Q231" s="15">
        <v>0</v>
      </c>
      <c r="R231" s="20">
        <v>0</v>
      </c>
      <c r="S231" s="16">
        <v>0</v>
      </c>
      <c r="T231" s="16">
        <v>0</v>
      </c>
      <c r="U231" s="20">
        <v>0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15">
        <f t="shared" si="105"/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30</v>
      </c>
      <c r="AJ231" s="15">
        <v>10</v>
      </c>
      <c r="AK231" s="15">
        <v>30</v>
      </c>
      <c r="AL231" s="15">
        <f t="shared" si="104"/>
        <v>70</v>
      </c>
      <c r="AM231" s="29">
        <f t="shared" si="96"/>
        <v>1100</v>
      </c>
      <c r="AN231" s="19">
        <v>920</v>
      </c>
      <c r="AO231" s="21">
        <v>0</v>
      </c>
      <c r="AP231" s="22">
        <v>26</v>
      </c>
      <c r="AQ231" s="26">
        <f t="shared" si="60"/>
        <v>894</v>
      </c>
      <c r="AR231" s="37">
        <f t="shared" si="80"/>
        <v>1</v>
      </c>
      <c r="AS231" s="38">
        <f t="shared" si="97"/>
        <v>0.83636363636363631</v>
      </c>
      <c r="AT231" s="38">
        <f t="shared" si="98"/>
        <v>0.97173913043478266</v>
      </c>
      <c r="AU231" s="27">
        <f t="shared" si="83"/>
        <v>0.81272727272727274</v>
      </c>
    </row>
    <row r="232" spans="1:47" s="1" customFormat="1" ht="23.1" customHeight="1" x14ac:dyDescent="0.25">
      <c r="A232" s="109">
        <v>46039</v>
      </c>
      <c r="B232" s="47" t="s">
        <v>49</v>
      </c>
      <c r="C232" s="90" t="s">
        <v>51</v>
      </c>
      <c r="D232" s="47" t="s">
        <v>88</v>
      </c>
      <c r="E232" s="48">
        <v>98992</v>
      </c>
      <c r="F232" s="48" t="s">
        <v>126</v>
      </c>
      <c r="G232" s="48" t="s">
        <v>87</v>
      </c>
      <c r="H232" s="30">
        <v>15036</v>
      </c>
      <c r="I232" s="30">
        <v>32</v>
      </c>
      <c r="J232" s="28">
        <f t="shared" si="106"/>
        <v>112.5</v>
      </c>
      <c r="K232" s="31">
        <v>0.58333333333333337</v>
      </c>
      <c r="L232" s="31">
        <v>0.9375</v>
      </c>
      <c r="M232" s="32">
        <f t="shared" si="99"/>
        <v>0.35416666666666663</v>
      </c>
      <c r="N232" s="36">
        <v>510</v>
      </c>
      <c r="O232" s="36">
        <f t="shared" si="100"/>
        <v>320</v>
      </c>
      <c r="P232" s="36">
        <f t="shared" si="101"/>
        <v>320</v>
      </c>
      <c r="Q232" s="15">
        <v>0</v>
      </c>
      <c r="R232" s="20">
        <v>0</v>
      </c>
      <c r="S232" s="16">
        <v>0</v>
      </c>
      <c r="T232" s="16">
        <v>0</v>
      </c>
      <c r="U232" s="20">
        <v>0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15">
        <f t="shared" si="105"/>
        <v>0</v>
      </c>
      <c r="AD232" s="15">
        <v>0</v>
      </c>
      <c r="AE232" s="15">
        <v>0</v>
      </c>
      <c r="AF232" s="15">
        <v>0</v>
      </c>
      <c r="AG232" s="15">
        <v>120</v>
      </c>
      <c r="AH232" s="15">
        <v>0</v>
      </c>
      <c r="AI232" s="15">
        <v>30</v>
      </c>
      <c r="AJ232" s="15">
        <v>10</v>
      </c>
      <c r="AK232" s="15">
        <v>30</v>
      </c>
      <c r="AL232" s="15">
        <f t="shared" si="104"/>
        <v>190</v>
      </c>
      <c r="AM232" s="29">
        <f t="shared" si="96"/>
        <v>600</v>
      </c>
      <c r="AN232" s="19">
        <v>450</v>
      </c>
      <c r="AO232" s="21">
        <v>0</v>
      </c>
      <c r="AP232" s="22">
        <v>1</v>
      </c>
      <c r="AQ232" s="26">
        <f t="shared" si="60"/>
        <v>449</v>
      </c>
      <c r="AR232" s="37">
        <f t="shared" si="80"/>
        <v>1</v>
      </c>
      <c r="AS232" s="38">
        <f t="shared" si="97"/>
        <v>0.75</v>
      </c>
      <c r="AT232" s="38">
        <f t="shared" si="98"/>
        <v>0.99777777777777776</v>
      </c>
      <c r="AU232" s="27">
        <f t="shared" si="83"/>
        <v>0.74833333333333329</v>
      </c>
    </row>
    <row r="233" spans="1:47" s="1" customFormat="1" ht="23.1" customHeight="1" x14ac:dyDescent="0.25">
      <c r="A233" s="109">
        <v>46039</v>
      </c>
      <c r="B233" s="47" t="s">
        <v>49</v>
      </c>
      <c r="C233" s="90" t="s">
        <v>51</v>
      </c>
      <c r="D233" s="47" t="s">
        <v>89</v>
      </c>
      <c r="E233" s="48">
        <v>98992</v>
      </c>
      <c r="F233" s="48" t="s">
        <v>169</v>
      </c>
      <c r="G233" s="48" t="s">
        <v>87</v>
      </c>
      <c r="H233" s="30">
        <v>11682</v>
      </c>
      <c r="I233" s="30">
        <v>32</v>
      </c>
      <c r="J233" s="28">
        <f t="shared" si="106"/>
        <v>112.5</v>
      </c>
      <c r="K233" s="31">
        <v>0.58333333333333337</v>
      </c>
      <c r="L233" s="31">
        <v>0.9375</v>
      </c>
      <c r="M233" s="32">
        <f t="shared" si="99"/>
        <v>0.35416666666666663</v>
      </c>
      <c r="N233" s="36">
        <v>510</v>
      </c>
      <c r="O233" s="36">
        <f t="shared" si="100"/>
        <v>440</v>
      </c>
      <c r="P233" s="36">
        <f t="shared" si="101"/>
        <v>440</v>
      </c>
      <c r="Q233" s="15">
        <v>0</v>
      </c>
      <c r="R233" s="20">
        <v>0</v>
      </c>
      <c r="S233" s="16">
        <v>0</v>
      </c>
      <c r="T233" s="16">
        <v>0</v>
      </c>
      <c r="U233" s="20">
        <v>0</v>
      </c>
      <c r="V233" s="20">
        <v>0</v>
      </c>
      <c r="W233" s="20">
        <v>0</v>
      </c>
      <c r="X233" s="20">
        <v>0</v>
      </c>
      <c r="Y233" s="20">
        <v>0</v>
      </c>
      <c r="Z233" s="20">
        <v>0</v>
      </c>
      <c r="AA233" s="20">
        <v>0</v>
      </c>
      <c r="AB233" s="20">
        <v>0</v>
      </c>
      <c r="AC233" s="15">
        <f t="shared" si="105"/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30</v>
      </c>
      <c r="AJ233" s="15">
        <v>10</v>
      </c>
      <c r="AK233" s="15">
        <v>30</v>
      </c>
      <c r="AL233" s="15">
        <f t="shared" si="104"/>
        <v>70</v>
      </c>
      <c r="AM233" s="29">
        <f t="shared" si="96"/>
        <v>825</v>
      </c>
      <c r="AN233" s="19">
        <v>663</v>
      </c>
      <c r="AO233" s="21">
        <v>0</v>
      </c>
      <c r="AP233" s="22">
        <v>2</v>
      </c>
      <c r="AQ233" s="26">
        <f t="shared" si="60"/>
        <v>661</v>
      </c>
      <c r="AR233" s="37">
        <f t="shared" si="80"/>
        <v>1</v>
      </c>
      <c r="AS233" s="38">
        <f t="shared" si="97"/>
        <v>0.80363636363636359</v>
      </c>
      <c r="AT233" s="38">
        <f t="shared" si="98"/>
        <v>0.99698340874811464</v>
      </c>
      <c r="AU233" s="27">
        <f t="shared" si="83"/>
        <v>0.80121212121212115</v>
      </c>
    </row>
    <row r="234" spans="1:47" s="1" customFormat="1" ht="23.1" customHeight="1" x14ac:dyDescent="0.25">
      <c r="A234" s="109">
        <v>46039</v>
      </c>
      <c r="B234" s="47" t="s">
        <v>49</v>
      </c>
      <c r="C234" s="90" t="s">
        <v>51</v>
      </c>
      <c r="D234" s="47" t="s">
        <v>52</v>
      </c>
      <c r="E234" s="48">
        <v>98992</v>
      </c>
      <c r="F234" s="48" t="s">
        <v>53</v>
      </c>
      <c r="G234" s="48" t="s">
        <v>87</v>
      </c>
      <c r="H234" s="30">
        <v>16000</v>
      </c>
      <c r="I234" s="30">
        <v>32</v>
      </c>
      <c r="J234" s="28">
        <f t="shared" si="106"/>
        <v>112.5</v>
      </c>
      <c r="K234" s="31">
        <v>0.58333333333333337</v>
      </c>
      <c r="L234" s="31">
        <v>0.9375</v>
      </c>
      <c r="M234" s="32">
        <f t="shared" si="99"/>
        <v>0.35416666666666663</v>
      </c>
      <c r="N234" s="36">
        <v>510</v>
      </c>
      <c r="O234" s="36">
        <f t="shared" si="100"/>
        <v>320</v>
      </c>
      <c r="P234" s="36">
        <f t="shared" si="101"/>
        <v>320</v>
      </c>
      <c r="Q234" s="15">
        <v>0</v>
      </c>
      <c r="R234" s="20">
        <v>0</v>
      </c>
      <c r="S234" s="16">
        <v>0</v>
      </c>
      <c r="T234" s="16">
        <v>0</v>
      </c>
      <c r="U234" s="20">
        <v>0</v>
      </c>
      <c r="V234" s="20">
        <v>0</v>
      </c>
      <c r="W234" s="20">
        <v>0</v>
      </c>
      <c r="X234" s="20">
        <v>0</v>
      </c>
      <c r="Y234" s="20">
        <v>0</v>
      </c>
      <c r="Z234" s="20">
        <v>0</v>
      </c>
      <c r="AA234" s="20">
        <v>0</v>
      </c>
      <c r="AB234" s="20">
        <v>0</v>
      </c>
      <c r="AC234" s="15">
        <f t="shared" si="105"/>
        <v>0</v>
      </c>
      <c r="AD234" s="15">
        <v>0</v>
      </c>
      <c r="AE234" s="15">
        <v>0</v>
      </c>
      <c r="AF234" s="15">
        <v>0</v>
      </c>
      <c r="AG234" s="15">
        <v>120</v>
      </c>
      <c r="AH234" s="15">
        <v>0</v>
      </c>
      <c r="AI234" s="15">
        <v>30</v>
      </c>
      <c r="AJ234" s="15">
        <v>10</v>
      </c>
      <c r="AK234" s="15">
        <v>30</v>
      </c>
      <c r="AL234" s="15">
        <f t="shared" si="104"/>
        <v>190</v>
      </c>
      <c r="AM234" s="29">
        <f t="shared" si="96"/>
        <v>600</v>
      </c>
      <c r="AN234" s="19">
        <v>530</v>
      </c>
      <c r="AO234" s="21">
        <v>0</v>
      </c>
      <c r="AP234" s="22">
        <v>1</v>
      </c>
      <c r="AQ234" s="26">
        <f t="shared" si="60"/>
        <v>529</v>
      </c>
      <c r="AR234" s="37">
        <f t="shared" si="80"/>
        <v>1</v>
      </c>
      <c r="AS234" s="38">
        <f t="shared" si="97"/>
        <v>0.8833333333333333</v>
      </c>
      <c r="AT234" s="38">
        <f t="shared" si="98"/>
        <v>0.99811320754716981</v>
      </c>
      <c r="AU234" s="27">
        <f t="shared" si="83"/>
        <v>0.8816666666666666</v>
      </c>
    </row>
    <row r="235" spans="1:47" s="1" customFormat="1" ht="23.1" customHeight="1" x14ac:dyDescent="0.25">
      <c r="A235" s="109">
        <v>46039</v>
      </c>
      <c r="B235" s="47" t="s">
        <v>49</v>
      </c>
      <c r="C235" s="90" t="s">
        <v>51</v>
      </c>
      <c r="D235" s="47" t="s">
        <v>86</v>
      </c>
      <c r="E235" s="48">
        <v>98992</v>
      </c>
      <c r="F235" s="48" t="s">
        <v>176</v>
      </c>
      <c r="G235" s="48" t="s">
        <v>87</v>
      </c>
      <c r="H235" s="30">
        <v>15688</v>
      </c>
      <c r="I235" s="30">
        <v>20</v>
      </c>
      <c r="J235" s="28">
        <f t="shared" si="106"/>
        <v>180</v>
      </c>
      <c r="K235" s="31">
        <v>0.58333333333333337</v>
      </c>
      <c r="L235" s="31">
        <v>0.9375</v>
      </c>
      <c r="M235" s="32">
        <f t="shared" si="99"/>
        <v>0.35416666666666663</v>
      </c>
      <c r="N235" s="36">
        <v>510</v>
      </c>
      <c r="O235" s="36">
        <f t="shared" si="100"/>
        <v>360</v>
      </c>
      <c r="P235" s="36">
        <f t="shared" si="101"/>
        <v>360</v>
      </c>
      <c r="Q235" s="15">
        <v>0</v>
      </c>
      <c r="R235" s="20">
        <v>0</v>
      </c>
      <c r="S235" s="16">
        <v>0</v>
      </c>
      <c r="T235" s="16">
        <v>0</v>
      </c>
      <c r="U235" s="20">
        <v>0</v>
      </c>
      <c r="V235" s="20">
        <v>0</v>
      </c>
      <c r="W235" s="20">
        <v>0</v>
      </c>
      <c r="X235" s="20">
        <v>0</v>
      </c>
      <c r="Y235" s="20">
        <v>0</v>
      </c>
      <c r="Z235" s="20">
        <v>0</v>
      </c>
      <c r="AA235" s="20">
        <v>0</v>
      </c>
      <c r="AB235" s="20">
        <v>0</v>
      </c>
      <c r="AC235" s="15">
        <f t="shared" si="105"/>
        <v>0</v>
      </c>
      <c r="AD235" s="15">
        <v>0</v>
      </c>
      <c r="AE235" s="15">
        <v>0</v>
      </c>
      <c r="AF235" s="15">
        <v>0</v>
      </c>
      <c r="AG235" s="15">
        <v>80</v>
      </c>
      <c r="AH235" s="15">
        <v>0</v>
      </c>
      <c r="AI235" s="15">
        <v>30</v>
      </c>
      <c r="AJ235" s="15">
        <v>10</v>
      </c>
      <c r="AK235" s="15">
        <v>30</v>
      </c>
      <c r="AL235" s="15">
        <f t="shared" si="104"/>
        <v>150</v>
      </c>
      <c r="AM235" s="29">
        <f t="shared" si="96"/>
        <v>1080</v>
      </c>
      <c r="AN235" s="19">
        <v>792</v>
      </c>
      <c r="AO235" s="21">
        <v>0</v>
      </c>
      <c r="AP235" s="22">
        <v>2</v>
      </c>
      <c r="AQ235" s="26">
        <f t="shared" si="60"/>
        <v>790</v>
      </c>
      <c r="AR235" s="37">
        <f t="shared" si="80"/>
        <v>1</v>
      </c>
      <c r="AS235" s="38">
        <f t="shared" si="97"/>
        <v>0.73333333333333328</v>
      </c>
      <c r="AT235" s="38">
        <f t="shared" si="98"/>
        <v>0.99747474747474751</v>
      </c>
      <c r="AU235" s="27">
        <f t="shared" si="83"/>
        <v>0.73148148148148151</v>
      </c>
    </row>
    <row r="236" spans="1:47" s="1" customFormat="1" ht="23.1" customHeight="1" x14ac:dyDescent="0.25">
      <c r="A236" s="109">
        <v>46039</v>
      </c>
      <c r="B236" s="47" t="s">
        <v>49</v>
      </c>
      <c r="C236" s="90" t="s">
        <v>51</v>
      </c>
      <c r="D236" s="47" t="s">
        <v>172</v>
      </c>
      <c r="E236" s="48">
        <v>98992</v>
      </c>
      <c r="F236" s="48" t="s">
        <v>175</v>
      </c>
      <c r="G236" s="48" t="s">
        <v>87</v>
      </c>
      <c r="H236" s="30">
        <v>13562</v>
      </c>
      <c r="I236" s="30">
        <v>20</v>
      </c>
      <c r="J236" s="28">
        <f t="shared" si="106"/>
        <v>180</v>
      </c>
      <c r="K236" s="31">
        <v>0.58333333333333337</v>
      </c>
      <c r="L236" s="31">
        <v>0.9375</v>
      </c>
      <c r="M236" s="32">
        <f t="shared" si="99"/>
        <v>0.35416666666666663</v>
      </c>
      <c r="N236" s="36">
        <v>510</v>
      </c>
      <c r="O236" s="36">
        <f t="shared" si="100"/>
        <v>440</v>
      </c>
      <c r="P236" s="36">
        <f t="shared" si="101"/>
        <v>440</v>
      </c>
      <c r="Q236" s="15">
        <v>0</v>
      </c>
      <c r="R236" s="20">
        <v>0</v>
      </c>
      <c r="S236" s="16">
        <v>0</v>
      </c>
      <c r="T236" s="16">
        <v>0</v>
      </c>
      <c r="U236" s="20">
        <v>0</v>
      </c>
      <c r="V236" s="20">
        <v>0</v>
      </c>
      <c r="W236" s="20">
        <v>0</v>
      </c>
      <c r="X236" s="20">
        <v>0</v>
      </c>
      <c r="Y236" s="20">
        <v>0</v>
      </c>
      <c r="Z236" s="20">
        <v>0</v>
      </c>
      <c r="AA236" s="20">
        <v>0</v>
      </c>
      <c r="AB236" s="20">
        <v>0</v>
      </c>
      <c r="AC236" s="15">
        <f t="shared" si="105"/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30</v>
      </c>
      <c r="AJ236" s="15">
        <v>10</v>
      </c>
      <c r="AK236" s="15">
        <v>30</v>
      </c>
      <c r="AL236" s="15">
        <f t="shared" si="104"/>
        <v>70</v>
      </c>
      <c r="AM236" s="29">
        <f t="shared" si="96"/>
        <v>1320</v>
      </c>
      <c r="AN236" s="19">
        <v>1092</v>
      </c>
      <c r="AO236" s="21">
        <v>0</v>
      </c>
      <c r="AP236" s="22">
        <v>0</v>
      </c>
      <c r="AQ236" s="26">
        <f t="shared" si="60"/>
        <v>1092</v>
      </c>
      <c r="AR236" s="37">
        <f t="shared" si="80"/>
        <v>1</v>
      </c>
      <c r="AS236" s="38">
        <f t="shared" si="97"/>
        <v>0.82727272727272727</v>
      </c>
      <c r="AT236" s="38">
        <f t="shared" si="98"/>
        <v>1</v>
      </c>
      <c r="AU236" s="27">
        <f t="shared" si="83"/>
        <v>0.82727272727272727</v>
      </c>
    </row>
    <row r="237" spans="1:47" s="1" customFormat="1" ht="23.1" customHeight="1" x14ac:dyDescent="0.25">
      <c r="A237" s="109">
        <v>46039</v>
      </c>
      <c r="B237" s="47" t="s">
        <v>49</v>
      </c>
      <c r="C237" s="90" t="s">
        <v>51</v>
      </c>
      <c r="D237" s="47" t="s">
        <v>124</v>
      </c>
      <c r="E237" s="48">
        <v>98992</v>
      </c>
      <c r="F237" s="48" t="s">
        <v>215</v>
      </c>
      <c r="G237" s="48" t="s">
        <v>125</v>
      </c>
      <c r="H237" s="30">
        <v>14972</v>
      </c>
      <c r="I237" s="30">
        <v>32</v>
      </c>
      <c r="J237" s="28">
        <f t="shared" si="106"/>
        <v>112.5</v>
      </c>
      <c r="K237" s="31">
        <v>0.58333333333333337</v>
      </c>
      <c r="L237" s="31">
        <v>0.9375</v>
      </c>
      <c r="M237" s="32">
        <f t="shared" si="99"/>
        <v>0.35416666666666663</v>
      </c>
      <c r="N237" s="36">
        <v>510</v>
      </c>
      <c r="O237" s="36">
        <f t="shared" si="100"/>
        <v>260</v>
      </c>
      <c r="P237" s="36">
        <f t="shared" si="101"/>
        <v>260</v>
      </c>
      <c r="Q237" s="15">
        <v>0</v>
      </c>
      <c r="R237" s="20">
        <v>0</v>
      </c>
      <c r="S237" s="16">
        <v>0</v>
      </c>
      <c r="T237" s="16">
        <v>0</v>
      </c>
      <c r="U237" s="20">
        <v>0</v>
      </c>
      <c r="V237" s="20">
        <v>0</v>
      </c>
      <c r="W237" s="20">
        <v>0</v>
      </c>
      <c r="X237" s="20">
        <v>0</v>
      </c>
      <c r="Y237" s="20">
        <v>0</v>
      </c>
      <c r="Z237" s="20">
        <v>0</v>
      </c>
      <c r="AA237" s="20">
        <v>0</v>
      </c>
      <c r="AB237" s="20">
        <v>0</v>
      </c>
      <c r="AC237" s="15">
        <f t="shared" si="105"/>
        <v>0</v>
      </c>
      <c r="AD237" s="15">
        <v>0</v>
      </c>
      <c r="AE237" s="15">
        <v>0</v>
      </c>
      <c r="AF237" s="15">
        <v>0</v>
      </c>
      <c r="AG237" s="15">
        <v>180</v>
      </c>
      <c r="AH237" s="15">
        <v>0</v>
      </c>
      <c r="AI237" s="15">
        <v>30</v>
      </c>
      <c r="AJ237" s="15">
        <v>10</v>
      </c>
      <c r="AK237" s="15">
        <v>30</v>
      </c>
      <c r="AL237" s="15">
        <f t="shared" si="104"/>
        <v>250</v>
      </c>
      <c r="AM237" s="29">
        <f t="shared" si="96"/>
        <v>487.5</v>
      </c>
      <c r="AN237" s="19">
        <v>350</v>
      </c>
      <c r="AO237" s="21">
        <v>0</v>
      </c>
      <c r="AP237" s="22">
        <v>2</v>
      </c>
      <c r="AQ237" s="26">
        <f t="shared" si="60"/>
        <v>348</v>
      </c>
      <c r="AR237" s="37">
        <f t="shared" si="80"/>
        <v>1</v>
      </c>
      <c r="AS237" s="38">
        <f t="shared" si="97"/>
        <v>0.71794871794871795</v>
      </c>
      <c r="AT237" s="38">
        <f t="shared" si="98"/>
        <v>0.99428571428571433</v>
      </c>
      <c r="AU237" s="27">
        <f t="shared" si="83"/>
        <v>0.71384615384615391</v>
      </c>
    </row>
    <row r="238" spans="1:47" s="1" customFormat="1" ht="23.1" customHeight="1" x14ac:dyDescent="0.25">
      <c r="A238" s="109">
        <v>46039</v>
      </c>
      <c r="B238" s="47" t="s">
        <v>49</v>
      </c>
      <c r="C238" s="90" t="s">
        <v>51</v>
      </c>
      <c r="D238" s="47" t="s">
        <v>122</v>
      </c>
      <c r="E238" s="48">
        <v>98992</v>
      </c>
      <c r="F238" s="48" t="s">
        <v>169</v>
      </c>
      <c r="G238" s="48" t="s">
        <v>125</v>
      </c>
      <c r="H238" s="30">
        <v>14957</v>
      </c>
      <c r="I238" s="30">
        <v>32</v>
      </c>
      <c r="J238" s="28">
        <f t="shared" si="106"/>
        <v>112.5</v>
      </c>
      <c r="K238" s="31">
        <v>0.58333333333333337</v>
      </c>
      <c r="L238" s="31">
        <v>0.9375</v>
      </c>
      <c r="M238" s="32">
        <f t="shared" si="99"/>
        <v>0.35416666666666663</v>
      </c>
      <c r="N238" s="36">
        <v>510</v>
      </c>
      <c r="O238" s="36">
        <f t="shared" si="100"/>
        <v>320</v>
      </c>
      <c r="P238" s="36">
        <f t="shared" si="101"/>
        <v>320</v>
      </c>
      <c r="Q238" s="15">
        <v>0</v>
      </c>
      <c r="R238" s="20">
        <v>0</v>
      </c>
      <c r="S238" s="16">
        <v>0</v>
      </c>
      <c r="T238" s="16">
        <v>0</v>
      </c>
      <c r="U238" s="20">
        <v>0</v>
      </c>
      <c r="V238" s="20">
        <v>0</v>
      </c>
      <c r="W238" s="20">
        <v>0</v>
      </c>
      <c r="X238" s="20">
        <v>0</v>
      </c>
      <c r="Y238" s="20">
        <v>0</v>
      </c>
      <c r="Z238" s="20">
        <v>0</v>
      </c>
      <c r="AA238" s="20">
        <v>0</v>
      </c>
      <c r="AB238" s="20">
        <v>0</v>
      </c>
      <c r="AC238" s="15">
        <f t="shared" si="105"/>
        <v>0</v>
      </c>
      <c r="AD238" s="15">
        <v>0</v>
      </c>
      <c r="AE238" s="15">
        <v>0</v>
      </c>
      <c r="AF238" s="15">
        <v>0</v>
      </c>
      <c r="AG238" s="15">
        <v>120</v>
      </c>
      <c r="AH238" s="15">
        <v>0</v>
      </c>
      <c r="AI238" s="15">
        <v>30</v>
      </c>
      <c r="AJ238" s="15">
        <v>10</v>
      </c>
      <c r="AK238" s="15">
        <v>30</v>
      </c>
      <c r="AL238" s="15">
        <f t="shared" si="104"/>
        <v>190</v>
      </c>
      <c r="AM238" s="29">
        <f t="shared" si="96"/>
        <v>600</v>
      </c>
      <c r="AN238" s="19">
        <v>515</v>
      </c>
      <c r="AO238" s="21">
        <v>0</v>
      </c>
      <c r="AP238" s="22">
        <v>1</v>
      </c>
      <c r="AQ238" s="26">
        <f t="shared" si="60"/>
        <v>514</v>
      </c>
      <c r="AR238" s="37">
        <f t="shared" si="80"/>
        <v>1</v>
      </c>
      <c r="AS238" s="38">
        <f t="shared" si="97"/>
        <v>0.85833333333333328</v>
      </c>
      <c r="AT238" s="38">
        <f t="shared" si="98"/>
        <v>0.99805825242718449</v>
      </c>
      <c r="AU238" s="27">
        <f t="shared" si="83"/>
        <v>0.85666666666666669</v>
      </c>
    </row>
    <row r="239" spans="1:47" s="1" customFormat="1" ht="23.1" customHeight="1" x14ac:dyDescent="0.25">
      <c r="A239" s="109">
        <v>46039</v>
      </c>
      <c r="B239" s="47" t="s">
        <v>49</v>
      </c>
      <c r="C239" s="90" t="s">
        <v>51</v>
      </c>
      <c r="D239" s="47" t="s">
        <v>128</v>
      </c>
      <c r="E239" s="48">
        <v>98992</v>
      </c>
      <c r="F239" s="48" t="s">
        <v>53</v>
      </c>
      <c r="G239" s="48" t="s">
        <v>125</v>
      </c>
      <c r="H239" s="30">
        <v>15573</v>
      </c>
      <c r="I239" s="30">
        <v>32</v>
      </c>
      <c r="J239" s="28">
        <f t="shared" si="106"/>
        <v>112.5</v>
      </c>
      <c r="K239" s="31">
        <v>0.58333333333333337</v>
      </c>
      <c r="L239" s="31">
        <v>0.9375</v>
      </c>
      <c r="M239" s="32">
        <f t="shared" si="99"/>
        <v>0.35416666666666663</v>
      </c>
      <c r="N239" s="36">
        <v>510</v>
      </c>
      <c r="O239" s="36">
        <f t="shared" si="100"/>
        <v>380</v>
      </c>
      <c r="P239" s="36">
        <f t="shared" si="101"/>
        <v>380</v>
      </c>
      <c r="Q239" s="15">
        <v>0</v>
      </c>
      <c r="R239" s="20">
        <v>0</v>
      </c>
      <c r="S239" s="16">
        <v>0</v>
      </c>
      <c r="T239" s="16">
        <v>0</v>
      </c>
      <c r="U239" s="20">
        <v>0</v>
      </c>
      <c r="V239" s="20">
        <v>0</v>
      </c>
      <c r="W239" s="20">
        <v>0</v>
      </c>
      <c r="X239" s="20">
        <v>0</v>
      </c>
      <c r="Y239" s="20">
        <v>0</v>
      </c>
      <c r="Z239" s="20">
        <v>0</v>
      </c>
      <c r="AA239" s="20">
        <v>0</v>
      </c>
      <c r="AB239" s="20">
        <v>0</v>
      </c>
      <c r="AC239" s="15">
        <f t="shared" si="105"/>
        <v>0</v>
      </c>
      <c r="AD239" s="15">
        <v>0</v>
      </c>
      <c r="AE239" s="15">
        <v>0</v>
      </c>
      <c r="AF239" s="15">
        <v>0</v>
      </c>
      <c r="AG239" s="15">
        <v>60</v>
      </c>
      <c r="AH239" s="15">
        <v>0</v>
      </c>
      <c r="AI239" s="15">
        <v>30</v>
      </c>
      <c r="AJ239" s="15">
        <v>10</v>
      </c>
      <c r="AK239" s="15">
        <v>30</v>
      </c>
      <c r="AL239" s="15">
        <f t="shared" si="104"/>
        <v>130</v>
      </c>
      <c r="AM239" s="29">
        <f t="shared" si="96"/>
        <v>712.5</v>
      </c>
      <c r="AN239" s="19">
        <v>681</v>
      </c>
      <c r="AO239" s="21">
        <v>0</v>
      </c>
      <c r="AP239" s="22">
        <v>1</v>
      </c>
      <c r="AQ239" s="26">
        <f t="shared" si="60"/>
        <v>680</v>
      </c>
      <c r="AR239" s="37">
        <f t="shared" si="80"/>
        <v>1</v>
      </c>
      <c r="AS239" s="38">
        <f t="shared" si="97"/>
        <v>0.95578947368421052</v>
      </c>
      <c r="AT239" s="38">
        <f t="shared" si="98"/>
        <v>0.99853157121879588</v>
      </c>
      <c r="AU239" s="27">
        <f t="shared" si="83"/>
        <v>0.95438596491228067</v>
      </c>
    </row>
    <row r="240" spans="1:47" s="1" customFormat="1" ht="23.1" customHeight="1" x14ac:dyDescent="0.25">
      <c r="A240" s="109">
        <v>46039</v>
      </c>
      <c r="B240" s="47" t="s">
        <v>49</v>
      </c>
      <c r="C240" s="90" t="s">
        <v>51</v>
      </c>
      <c r="D240" s="47" t="s">
        <v>170</v>
      </c>
      <c r="E240" s="48">
        <v>98992</v>
      </c>
      <c r="F240" s="48" t="s">
        <v>176</v>
      </c>
      <c r="G240" s="48" t="s">
        <v>125</v>
      </c>
      <c r="H240" s="30">
        <v>15589</v>
      </c>
      <c r="I240" s="30">
        <v>20</v>
      </c>
      <c r="J240" s="28">
        <f t="shared" si="106"/>
        <v>180</v>
      </c>
      <c r="K240" s="31">
        <v>0.58333333333333337</v>
      </c>
      <c r="L240" s="31">
        <v>0.9375</v>
      </c>
      <c r="M240" s="32">
        <f t="shared" si="99"/>
        <v>0.35416666666666663</v>
      </c>
      <c r="N240" s="36">
        <v>510</v>
      </c>
      <c r="O240" s="36">
        <f t="shared" si="100"/>
        <v>260</v>
      </c>
      <c r="P240" s="36">
        <f t="shared" si="101"/>
        <v>260</v>
      </c>
      <c r="Q240" s="15">
        <v>0</v>
      </c>
      <c r="R240" s="20">
        <v>0</v>
      </c>
      <c r="S240" s="16">
        <v>0</v>
      </c>
      <c r="T240" s="16">
        <v>0</v>
      </c>
      <c r="U240" s="20">
        <v>0</v>
      </c>
      <c r="V240" s="20">
        <v>0</v>
      </c>
      <c r="W240" s="20">
        <v>0</v>
      </c>
      <c r="X240" s="20">
        <v>0</v>
      </c>
      <c r="Y240" s="20">
        <v>0</v>
      </c>
      <c r="Z240" s="20">
        <v>0</v>
      </c>
      <c r="AA240" s="20">
        <v>0</v>
      </c>
      <c r="AB240" s="20">
        <v>0</v>
      </c>
      <c r="AC240" s="15">
        <f t="shared" si="105"/>
        <v>0</v>
      </c>
      <c r="AD240" s="15">
        <v>0</v>
      </c>
      <c r="AE240" s="15">
        <v>0</v>
      </c>
      <c r="AF240" s="15">
        <v>0</v>
      </c>
      <c r="AG240" s="15">
        <v>180</v>
      </c>
      <c r="AH240" s="15">
        <v>0</v>
      </c>
      <c r="AI240" s="15">
        <v>30</v>
      </c>
      <c r="AJ240" s="15">
        <v>10</v>
      </c>
      <c r="AK240" s="15">
        <v>30</v>
      </c>
      <c r="AL240" s="15">
        <f t="shared" si="104"/>
        <v>250</v>
      </c>
      <c r="AM240" s="29">
        <f t="shared" si="96"/>
        <v>780</v>
      </c>
      <c r="AN240" s="19">
        <v>604</v>
      </c>
      <c r="AO240" s="21">
        <v>0</v>
      </c>
      <c r="AP240" s="22">
        <v>1</v>
      </c>
      <c r="AQ240" s="26">
        <f t="shared" si="60"/>
        <v>603</v>
      </c>
      <c r="AR240" s="37">
        <f t="shared" si="80"/>
        <v>1</v>
      </c>
      <c r="AS240" s="38">
        <f t="shared" si="97"/>
        <v>0.77435897435897438</v>
      </c>
      <c r="AT240" s="38">
        <f t="shared" si="98"/>
        <v>0.9983443708609272</v>
      </c>
      <c r="AU240" s="27">
        <f t="shared" si="83"/>
        <v>0.77307692307692311</v>
      </c>
    </row>
    <row r="241" spans="1:47" s="1" customFormat="1" ht="23.1" customHeight="1" x14ac:dyDescent="0.25">
      <c r="A241" s="109">
        <v>46039</v>
      </c>
      <c r="B241" s="47" t="s">
        <v>49</v>
      </c>
      <c r="C241" s="90" t="s">
        <v>51</v>
      </c>
      <c r="D241" s="47" t="s">
        <v>127</v>
      </c>
      <c r="E241" s="48">
        <v>98992</v>
      </c>
      <c r="F241" s="48" t="s">
        <v>175</v>
      </c>
      <c r="G241" s="48" t="s">
        <v>125</v>
      </c>
      <c r="H241" s="30">
        <v>15882</v>
      </c>
      <c r="I241" s="30">
        <v>20</v>
      </c>
      <c r="J241" s="28">
        <f t="shared" si="106"/>
        <v>180</v>
      </c>
      <c r="K241" s="31">
        <v>0.58333333333333337</v>
      </c>
      <c r="L241" s="31">
        <v>0.9375</v>
      </c>
      <c r="M241" s="32">
        <f t="shared" si="99"/>
        <v>0.35416666666666663</v>
      </c>
      <c r="N241" s="36">
        <v>510</v>
      </c>
      <c r="O241" s="36">
        <f t="shared" si="100"/>
        <v>320</v>
      </c>
      <c r="P241" s="36">
        <f t="shared" si="101"/>
        <v>320</v>
      </c>
      <c r="Q241" s="15">
        <v>0</v>
      </c>
      <c r="R241" s="20">
        <v>0</v>
      </c>
      <c r="S241" s="16">
        <v>0</v>
      </c>
      <c r="T241" s="16">
        <v>0</v>
      </c>
      <c r="U241" s="20">
        <v>0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15">
        <f t="shared" si="105"/>
        <v>0</v>
      </c>
      <c r="AD241" s="15">
        <v>0</v>
      </c>
      <c r="AE241" s="15">
        <v>0</v>
      </c>
      <c r="AF241" s="15">
        <v>0</v>
      </c>
      <c r="AG241" s="15">
        <v>120</v>
      </c>
      <c r="AH241" s="15">
        <v>0</v>
      </c>
      <c r="AI241" s="15">
        <v>30</v>
      </c>
      <c r="AJ241" s="15">
        <v>10</v>
      </c>
      <c r="AK241" s="15">
        <v>30</v>
      </c>
      <c r="AL241" s="15">
        <f t="shared" si="104"/>
        <v>190</v>
      </c>
      <c r="AM241" s="29">
        <f t="shared" si="96"/>
        <v>960</v>
      </c>
      <c r="AN241" s="19">
        <v>680</v>
      </c>
      <c r="AO241" s="21">
        <v>0</v>
      </c>
      <c r="AP241" s="22">
        <v>0</v>
      </c>
      <c r="AQ241" s="26">
        <f t="shared" si="60"/>
        <v>680</v>
      </c>
      <c r="AR241" s="37">
        <f t="shared" si="80"/>
        <v>1</v>
      </c>
      <c r="AS241" s="38">
        <f t="shared" si="97"/>
        <v>0.70833333333333337</v>
      </c>
      <c r="AT241" s="38">
        <f t="shared" si="98"/>
        <v>1</v>
      </c>
      <c r="AU241" s="27">
        <f t="shared" si="83"/>
        <v>0.70833333333333337</v>
      </c>
    </row>
    <row r="242" spans="1:47" s="1" customFormat="1" ht="23.1" customHeight="1" x14ac:dyDescent="0.25">
      <c r="A242" s="109">
        <v>46040</v>
      </c>
      <c r="B242" s="47" t="s">
        <v>49</v>
      </c>
      <c r="C242" s="78" t="s">
        <v>21</v>
      </c>
      <c r="D242" s="47" t="s">
        <v>94</v>
      </c>
      <c r="E242" s="48">
        <v>98992</v>
      </c>
      <c r="F242" s="48" t="s">
        <v>67</v>
      </c>
      <c r="G242" s="48" t="s">
        <v>174</v>
      </c>
      <c r="H242" s="30">
        <v>13562</v>
      </c>
      <c r="I242" s="30">
        <v>24</v>
      </c>
      <c r="J242" s="28">
        <f t="shared" ref="J242:J250" si="107">3600/I242</f>
        <v>150</v>
      </c>
      <c r="K242" s="31">
        <v>0.25</v>
      </c>
      <c r="L242" s="31">
        <v>0.60416666666666696</v>
      </c>
      <c r="M242" s="32">
        <f t="shared" si="99"/>
        <v>0.35416666666666696</v>
      </c>
      <c r="N242" s="36">
        <v>510</v>
      </c>
      <c r="O242" s="36">
        <f t="shared" si="100"/>
        <v>440</v>
      </c>
      <c r="P242" s="36">
        <f t="shared" si="101"/>
        <v>440</v>
      </c>
      <c r="Q242" s="15">
        <v>0</v>
      </c>
      <c r="R242" s="20">
        <v>0</v>
      </c>
      <c r="S242" s="16">
        <v>0</v>
      </c>
      <c r="T242" s="16">
        <v>0</v>
      </c>
      <c r="U242" s="20">
        <v>0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15">
        <f t="shared" si="105"/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30</v>
      </c>
      <c r="AJ242" s="15">
        <v>10</v>
      </c>
      <c r="AK242" s="15">
        <v>30</v>
      </c>
      <c r="AL242" s="15">
        <f t="shared" si="104"/>
        <v>70</v>
      </c>
      <c r="AM242" s="29">
        <f t="shared" si="96"/>
        <v>1100</v>
      </c>
      <c r="AN242" s="19">
        <v>980</v>
      </c>
      <c r="AO242" s="21">
        <v>0</v>
      </c>
      <c r="AP242" s="22">
        <v>20</v>
      </c>
      <c r="AQ242" s="26">
        <f t="shared" si="60"/>
        <v>960</v>
      </c>
      <c r="AR242" s="37">
        <f t="shared" si="80"/>
        <v>1</v>
      </c>
      <c r="AS242" s="38">
        <f t="shared" si="97"/>
        <v>0.89090909090909087</v>
      </c>
      <c r="AT242" s="38">
        <f t="shared" si="98"/>
        <v>0.97959183673469385</v>
      </c>
      <c r="AU242" s="27">
        <f t="shared" si="83"/>
        <v>0.87272727272727268</v>
      </c>
    </row>
    <row r="243" spans="1:47" s="1" customFormat="1" ht="23.1" customHeight="1" x14ac:dyDescent="0.25">
      <c r="A243" s="109">
        <v>46040</v>
      </c>
      <c r="B243" s="47" t="s">
        <v>49</v>
      </c>
      <c r="C243" s="78" t="s">
        <v>21</v>
      </c>
      <c r="D243" s="47" t="s">
        <v>88</v>
      </c>
      <c r="E243" s="48">
        <v>98992</v>
      </c>
      <c r="F243" s="48" t="s">
        <v>126</v>
      </c>
      <c r="G243" s="48" t="s">
        <v>87</v>
      </c>
      <c r="H243" s="30">
        <v>11682</v>
      </c>
      <c r="I243" s="30">
        <v>32</v>
      </c>
      <c r="J243" s="28">
        <f t="shared" si="107"/>
        <v>112.5</v>
      </c>
      <c r="K243" s="31">
        <v>0.25</v>
      </c>
      <c r="L243" s="31">
        <v>0.60416666666666696</v>
      </c>
      <c r="M243" s="32">
        <f t="shared" si="99"/>
        <v>0.35416666666666696</v>
      </c>
      <c r="N243" s="36">
        <v>510</v>
      </c>
      <c r="O243" s="36">
        <f t="shared" si="100"/>
        <v>440</v>
      </c>
      <c r="P243" s="36">
        <f t="shared" si="101"/>
        <v>440</v>
      </c>
      <c r="Q243" s="15">
        <v>0</v>
      </c>
      <c r="R243" s="20">
        <v>0</v>
      </c>
      <c r="S243" s="16">
        <v>0</v>
      </c>
      <c r="T243" s="16">
        <v>0</v>
      </c>
      <c r="U243" s="20">
        <v>0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15">
        <f t="shared" si="105"/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30</v>
      </c>
      <c r="AJ243" s="15">
        <v>10</v>
      </c>
      <c r="AK243" s="15">
        <v>30</v>
      </c>
      <c r="AL243" s="15">
        <f t="shared" si="104"/>
        <v>70</v>
      </c>
      <c r="AM243" s="29">
        <f t="shared" si="96"/>
        <v>825</v>
      </c>
      <c r="AN243" s="19">
        <v>705</v>
      </c>
      <c r="AO243" s="21">
        <v>0</v>
      </c>
      <c r="AP243" s="22">
        <v>1</v>
      </c>
      <c r="AQ243" s="26">
        <f t="shared" si="60"/>
        <v>704</v>
      </c>
      <c r="AR243" s="37">
        <f t="shared" si="80"/>
        <v>1</v>
      </c>
      <c r="AS243" s="38">
        <f t="shared" si="97"/>
        <v>0.8545454545454545</v>
      </c>
      <c r="AT243" s="38">
        <f t="shared" si="98"/>
        <v>0.99858156028368794</v>
      </c>
      <c r="AU243" s="27">
        <f t="shared" si="83"/>
        <v>0.85333333333333328</v>
      </c>
    </row>
    <row r="244" spans="1:47" s="1" customFormat="1" ht="23.1" customHeight="1" x14ac:dyDescent="0.25">
      <c r="A244" s="109">
        <v>46040</v>
      </c>
      <c r="B244" s="47" t="s">
        <v>49</v>
      </c>
      <c r="C244" s="78" t="s">
        <v>21</v>
      </c>
      <c r="D244" s="47" t="s">
        <v>89</v>
      </c>
      <c r="E244" s="48">
        <v>98992</v>
      </c>
      <c r="F244" s="48" t="s">
        <v>169</v>
      </c>
      <c r="G244" s="48" t="s">
        <v>87</v>
      </c>
      <c r="H244" s="30">
        <v>16219</v>
      </c>
      <c r="I244" s="30">
        <v>32</v>
      </c>
      <c r="J244" s="28">
        <f t="shared" si="107"/>
        <v>112.5</v>
      </c>
      <c r="K244" s="31">
        <v>0.25</v>
      </c>
      <c r="L244" s="31">
        <v>0.60416666666666696</v>
      </c>
      <c r="M244" s="32">
        <f t="shared" si="99"/>
        <v>0.35416666666666696</v>
      </c>
      <c r="N244" s="36">
        <v>510</v>
      </c>
      <c r="O244" s="36">
        <f t="shared" si="100"/>
        <v>440</v>
      </c>
      <c r="P244" s="36">
        <f t="shared" si="101"/>
        <v>440</v>
      </c>
      <c r="Q244" s="15">
        <v>0</v>
      </c>
      <c r="R244" s="20">
        <v>0</v>
      </c>
      <c r="S244" s="16">
        <v>0</v>
      </c>
      <c r="T244" s="16">
        <v>0</v>
      </c>
      <c r="U244" s="20">
        <v>0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15">
        <f t="shared" si="105"/>
        <v>0</v>
      </c>
      <c r="AD244" s="15">
        <v>0</v>
      </c>
      <c r="AE244" s="15">
        <v>0</v>
      </c>
      <c r="AF244" s="15">
        <v>0</v>
      </c>
      <c r="AG244" s="15">
        <v>0</v>
      </c>
      <c r="AH244" s="15">
        <v>0</v>
      </c>
      <c r="AI244" s="15">
        <v>30</v>
      </c>
      <c r="AJ244" s="15">
        <v>10</v>
      </c>
      <c r="AK244" s="15">
        <v>30</v>
      </c>
      <c r="AL244" s="15">
        <f t="shared" si="104"/>
        <v>70</v>
      </c>
      <c r="AM244" s="29">
        <f t="shared" si="96"/>
        <v>825</v>
      </c>
      <c r="AN244" s="19">
        <v>528</v>
      </c>
      <c r="AO244" s="21">
        <v>0</v>
      </c>
      <c r="AP244" s="22">
        <v>1</v>
      </c>
      <c r="AQ244" s="26">
        <f t="shared" si="60"/>
        <v>527</v>
      </c>
      <c r="AR244" s="37">
        <f t="shared" ref="AR244:AR245" si="108">O244/P244</f>
        <v>1</v>
      </c>
      <c r="AS244" s="38">
        <f t="shared" ref="AS244:AS245" si="109">AN244/AM244</f>
        <v>0.64</v>
      </c>
      <c r="AT244" s="38">
        <f t="shared" ref="AT244:AT245" si="110">AQ244/AN244</f>
        <v>0.99810606060606055</v>
      </c>
      <c r="AU244" s="27">
        <f t="shared" ref="AU244:AU245" si="111">AR244*AS244*AT244</f>
        <v>0.63878787878787879</v>
      </c>
    </row>
    <row r="245" spans="1:47" s="1" customFormat="1" ht="23.1" customHeight="1" x14ac:dyDescent="0.25">
      <c r="A245" s="109">
        <v>46040</v>
      </c>
      <c r="B245" s="47" t="s">
        <v>49</v>
      </c>
      <c r="C245" s="78" t="s">
        <v>21</v>
      </c>
      <c r="D245" s="47" t="s">
        <v>52</v>
      </c>
      <c r="E245" s="48">
        <v>98992</v>
      </c>
      <c r="F245" s="48" t="s">
        <v>53</v>
      </c>
      <c r="G245" s="48" t="s">
        <v>87</v>
      </c>
      <c r="H245" s="30">
        <v>16000</v>
      </c>
      <c r="I245" s="30">
        <v>32</v>
      </c>
      <c r="J245" s="28">
        <f t="shared" si="107"/>
        <v>112.5</v>
      </c>
      <c r="K245" s="31">
        <v>0.25</v>
      </c>
      <c r="L245" s="31">
        <v>0.60416666666666696</v>
      </c>
      <c r="M245" s="32">
        <f t="shared" si="99"/>
        <v>0.35416666666666696</v>
      </c>
      <c r="N245" s="36">
        <v>510</v>
      </c>
      <c r="O245" s="36">
        <f t="shared" si="100"/>
        <v>440</v>
      </c>
      <c r="P245" s="36">
        <f t="shared" si="101"/>
        <v>440</v>
      </c>
      <c r="Q245" s="15">
        <v>0</v>
      </c>
      <c r="R245" s="20">
        <v>0</v>
      </c>
      <c r="S245" s="16">
        <v>0</v>
      </c>
      <c r="T245" s="16">
        <v>0</v>
      </c>
      <c r="U245" s="20">
        <v>0</v>
      </c>
      <c r="V245" s="20">
        <v>0</v>
      </c>
      <c r="W245" s="20">
        <v>0</v>
      </c>
      <c r="X245" s="20">
        <v>0</v>
      </c>
      <c r="Y245" s="20">
        <v>0</v>
      </c>
      <c r="Z245" s="20">
        <v>0</v>
      </c>
      <c r="AA245" s="20">
        <v>0</v>
      </c>
      <c r="AB245" s="20">
        <v>0</v>
      </c>
      <c r="AC245" s="15">
        <f t="shared" si="105"/>
        <v>0</v>
      </c>
      <c r="AD245" s="15">
        <v>0</v>
      </c>
      <c r="AE245" s="15">
        <v>0</v>
      </c>
      <c r="AF245" s="15">
        <v>0</v>
      </c>
      <c r="AG245" s="15">
        <v>0</v>
      </c>
      <c r="AH245" s="15">
        <v>0</v>
      </c>
      <c r="AI245" s="15">
        <v>30</v>
      </c>
      <c r="AJ245" s="15">
        <v>10</v>
      </c>
      <c r="AK245" s="15">
        <v>30</v>
      </c>
      <c r="AL245" s="15">
        <f t="shared" si="104"/>
        <v>70</v>
      </c>
      <c r="AM245" s="29">
        <f t="shared" si="96"/>
        <v>825</v>
      </c>
      <c r="AN245" s="19">
        <v>672</v>
      </c>
      <c r="AO245" s="21">
        <v>0</v>
      </c>
      <c r="AP245" s="22">
        <v>1</v>
      </c>
      <c r="AQ245" s="26">
        <f t="shared" si="60"/>
        <v>671</v>
      </c>
      <c r="AR245" s="37">
        <f t="shared" si="108"/>
        <v>1</v>
      </c>
      <c r="AS245" s="38">
        <f t="shared" si="109"/>
        <v>0.81454545454545457</v>
      </c>
      <c r="AT245" s="38">
        <f t="shared" si="110"/>
        <v>0.99851190476190477</v>
      </c>
      <c r="AU245" s="27">
        <f t="shared" si="111"/>
        <v>0.81333333333333335</v>
      </c>
    </row>
    <row r="246" spans="1:47" s="1" customFormat="1" ht="23.1" customHeight="1" x14ac:dyDescent="0.25">
      <c r="A246" s="109">
        <v>46040</v>
      </c>
      <c r="B246" s="47" t="s">
        <v>49</v>
      </c>
      <c r="C246" s="78" t="s">
        <v>21</v>
      </c>
      <c r="D246" s="47" t="s">
        <v>124</v>
      </c>
      <c r="E246" s="48">
        <v>98992</v>
      </c>
      <c r="F246" s="48" t="s">
        <v>215</v>
      </c>
      <c r="G246" s="48" t="s">
        <v>125</v>
      </c>
      <c r="H246" s="30">
        <v>13105</v>
      </c>
      <c r="I246" s="30">
        <v>32</v>
      </c>
      <c r="J246" s="28">
        <f t="shared" si="107"/>
        <v>112.5</v>
      </c>
      <c r="K246" s="31">
        <v>0.25</v>
      </c>
      <c r="L246" s="31">
        <v>0.60416666666666696</v>
      </c>
      <c r="M246" s="32">
        <f t="shared" si="99"/>
        <v>0.35416666666666696</v>
      </c>
      <c r="N246" s="36">
        <v>510</v>
      </c>
      <c r="O246" s="36">
        <f t="shared" si="100"/>
        <v>440</v>
      </c>
      <c r="P246" s="36">
        <f t="shared" si="101"/>
        <v>440</v>
      </c>
      <c r="Q246" s="15">
        <v>0</v>
      </c>
      <c r="R246" s="20">
        <v>0</v>
      </c>
      <c r="S246" s="16">
        <v>0</v>
      </c>
      <c r="T246" s="16">
        <v>0</v>
      </c>
      <c r="U246" s="20">
        <v>0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15">
        <f t="shared" si="105"/>
        <v>0</v>
      </c>
      <c r="AD246" s="15">
        <v>0</v>
      </c>
      <c r="AE246" s="15">
        <v>0</v>
      </c>
      <c r="AF246" s="15">
        <v>0</v>
      </c>
      <c r="AG246" s="15">
        <v>0</v>
      </c>
      <c r="AH246" s="15">
        <v>0</v>
      </c>
      <c r="AI246" s="15">
        <v>30</v>
      </c>
      <c r="AJ246" s="15">
        <v>10</v>
      </c>
      <c r="AK246" s="15">
        <v>30</v>
      </c>
      <c r="AL246" s="15">
        <f t="shared" si="104"/>
        <v>70</v>
      </c>
      <c r="AM246" s="29">
        <f t="shared" si="96"/>
        <v>825</v>
      </c>
      <c r="AN246" s="19">
        <v>800</v>
      </c>
      <c r="AO246" s="21">
        <v>0</v>
      </c>
      <c r="AP246" s="22">
        <v>2</v>
      </c>
      <c r="AQ246" s="26">
        <f t="shared" ref="AQ246:AQ362" si="112">AN246-(AP246+AO246)</f>
        <v>798</v>
      </c>
      <c r="AR246" s="37">
        <f t="shared" ref="AR246:AR255" si="113">O246/P246</f>
        <v>1</v>
      </c>
      <c r="AS246" s="38">
        <f t="shared" ref="AS246:AS255" si="114">AN246/AM246</f>
        <v>0.96969696969696972</v>
      </c>
      <c r="AT246" s="38">
        <f t="shared" ref="AT246:AT255" si="115">AQ246/AN246</f>
        <v>0.99750000000000005</v>
      </c>
      <c r="AU246" s="27">
        <f t="shared" ref="AU246:AU255" si="116">AR246*AS246*AT246</f>
        <v>0.9672727272727274</v>
      </c>
    </row>
    <row r="247" spans="1:47" s="1" customFormat="1" ht="23.1" customHeight="1" x14ac:dyDescent="0.25">
      <c r="A247" s="109">
        <v>46040</v>
      </c>
      <c r="B247" s="47" t="s">
        <v>49</v>
      </c>
      <c r="C247" s="78" t="s">
        <v>21</v>
      </c>
      <c r="D247" s="47" t="s">
        <v>122</v>
      </c>
      <c r="E247" s="48">
        <v>98992</v>
      </c>
      <c r="F247" s="48" t="s">
        <v>169</v>
      </c>
      <c r="G247" s="48" t="s">
        <v>125</v>
      </c>
      <c r="H247" s="30">
        <v>14957</v>
      </c>
      <c r="I247" s="30">
        <v>32</v>
      </c>
      <c r="J247" s="28">
        <f t="shared" si="107"/>
        <v>112.5</v>
      </c>
      <c r="K247" s="31">
        <v>0.25</v>
      </c>
      <c r="L247" s="31">
        <v>0.60416666666666696</v>
      </c>
      <c r="M247" s="32">
        <f t="shared" si="99"/>
        <v>0.35416666666666696</v>
      </c>
      <c r="N247" s="36">
        <v>510</v>
      </c>
      <c r="O247" s="36">
        <f t="shared" si="100"/>
        <v>440</v>
      </c>
      <c r="P247" s="36">
        <f t="shared" si="101"/>
        <v>440</v>
      </c>
      <c r="Q247" s="15">
        <v>0</v>
      </c>
      <c r="R247" s="20">
        <v>0</v>
      </c>
      <c r="S247" s="16">
        <v>0</v>
      </c>
      <c r="T247" s="16">
        <v>0</v>
      </c>
      <c r="U247" s="20">
        <v>0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15">
        <f t="shared" si="105"/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30</v>
      </c>
      <c r="AJ247" s="15">
        <v>10</v>
      </c>
      <c r="AK247" s="15">
        <v>30</v>
      </c>
      <c r="AL247" s="15">
        <f t="shared" si="104"/>
        <v>70</v>
      </c>
      <c r="AM247" s="29">
        <f t="shared" si="96"/>
        <v>825</v>
      </c>
      <c r="AN247" s="19">
        <v>570</v>
      </c>
      <c r="AO247" s="21">
        <v>0</v>
      </c>
      <c r="AP247" s="22">
        <v>1</v>
      </c>
      <c r="AQ247" s="26">
        <f t="shared" si="112"/>
        <v>569</v>
      </c>
      <c r="AR247" s="37">
        <f t="shared" si="113"/>
        <v>1</v>
      </c>
      <c r="AS247" s="38">
        <f t="shared" si="114"/>
        <v>0.69090909090909092</v>
      </c>
      <c r="AT247" s="38">
        <f t="shared" si="115"/>
        <v>0.99824561403508771</v>
      </c>
      <c r="AU247" s="27">
        <f t="shared" si="116"/>
        <v>0.6896969696969697</v>
      </c>
    </row>
    <row r="248" spans="1:47" s="1" customFormat="1" ht="23.1" customHeight="1" x14ac:dyDescent="0.25">
      <c r="A248" s="109">
        <v>46040</v>
      </c>
      <c r="B248" s="47" t="s">
        <v>49</v>
      </c>
      <c r="C248" s="78" t="s">
        <v>21</v>
      </c>
      <c r="D248" s="47" t="s">
        <v>128</v>
      </c>
      <c r="E248" s="48">
        <v>98992</v>
      </c>
      <c r="F248" s="48" t="s">
        <v>53</v>
      </c>
      <c r="G248" s="48" t="s">
        <v>125</v>
      </c>
      <c r="H248" s="30">
        <v>15632</v>
      </c>
      <c r="I248" s="30">
        <v>32</v>
      </c>
      <c r="J248" s="28">
        <f t="shared" si="107"/>
        <v>112.5</v>
      </c>
      <c r="K248" s="31">
        <v>0.25</v>
      </c>
      <c r="L248" s="31">
        <v>0.60416666666666696</v>
      </c>
      <c r="M248" s="32">
        <f t="shared" si="99"/>
        <v>0.35416666666666696</v>
      </c>
      <c r="N248" s="36">
        <v>510</v>
      </c>
      <c r="O248" s="36">
        <f t="shared" si="100"/>
        <v>440</v>
      </c>
      <c r="P248" s="36">
        <f t="shared" si="101"/>
        <v>440</v>
      </c>
      <c r="Q248" s="15">
        <v>0</v>
      </c>
      <c r="R248" s="20">
        <v>0</v>
      </c>
      <c r="S248" s="16">
        <v>0</v>
      </c>
      <c r="T248" s="16">
        <v>0</v>
      </c>
      <c r="U248" s="20">
        <v>0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15">
        <f t="shared" si="105"/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30</v>
      </c>
      <c r="AJ248" s="15">
        <v>10</v>
      </c>
      <c r="AK248" s="15">
        <v>30</v>
      </c>
      <c r="AL248" s="15">
        <f t="shared" si="104"/>
        <v>70</v>
      </c>
      <c r="AM248" s="29">
        <f t="shared" si="96"/>
        <v>825</v>
      </c>
      <c r="AN248" s="19">
        <v>670</v>
      </c>
      <c r="AO248" s="21">
        <v>0</v>
      </c>
      <c r="AP248" s="22">
        <v>1</v>
      </c>
      <c r="AQ248" s="26">
        <f t="shared" si="112"/>
        <v>669</v>
      </c>
      <c r="AR248" s="37">
        <f t="shared" si="113"/>
        <v>1</v>
      </c>
      <c r="AS248" s="38">
        <f t="shared" si="114"/>
        <v>0.81212121212121213</v>
      </c>
      <c r="AT248" s="38">
        <f t="shared" si="115"/>
        <v>0.9985074626865672</v>
      </c>
      <c r="AU248" s="27">
        <f t="shared" si="116"/>
        <v>0.81090909090909091</v>
      </c>
    </row>
    <row r="249" spans="1:47" s="1" customFormat="1" ht="23.1" customHeight="1" x14ac:dyDescent="0.25">
      <c r="A249" s="109">
        <v>46040</v>
      </c>
      <c r="B249" s="47" t="s">
        <v>49</v>
      </c>
      <c r="C249" s="78" t="s">
        <v>21</v>
      </c>
      <c r="D249" s="47" t="s">
        <v>170</v>
      </c>
      <c r="E249" s="48">
        <v>98992</v>
      </c>
      <c r="F249" s="48" t="s">
        <v>176</v>
      </c>
      <c r="G249" s="48" t="s">
        <v>125</v>
      </c>
      <c r="H249" s="30">
        <v>15859</v>
      </c>
      <c r="I249" s="30">
        <v>20</v>
      </c>
      <c r="J249" s="28">
        <f t="shared" si="107"/>
        <v>180</v>
      </c>
      <c r="K249" s="31">
        <v>0.25</v>
      </c>
      <c r="L249" s="31">
        <v>0.60416666666666696</v>
      </c>
      <c r="M249" s="32">
        <f t="shared" si="99"/>
        <v>0.35416666666666696</v>
      </c>
      <c r="N249" s="36">
        <v>510</v>
      </c>
      <c r="O249" s="36">
        <f t="shared" si="100"/>
        <v>320</v>
      </c>
      <c r="P249" s="36">
        <f t="shared" si="101"/>
        <v>320</v>
      </c>
      <c r="Q249" s="15">
        <v>0</v>
      </c>
      <c r="R249" s="20">
        <v>0</v>
      </c>
      <c r="S249" s="16">
        <v>0</v>
      </c>
      <c r="T249" s="16">
        <v>0</v>
      </c>
      <c r="U249" s="20">
        <v>0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15">
        <f t="shared" si="105"/>
        <v>0</v>
      </c>
      <c r="AD249" s="15">
        <v>0</v>
      </c>
      <c r="AE249" s="15">
        <v>0</v>
      </c>
      <c r="AF249" s="15">
        <v>0</v>
      </c>
      <c r="AG249" s="15">
        <v>120</v>
      </c>
      <c r="AH249" s="15">
        <v>0</v>
      </c>
      <c r="AI249" s="15">
        <v>30</v>
      </c>
      <c r="AJ249" s="15">
        <v>10</v>
      </c>
      <c r="AK249" s="15">
        <v>30</v>
      </c>
      <c r="AL249" s="15">
        <f t="shared" si="104"/>
        <v>190</v>
      </c>
      <c r="AM249" s="29">
        <f t="shared" si="96"/>
        <v>960</v>
      </c>
      <c r="AN249" s="19">
        <v>735</v>
      </c>
      <c r="AO249" s="21">
        <v>0</v>
      </c>
      <c r="AP249" s="22">
        <v>0</v>
      </c>
      <c r="AQ249" s="26">
        <f t="shared" si="112"/>
        <v>735</v>
      </c>
      <c r="AR249" s="37">
        <f t="shared" si="113"/>
        <v>1</v>
      </c>
      <c r="AS249" s="38">
        <f t="shared" si="114"/>
        <v>0.765625</v>
      </c>
      <c r="AT249" s="38">
        <f t="shared" si="115"/>
        <v>1</v>
      </c>
      <c r="AU249" s="27">
        <f t="shared" si="116"/>
        <v>0.765625</v>
      </c>
    </row>
    <row r="250" spans="1:47" s="1" customFormat="1" ht="23.1" customHeight="1" x14ac:dyDescent="0.25">
      <c r="A250" s="109">
        <v>46040</v>
      </c>
      <c r="B250" s="47" t="s">
        <v>49</v>
      </c>
      <c r="C250" s="78" t="s">
        <v>21</v>
      </c>
      <c r="D250" s="47" t="s">
        <v>127</v>
      </c>
      <c r="E250" s="48">
        <v>98992</v>
      </c>
      <c r="F250" s="48" t="s">
        <v>175</v>
      </c>
      <c r="G250" s="48" t="s">
        <v>125</v>
      </c>
      <c r="H250" s="30">
        <v>15773</v>
      </c>
      <c r="I250" s="30">
        <v>20</v>
      </c>
      <c r="J250" s="28">
        <f t="shared" si="107"/>
        <v>180</v>
      </c>
      <c r="K250" s="31">
        <v>0.25</v>
      </c>
      <c r="L250" s="31">
        <v>0.60416666666666696</v>
      </c>
      <c r="M250" s="32">
        <f t="shared" si="99"/>
        <v>0.35416666666666696</v>
      </c>
      <c r="N250" s="36">
        <v>510</v>
      </c>
      <c r="O250" s="36">
        <f t="shared" si="100"/>
        <v>310</v>
      </c>
      <c r="P250" s="36">
        <f t="shared" si="101"/>
        <v>310</v>
      </c>
      <c r="Q250" s="15">
        <v>0</v>
      </c>
      <c r="R250" s="20">
        <v>0</v>
      </c>
      <c r="S250" s="16">
        <v>0</v>
      </c>
      <c r="T250" s="16">
        <v>0</v>
      </c>
      <c r="U250" s="20">
        <v>0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15">
        <f t="shared" si="105"/>
        <v>0</v>
      </c>
      <c r="AD250" s="15">
        <v>10</v>
      </c>
      <c r="AE250" s="15">
        <v>0</v>
      </c>
      <c r="AF250" s="15">
        <v>0</v>
      </c>
      <c r="AG250" s="15">
        <v>120</v>
      </c>
      <c r="AH250" s="15">
        <v>0</v>
      </c>
      <c r="AI250" s="15">
        <v>30</v>
      </c>
      <c r="AJ250" s="15">
        <v>10</v>
      </c>
      <c r="AK250" s="15">
        <v>30</v>
      </c>
      <c r="AL250" s="15">
        <f t="shared" si="104"/>
        <v>200</v>
      </c>
      <c r="AM250" s="29">
        <f t="shared" si="96"/>
        <v>930</v>
      </c>
      <c r="AN250" s="19">
        <v>722</v>
      </c>
      <c r="AO250" s="21">
        <v>0</v>
      </c>
      <c r="AP250" s="22">
        <v>1</v>
      </c>
      <c r="AQ250" s="26">
        <f t="shared" si="112"/>
        <v>721</v>
      </c>
      <c r="AR250" s="37">
        <f t="shared" si="113"/>
        <v>1</v>
      </c>
      <c r="AS250" s="38">
        <f t="shared" si="114"/>
        <v>0.7763440860215054</v>
      </c>
      <c r="AT250" s="38">
        <f t="shared" si="115"/>
        <v>0.99861495844875348</v>
      </c>
      <c r="AU250" s="27">
        <f t="shared" si="116"/>
        <v>0.77526881720430108</v>
      </c>
    </row>
    <row r="251" spans="1:47" s="1" customFormat="1" ht="23.1" customHeight="1" x14ac:dyDescent="0.25">
      <c r="A251" s="109">
        <v>46040</v>
      </c>
      <c r="B251" s="47" t="s">
        <v>49</v>
      </c>
      <c r="C251" s="78" t="s">
        <v>51</v>
      </c>
      <c r="D251" s="47" t="s">
        <v>94</v>
      </c>
      <c r="E251" s="48">
        <v>98992</v>
      </c>
      <c r="F251" s="48" t="s">
        <v>67</v>
      </c>
      <c r="G251" s="48" t="s">
        <v>174</v>
      </c>
      <c r="H251" s="30">
        <v>14033</v>
      </c>
      <c r="I251" s="30">
        <v>24</v>
      </c>
      <c r="J251" s="28">
        <f t="shared" ref="J251:J272" si="117">3600/I251</f>
        <v>150</v>
      </c>
      <c r="K251" s="31">
        <v>0.58333333333333337</v>
      </c>
      <c r="L251" s="31">
        <v>0.9375</v>
      </c>
      <c r="M251" s="32">
        <f t="shared" si="99"/>
        <v>0.35416666666666663</v>
      </c>
      <c r="N251" s="36">
        <v>510</v>
      </c>
      <c r="O251" s="36">
        <f t="shared" si="100"/>
        <v>440</v>
      </c>
      <c r="P251" s="36">
        <f t="shared" si="101"/>
        <v>440</v>
      </c>
      <c r="Q251" s="15">
        <v>0</v>
      </c>
      <c r="R251" s="20">
        <v>0</v>
      </c>
      <c r="S251" s="16">
        <v>0</v>
      </c>
      <c r="T251" s="16">
        <v>0</v>
      </c>
      <c r="U251" s="20">
        <v>0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15">
        <f t="shared" si="105"/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30</v>
      </c>
      <c r="AJ251" s="15">
        <v>10</v>
      </c>
      <c r="AK251" s="15">
        <v>30</v>
      </c>
      <c r="AL251" s="15">
        <f t="shared" si="104"/>
        <v>70</v>
      </c>
      <c r="AM251" s="29">
        <f t="shared" si="96"/>
        <v>1100</v>
      </c>
      <c r="AN251" s="19">
        <v>930</v>
      </c>
      <c r="AO251" s="21">
        <v>0</v>
      </c>
      <c r="AP251" s="22">
        <v>30</v>
      </c>
      <c r="AQ251" s="26">
        <f t="shared" si="112"/>
        <v>900</v>
      </c>
      <c r="AR251" s="37">
        <f t="shared" si="113"/>
        <v>1</v>
      </c>
      <c r="AS251" s="38">
        <f t="shared" si="114"/>
        <v>0.84545454545454546</v>
      </c>
      <c r="AT251" s="38">
        <f t="shared" si="115"/>
        <v>0.967741935483871</v>
      </c>
      <c r="AU251" s="27">
        <f t="shared" si="116"/>
        <v>0.81818181818181823</v>
      </c>
    </row>
    <row r="252" spans="1:47" s="1" customFormat="1" ht="23.1" customHeight="1" x14ac:dyDescent="0.25">
      <c r="A252" s="109">
        <v>46040</v>
      </c>
      <c r="B252" s="47" t="s">
        <v>49</v>
      </c>
      <c r="C252" s="78" t="s">
        <v>51</v>
      </c>
      <c r="D252" s="47" t="s">
        <v>122</v>
      </c>
      <c r="E252" s="48">
        <v>98992</v>
      </c>
      <c r="F252" s="48" t="s">
        <v>169</v>
      </c>
      <c r="G252" s="48" t="s">
        <v>125</v>
      </c>
      <c r="H252" s="30">
        <v>13669</v>
      </c>
      <c r="I252" s="30">
        <v>32</v>
      </c>
      <c r="J252" s="28">
        <f t="shared" si="117"/>
        <v>112.5</v>
      </c>
      <c r="K252" s="31">
        <v>0.58333333333333337</v>
      </c>
      <c r="L252" s="31">
        <v>0.9375</v>
      </c>
      <c r="M252" s="32">
        <f t="shared" si="99"/>
        <v>0.35416666666666663</v>
      </c>
      <c r="N252" s="36">
        <v>510</v>
      </c>
      <c r="O252" s="36">
        <f t="shared" si="100"/>
        <v>320</v>
      </c>
      <c r="P252" s="36">
        <f t="shared" si="101"/>
        <v>320</v>
      </c>
      <c r="Q252" s="15">
        <v>0</v>
      </c>
      <c r="R252" s="20">
        <v>0</v>
      </c>
      <c r="S252" s="16">
        <v>0</v>
      </c>
      <c r="T252" s="16">
        <v>0</v>
      </c>
      <c r="U252" s="20">
        <v>0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15">
        <f t="shared" si="105"/>
        <v>0</v>
      </c>
      <c r="AD252" s="15">
        <v>0</v>
      </c>
      <c r="AE252" s="15">
        <v>0</v>
      </c>
      <c r="AF252" s="15">
        <v>0</v>
      </c>
      <c r="AG252" s="15">
        <v>120</v>
      </c>
      <c r="AH252" s="15">
        <v>0</v>
      </c>
      <c r="AI252" s="15">
        <v>30</v>
      </c>
      <c r="AJ252" s="15">
        <v>10</v>
      </c>
      <c r="AK252" s="15">
        <v>30</v>
      </c>
      <c r="AL252" s="15">
        <f t="shared" si="104"/>
        <v>190</v>
      </c>
      <c r="AM252" s="29">
        <f t="shared" si="96"/>
        <v>600</v>
      </c>
      <c r="AN252" s="19">
        <v>562</v>
      </c>
      <c r="AO252" s="21">
        <v>0</v>
      </c>
      <c r="AP252" s="22">
        <v>1</v>
      </c>
      <c r="AQ252" s="26">
        <f t="shared" si="112"/>
        <v>561</v>
      </c>
      <c r="AR252" s="37">
        <f t="shared" si="113"/>
        <v>1</v>
      </c>
      <c r="AS252" s="38">
        <f t="shared" si="114"/>
        <v>0.93666666666666665</v>
      </c>
      <c r="AT252" s="38">
        <f t="shared" si="115"/>
        <v>0.99822064056939497</v>
      </c>
      <c r="AU252" s="27">
        <f t="shared" si="116"/>
        <v>0.93499999999999994</v>
      </c>
    </row>
    <row r="253" spans="1:47" s="1" customFormat="1" ht="23.1" customHeight="1" x14ac:dyDescent="0.25">
      <c r="A253" s="109">
        <v>46041</v>
      </c>
      <c r="B253" s="47" t="s">
        <v>49</v>
      </c>
      <c r="C253" s="78" t="s">
        <v>21</v>
      </c>
      <c r="D253" s="47" t="s">
        <v>94</v>
      </c>
      <c r="E253" s="48">
        <v>98992</v>
      </c>
      <c r="F253" s="48" t="s">
        <v>67</v>
      </c>
      <c r="G253" s="48" t="s">
        <v>174</v>
      </c>
      <c r="H253" s="30">
        <v>15726</v>
      </c>
      <c r="I253" s="30">
        <v>24</v>
      </c>
      <c r="J253" s="28">
        <f t="shared" si="117"/>
        <v>150</v>
      </c>
      <c r="K253" s="31">
        <v>0.25</v>
      </c>
      <c r="L253" s="31">
        <v>0.60416666666666696</v>
      </c>
      <c r="M253" s="32">
        <f t="shared" si="99"/>
        <v>0.35416666666666696</v>
      </c>
      <c r="N253" s="36">
        <v>510</v>
      </c>
      <c r="O253" s="36">
        <f t="shared" si="100"/>
        <v>440</v>
      </c>
      <c r="P253" s="36">
        <f t="shared" si="101"/>
        <v>440</v>
      </c>
      <c r="Q253" s="15">
        <v>0</v>
      </c>
      <c r="R253" s="20">
        <v>0</v>
      </c>
      <c r="S253" s="16">
        <v>0</v>
      </c>
      <c r="T253" s="16">
        <v>0</v>
      </c>
      <c r="U253" s="20">
        <v>0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15">
        <f t="shared" si="105"/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30</v>
      </c>
      <c r="AJ253" s="15">
        <v>10</v>
      </c>
      <c r="AK253" s="15">
        <v>30</v>
      </c>
      <c r="AL253" s="15">
        <f t="shared" si="104"/>
        <v>70</v>
      </c>
      <c r="AM253" s="29">
        <f t="shared" si="96"/>
        <v>1100</v>
      </c>
      <c r="AN253" s="19">
        <v>992</v>
      </c>
      <c r="AO253" s="21">
        <v>0</v>
      </c>
      <c r="AP253" s="22">
        <v>10</v>
      </c>
      <c r="AQ253" s="26">
        <f t="shared" si="112"/>
        <v>982</v>
      </c>
      <c r="AR253" s="37">
        <f t="shared" si="113"/>
        <v>1</v>
      </c>
      <c r="AS253" s="38">
        <f t="shared" si="114"/>
        <v>0.90181818181818185</v>
      </c>
      <c r="AT253" s="38">
        <f t="shared" si="115"/>
        <v>0.98991935483870963</v>
      </c>
      <c r="AU253" s="27">
        <f t="shared" si="116"/>
        <v>0.8927272727272727</v>
      </c>
    </row>
    <row r="254" spans="1:47" s="1" customFormat="1" ht="23.1" customHeight="1" x14ac:dyDescent="0.25">
      <c r="A254" s="109">
        <v>46041</v>
      </c>
      <c r="B254" s="47" t="s">
        <v>49</v>
      </c>
      <c r="C254" s="78" t="s">
        <v>21</v>
      </c>
      <c r="D254" s="47" t="s">
        <v>88</v>
      </c>
      <c r="E254" s="48">
        <v>98992</v>
      </c>
      <c r="F254" s="48" t="s">
        <v>126</v>
      </c>
      <c r="G254" s="48" t="s">
        <v>87</v>
      </c>
      <c r="H254" s="30">
        <v>13106</v>
      </c>
      <c r="I254" s="30">
        <v>32</v>
      </c>
      <c r="J254" s="28">
        <f t="shared" si="117"/>
        <v>112.5</v>
      </c>
      <c r="K254" s="31">
        <v>0.25</v>
      </c>
      <c r="L254" s="31">
        <v>0.60416666666666696</v>
      </c>
      <c r="M254" s="32">
        <f t="shared" si="99"/>
        <v>0.35416666666666696</v>
      </c>
      <c r="N254" s="36">
        <v>510</v>
      </c>
      <c r="O254" s="36">
        <f t="shared" si="100"/>
        <v>320</v>
      </c>
      <c r="P254" s="36">
        <f t="shared" si="101"/>
        <v>320</v>
      </c>
      <c r="Q254" s="15">
        <v>0</v>
      </c>
      <c r="R254" s="20">
        <v>0</v>
      </c>
      <c r="S254" s="16">
        <v>0</v>
      </c>
      <c r="T254" s="16">
        <v>0</v>
      </c>
      <c r="U254" s="20">
        <v>0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15">
        <f t="shared" si="105"/>
        <v>0</v>
      </c>
      <c r="AD254" s="15">
        <v>0</v>
      </c>
      <c r="AE254" s="15">
        <v>0</v>
      </c>
      <c r="AF254" s="15">
        <v>0</v>
      </c>
      <c r="AG254" s="15">
        <v>120</v>
      </c>
      <c r="AH254" s="15">
        <v>0</v>
      </c>
      <c r="AI254" s="15">
        <v>30</v>
      </c>
      <c r="AJ254" s="15">
        <v>10</v>
      </c>
      <c r="AK254" s="15">
        <v>30</v>
      </c>
      <c r="AL254" s="15">
        <f t="shared" si="104"/>
        <v>190</v>
      </c>
      <c r="AM254" s="29">
        <f t="shared" si="96"/>
        <v>600</v>
      </c>
      <c r="AN254" s="19">
        <v>481</v>
      </c>
      <c r="AO254" s="21">
        <v>0</v>
      </c>
      <c r="AP254" s="22">
        <v>1</v>
      </c>
      <c r="AQ254" s="26">
        <f t="shared" si="112"/>
        <v>480</v>
      </c>
      <c r="AR254" s="37">
        <f t="shared" si="113"/>
        <v>1</v>
      </c>
      <c r="AS254" s="38">
        <f t="shared" si="114"/>
        <v>0.80166666666666664</v>
      </c>
      <c r="AT254" s="38">
        <f t="shared" si="115"/>
        <v>0.99792099792099798</v>
      </c>
      <c r="AU254" s="27">
        <f t="shared" si="116"/>
        <v>0.8</v>
      </c>
    </row>
    <row r="255" spans="1:47" s="1" customFormat="1" ht="23.1" customHeight="1" x14ac:dyDescent="0.25">
      <c r="A255" s="109">
        <v>46041</v>
      </c>
      <c r="B255" s="47" t="s">
        <v>49</v>
      </c>
      <c r="C255" s="78" t="s">
        <v>21</v>
      </c>
      <c r="D255" s="47" t="s">
        <v>89</v>
      </c>
      <c r="E255" s="48">
        <v>98992</v>
      </c>
      <c r="F255" s="48" t="s">
        <v>169</v>
      </c>
      <c r="G255" s="48" t="s">
        <v>87</v>
      </c>
      <c r="H255" s="30">
        <v>16219</v>
      </c>
      <c r="I255" s="30">
        <v>32</v>
      </c>
      <c r="J255" s="28">
        <f t="shared" si="117"/>
        <v>112.5</v>
      </c>
      <c r="K255" s="31">
        <v>0.25</v>
      </c>
      <c r="L255" s="31">
        <v>0.60416666666666696</v>
      </c>
      <c r="M255" s="32">
        <f t="shared" si="99"/>
        <v>0.35416666666666696</v>
      </c>
      <c r="N255" s="36">
        <v>510</v>
      </c>
      <c r="O255" s="36">
        <f t="shared" si="100"/>
        <v>320</v>
      </c>
      <c r="P255" s="36">
        <f t="shared" si="101"/>
        <v>320</v>
      </c>
      <c r="Q255" s="15">
        <v>0</v>
      </c>
      <c r="R255" s="20">
        <v>0</v>
      </c>
      <c r="S255" s="16">
        <v>0</v>
      </c>
      <c r="T255" s="16">
        <v>0</v>
      </c>
      <c r="U255" s="20">
        <v>0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15">
        <f t="shared" si="105"/>
        <v>0</v>
      </c>
      <c r="AD255" s="15">
        <v>0</v>
      </c>
      <c r="AE255" s="15">
        <v>0</v>
      </c>
      <c r="AF255" s="15">
        <v>0</v>
      </c>
      <c r="AG255" s="15">
        <v>120</v>
      </c>
      <c r="AH255" s="15">
        <v>0</v>
      </c>
      <c r="AI255" s="15">
        <v>30</v>
      </c>
      <c r="AJ255" s="15">
        <v>10</v>
      </c>
      <c r="AK255" s="15">
        <v>30</v>
      </c>
      <c r="AL255" s="15">
        <f t="shared" si="104"/>
        <v>190</v>
      </c>
      <c r="AM255" s="29">
        <f t="shared" si="96"/>
        <v>600</v>
      </c>
      <c r="AN255" s="19">
        <v>388</v>
      </c>
      <c r="AO255" s="21">
        <v>0</v>
      </c>
      <c r="AP255" s="22">
        <v>0</v>
      </c>
      <c r="AQ255" s="26">
        <f t="shared" si="112"/>
        <v>388</v>
      </c>
      <c r="AR255" s="37">
        <f t="shared" si="113"/>
        <v>1</v>
      </c>
      <c r="AS255" s="38">
        <f t="shared" si="114"/>
        <v>0.64666666666666661</v>
      </c>
      <c r="AT255" s="38">
        <f t="shared" si="115"/>
        <v>1</v>
      </c>
      <c r="AU255" s="27">
        <f t="shared" si="116"/>
        <v>0.64666666666666661</v>
      </c>
    </row>
    <row r="256" spans="1:47" s="1" customFormat="1" ht="23.1" customHeight="1" x14ac:dyDescent="0.25">
      <c r="A256" s="109">
        <v>46041</v>
      </c>
      <c r="B256" s="47" t="s">
        <v>49</v>
      </c>
      <c r="C256" s="78" t="s">
        <v>21</v>
      </c>
      <c r="D256" s="47" t="s">
        <v>52</v>
      </c>
      <c r="E256" s="48">
        <v>98992</v>
      </c>
      <c r="F256" s="48" t="s">
        <v>53</v>
      </c>
      <c r="G256" s="48" t="s">
        <v>87</v>
      </c>
      <c r="H256" s="30">
        <v>15710</v>
      </c>
      <c r="I256" s="30">
        <v>32</v>
      </c>
      <c r="J256" s="28">
        <f t="shared" si="117"/>
        <v>112.5</v>
      </c>
      <c r="K256" s="31">
        <v>0.25</v>
      </c>
      <c r="L256" s="31">
        <v>0.60416666666666696</v>
      </c>
      <c r="M256" s="32">
        <f t="shared" si="99"/>
        <v>0.35416666666666696</v>
      </c>
      <c r="N256" s="36">
        <v>510</v>
      </c>
      <c r="O256" s="36">
        <f t="shared" si="100"/>
        <v>380</v>
      </c>
      <c r="P256" s="36">
        <f t="shared" si="101"/>
        <v>380</v>
      </c>
      <c r="Q256" s="15">
        <v>0</v>
      </c>
      <c r="R256" s="20">
        <v>0</v>
      </c>
      <c r="S256" s="16">
        <v>0</v>
      </c>
      <c r="T256" s="16">
        <v>0</v>
      </c>
      <c r="U256" s="20">
        <v>0</v>
      </c>
      <c r="V256" s="20">
        <v>0</v>
      </c>
      <c r="W256" s="20">
        <v>0</v>
      </c>
      <c r="X256" s="20">
        <v>0</v>
      </c>
      <c r="Y256" s="20">
        <v>0</v>
      </c>
      <c r="Z256" s="20">
        <v>0</v>
      </c>
      <c r="AA256" s="20">
        <v>0</v>
      </c>
      <c r="AB256" s="20">
        <v>0</v>
      </c>
      <c r="AC256" s="15">
        <f t="shared" si="105"/>
        <v>0</v>
      </c>
      <c r="AD256" s="15">
        <v>0</v>
      </c>
      <c r="AE256" s="15">
        <v>0</v>
      </c>
      <c r="AF256" s="15">
        <v>0</v>
      </c>
      <c r="AG256" s="15">
        <v>60</v>
      </c>
      <c r="AH256" s="15">
        <v>0</v>
      </c>
      <c r="AI256" s="15">
        <v>30</v>
      </c>
      <c r="AJ256" s="15">
        <v>10</v>
      </c>
      <c r="AK256" s="15">
        <v>30</v>
      </c>
      <c r="AL256" s="15">
        <f t="shared" si="104"/>
        <v>130</v>
      </c>
      <c r="AM256" s="29">
        <f t="shared" si="96"/>
        <v>712.5</v>
      </c>
      <c r="AN256" s="19">
        <v>577</v>
      </c>
      <c r="AO256" s="21">
        <v>0</v>
      </c>
      <c r="AP256" s="22">
        <v>0</v>
      </c>
      <c r="AQ256" s="26">
        <f t="shared" si="112"/>
        <v>577</v>
      </c>
      <c r="AR256" s="37">
        <f t="shared" ref="AR256:AR318" si="118">O256/P256</f>
        <v>1</v>
      </c>
      <c r="AS256" s="38">
        <f t="shared" ref="AS256:AS318" si="119">AN256/AM256</f>
        <v>0.80982456140350878</v>
      </c>
      <c r="AT256" s="38">
        <f t="shared" ref="AT256:AT318" si="120">AQ256/AN256</f>
        <v>1</v>
      </c>
      <c r="AU256" s="27">
        <f t="shared" ref="AU256:AU318" si="121">AR256*AS256*AT256</f>
        <v>0.80982456140350878</v>
      </c>
    </row>
    <row r="257" spans="1:47" s="1" customFormat="1" ht="23.1" customHeight="1" x14ac:dyDescent="0.25">
      <c r="A257" s="109">
        <v>46041</v>
      </c>
      <c r="B257" s="47" t="s">
        <v>49</v>
      </c>
      <c r="C257" s="78" t="s">
        <v>21</v>
      </c>
      <c r="D257" s="47" t="s">
        <v>86</v>
      </c>
      <c r="E257" s="48">
        <v>98992</v>
      </c>
      <c r="F257" s="48" t="s">
        <v>176</v>
      </c>
      <c r="G257" s="48" t="s">
        <v>87</v>
      </c>
      <c r="H257" s="30">
        <v>11662</v>
      </c>
      <c r="I257" s="30">
        <v>20</v>
      </c>
      <c r="J257" s="28">
        <f t="shared" si="117"/>
        <v>180</v>
      </c>
      <c r="K257" s="31">
        <v>0.25</v>
      </c>
      <c r="L257" s="31">
        <v>0.60416666666666696</v>
      </c>
      <c r="M257" s="32">
        <f t="shared" si="99"/>
        <v>0.35416666666666696</v>
      </c>
      <c r="N257" s="36">
        <v>510</v>
      </c>
      <c r="O257" s="36">
        <f t="shared" si="100"/>
        <v>320</v>
      </c>
      <c r="P257" s="36">
        <f t="shared" si="101"/>
        <v>320</v>
      </c>
      <c r="Q257" s="15">
        <v>0</v>
      </c>
      <c r="R257" s="20">
        <v>0</v>
      </c>
      <c r="S257" s="16">
        <v>0</v>
      </c>
      <c r="T257" s="16">
        <v>0</v>
      </c>
      <c r="U257" s="20">
        <v>0</v>
      </c>
      <c r="V257" s="20">
        <v>0</v>
      </c>
      <c r="W257" s="20">
        <v>0</v>
      </c>
      <c r="X257" s="20">
        <v>0</v>
      </c>
      <c r="Y257" s="20">
        <v>0</v>
      </c>
      <c r="Z257" s="20">
        <v>0</v>
      </c>
      <c r="AA257" s="20">
        <v>0</v>
      </c>
      <c r="AB257" s="20">
        <v>0</v>
      </c>
      <c r="AC257" s="15">
        <f t="shared" si="105"/>
        <v>0</v>
      </c>
      <c r="AD257" s="15">
        <v>0</v>
      </c>
      <c r="AE257" s="15">
        <v>0</v>
      </c>
      <c r="AF257" s="15">
        <v>0</v>
      </c>
      <c r="AG257" s="15">
        <v>120</v>
      </c>
      <c r="AH257" s="15">
        <v>0</v>
      </c>
      <c r="AI257" s="15">
        <v>30</v>
      </c>
      <c r="AJ257" s="15">
        <v>10</v>
      </c>
      <c r="AK257" s="15">
        <v>30</v>
      </c>
      <c r="AL257" s="15">
        <f t="shared" si="104"/>
        <v>190</v>
      </c>
      <c r="AM257" s="29">
        <f t="shared" si="96"/>
        <v>960</v>
      </c>
      <c r="AN257" s="19">
        <v>770</v>
      </c>
      <c r="AO257" s="21">
        <v>0</v>
      </c>
      <c r="AP257" s="22">
        <v>0</v>
      </c>
      <c r="AQ257" s="26">
        <f t="shared" si="112"/>
        <v>770</v>
      </c>
      <c r="AR257" s="37">
        <f t="shared" si="118"/>
        <v>1</v>
      </c>
      <c r="AS257" s="38">
        <f t="shared" si="119"/>
        <v>0.80208333333333337</v>
      </c>
      <c r="AT257" s="38">
        <f t="shared" si="120"/>
        <v>1</v>
      </c>
      <c r="AU257" s="27">
        <f t="shared" si="121"/>
        <v>0.80208333333333337</v>
      </c>
    </row>
    <row r="258" spans="1:47" s="1" customFormat="1" ht="23.1" customHeight="1" x14ac:dyDescent="0.25">
      <c r="A258" s="109">
        <v>46041</v>
      </c>
      <c r="B258" s="47" t="s">
        <v>49</v>
      </c>
      <c r="C258" s="78" t="s">
        <v>21</v>
      </c>
      <c r="D258" s="47" t="s">
        <v>172</v>
      </c>
      <c r="E258" s="48">
        <v>98992</v>
      </c>
      <c r="F258" s="48" t="s">
        <v>175</v>
      </c>
      <c r="G258" s="48" t="s">
        <v>87</v>
      </c>
      <c r="H258" s="30">
        <v>15882</v>
      </c>
      <c r="I258" s="30">
        <v>20</v>
      </c>
      <c r="J258" s="28">
        <f t="shared" si="117"/>
        <v>180</v>
      </c>
      <c r="K258" s="31">
        <v>0.25</v>
      </c>
      <c r="L258" s="31">
        <v>0.60416666666666696</v>
      </c>
      <c r="M258" s="32">
        <f t="shared" si="99"/>
        <v>0.35416666666666696</v>
      </c>
      <c r="N258" s="36">
        <v>510</v>
      </c>
      <c r="O258" s="36">
        <f t="shared" si="100"/>
        <v>320</v>
      </c>
      <c r="P258" s="36">
        <f t="shared" si="101"/>
        <v>320</v>
      </c>
      <c r="Q258" s="15">
        <v>0</v>
      </c>
      <c r="R258" s="20">
        <v>0</v>
      </c>
      <c r="S258" s="16">
        <v>0</v>
      </c>
      <c r="T258" s="16">
        <v>0</v>
      </c>
      <c r="U258" s="20">
        <v>0</v>
      </c>
      <c r="V258" s="20">
        <v>0</v>
      </c>
      <c r="W258" s="20">
        <v>0</v>
      </c>
      <c r="X258" s="20">
        <v>0</v>
      </c>
      <c r="Y258" s="20">
        <v>0</v>
      </c>
      <c r="Z258" s="20">
        <v>0</v>
      </c>
      <c r="AA258" s="20">
        <v>0</v>
      </c>
      <c r="AB258" s="20">
        <v>0</v>
      </c>
      <c r="AC258" s="15">
        <f t="shared" si="105"/>
        <v>0</v>
      </c>
      <c r="AD258" s="15">
        <v>0</v>
      </c>
      <c r="AE258" s="15">
        <v>0</v>
      </c>
      <c r="AF258" s="15">
        <v>0</v>
      </c>
      <c r="AG258" s="15">
        <v>120</v>
      </c>
      <c r="AH258" s="15">
        <v>0</v>
      </c>
      <c r="AI258" s="15">
        <v>30</v>
      </c>
      <c r="AJ258" s="15">
        <v>10</v>
      </c>
      <c r="AK258" s="15">
        <v>30</v>
      </c>
      <c r="AL258" s="15">
        <f t="shared" si="104"/>
        <v>190</v>
      </c>
      <c r="AM258" s="29">
        <f t="shared" si="96"/>
        <v>960</v>
      </c>
      <c r="AN258" s="19">
        <v>600</v>
      </c>
      <c r="AO258" s="21">
        <v>0</v>
      </c>
      <c r="AP258" s="22">
        <v>0</v>
      </c>
      <c r="AQ258" s="26">
        <f t="shared" si="112"/>
        <v>600</v>
      </c>
      <c r="AR258" s="37">
        <f t="shared" si="118"/>
        <v>1</v>
      </c>
      <c r="AS258" s="38">
        <f t="shared" si="119"/>
        <v>0.625</v>
      </c>
      <c r="AT258" s="38">
        <f t="shared" si="120"/>
        <v>1</v>
      </c>
      <c r="AU258" s="27">
        <f t="shared" si="121"/>
        <v>0.625</v>
      </c>
    </row>
    <row r="259" spans="1:47" s="1" customFormat="1" ht="23.1" customHeight="1" x14ac:dyDescent="0.25">
      <c r="A259" s="109">
        <v>46041</v>
      </c>
      <c r="B259" s="47" t="s">
        <v>49</v>
      </c>
      <c r="C259" s="78" t="s">
        <v>21</v>
      </c>
      <c r="D259" s="47" t="s">
        <v>124</v>
      </c>
      <c r="E259" s="48">
        <v>98992</v>
      </c>
      <c r="F259" s="48" t="s">
        <v>215</v>
      </c>
      <c r="G259" s="48" t="s">
        <v>125</v>
      </c>
      <c r="H259" s="30">
        <v>13105</v>
      </c>
      <c r="I259" s="30">
        <v>32</v>
      </c>
      <c r="J259" s="28">
        <f t="shared" si="117"/>
        <v>112.5</v>
      </c>
      <c r="K259" s="31">
        <v>0.25</v>
      </c>
      <c r="L259" s="31">
        <v>0.60416666666666696</v>
      </c>
      <c r="M259" s="32">
        <f t="shared" si="99"/>
        <v>0.35416666666666696</v>
      </c>
      <c r="N259" s="36">
        <v>510</v>
      </c>
      <c r="O259" s="36">
        <f t="shared" si="100"/>
        <v>220</v>
      </c>
      <c r="P259" s="36">
        <f t="shared" si="101"/>
        <v>220</v>
      </c>
      <c r="Q259" s="15">
        <v>0</v>
      </c>
      <c r="R259" s="20">
        <v>0</v>
      </c>
      <c r="S259" s="16">
        <v>0</v>
      </c>
      <c r="T259" s="16">
        <v>0</v>
      </c>
      <c r="U259" s="20">
        <v>0</v>
      </c>
      <c r="V259" s="20">
        <v>0</v>
      </c>
      <c r="W259" s="20">
        <v>0</v>
      </c>
      <c r="X259" s="20">
        <v>0</v>
      </c>
      <c r="Y259" s="20">
        <v>0</v>
      </c>
      <c r="Z259" s="20">
        <v>0</v>
      </c>
      <c r="AA259" s="20">
        <v>0</v>
      </c>
      <c r="AB259" s="20">
        <v>0</v>
      </c>
      <c r="AC259" s="15">
        <f t="shared" si="105"/>
        <v>0</v>
      </c>
      <c r="AD259" s="15">
        <v>0</v>
      </c>
      <c r="AE259" s="15">
        <v>0</v>
      </c>
      <c r="AF259" s="15">
        <v>0</v>
      </c>
      <c r="AG259" s="15">
        <v>220</v>
      </c>
      <c r="AH259" s="15">
        <v>0</v>
      </c>
      <c r="AI259" s="15">
        <v>30</v>
      </c>
      <c r="AJ259" s="15">
        <v>10</v>
      </c>
      <c r="AK259" s="15">
        <v>30</v>
      </c>
      <c r="AL259" s="15">
        <f t="shared" si="104"/>
        <v>290</v>
      </c>
      <c r="AM259" s="29">
        <f t="shared" si="96"/>
        <v>412.5</v>
      </c>
      <c r="AN259" s="19">
        <v>240</v>
      </c>
      <c r="AO259" s="21">
        <v>0</v>
      </c>
      <c r="AP259" s="22">
        <v>0</v>
      </c>
      <c r="AQ259" s="26">
        <f t="shared" si="112"/>
        <v>240</v>
      </c>
      <c r="AR259" s="37">
        <f t="shared" si="118"/>
        <v>1</v>
      </c>
      <c r="AS259" s="38">
        <f t="shared" si="119"/>
        <v>0.58181818181818179</v>
      </c>
      <c r="AT259" s="38">
        <f t="shared" si="120"/>
        <v>1</v>
      </c>
      <c r="AU259" s="27">
        <f t="shared" si="121"/>
        <v>0.58181818181818179</v>
      </c>
    </row>
    <row r="260" spans="1:47" s="1" customFormat="1" ht="23.1" customHeight="1" x14ac:dyDescent="0.25">
      <c r="A260" s="109">
        <v>46041</v>
      </c>
      <c r="B260" s="47" t="s">
        <v>49</v>
      </c>
      <c r="C260" s="78" t="s">
        <v>21</v>
      </c>
      <c r="D260" s="47" t="s">
        <v>122</v>
      </c>
      <c r="E260" s="48">
        <v>98992</v>
      </c>
      <c r="F260" s="48" t="s">
        <v>169</v>
      </c>
      <c r="G260" s="48" t="s">
        <v>125</v>
      </c>
      <c r="H260" s="30">
        <v>15669</v>
      </c>
      <c r="I260" s="30">
        <v>32</v>
      </c>
      <c r="J260" s="28">
        <f t="shared" si="117"/>
        <v>112.5</v>
      </c>
      <c r="K260" s="31">
        <v>0.25</v>
      </c>
      <c r="L260" s="31">
        <v>0.60416666666666696</v>
      </c>
      <c r="M260" s="32">
        <f t="shared" si="99"/>
        <v>0.35416666666666696</v>
      </c>
      <c r="N260" s="36">
        <v>510</v>
      </c>
      <c r="O260" s="36">
        <f t="shared" si="100"/>
        <v>160</v>
      </c>
      <c r="P260" s="36">
        <f t="shared" si="101"/>
        <v>160</v>
      </c>
      <c r="Q260" s="15">
        <v>0</v>
      </c>
      <c r="R260" s="20">
        <v>0</v>
      </c>
      <c r="S260" s="16">
        <v>0</v>
      </c>
      <c r="T260" s="16">
        <v>0</v>
      </c>
      <c r="U260" s="20">
        <v>0</v>
      </c>
      <c r="V260" s="20">
        <v>0</v>
      </c>
      <c r="W260" s="20">
        <v>0</v>
      </c>
      <c r="X260" s="20">
        <v>0</v>
      </c>
      <c r="Y260" s="20">
        <v>0</v>
      </c>
      <c r="Z260" s="20">
        <v>0</v>
      </c>
      <c r="AA260" s="20">
        <v>0</v>
      </c>
      <c r="AB260" s="20">
        <v>0</v>
      </c>
      <c r="AC260" s="15">
        <f t="shared" si="105"/>
        <v>0</v>
      </c>
      <c r="AD260" s="15">
        <v>0</v>
      </c>
      <c r="AE260" s="15">
        <v>0</v>
      </c>
      <c r="AF260" s="15">
        <v>0</v>
      </c>
      <c r="AG260" s="15">
        <v>280</v>
      </c>
      <c r="AH260" s="15">
        <v>0</v>
      </c>
      <c r="AI260" s="15">
        <v>30</v>
      </c>
      <c r="AJ260" s="15">
        <v>10</v>
      </c>
      <c r="AK260" s="15">
        <v>30</v>
      </c>
      <c r="AL260" s="15">
        <f t="shared" si="104"/>
        <v>350</v>
      </c>
      <c r="AM260" s="29">
        <f t="shared" si="96"/>
        <v>300</v>
      </c>
      <c r="AN260" s="19">
        <v>135</v>
      </c>
      <c r="AO260" s="21">
        <v>0</v>
      </c>
      <c r="AP260" s="22">
        <v>0</v>
      </c>
      <c r="AQ260" s="26">
        <f t="shared" si="112"/>
        <v>135</v>
      </c>
      <c r="AR260" s="37">
        <f t="shared" si="118"/>
        <v>1</v>
      </c>
      <c r="AS260" s="38">
        <f t="shared" si="119"/>
        <v>0.45</v>
      </c>
      <c r="AT260" s="38">
        <f t="shared" si="120"/>
        <v>1</v>
      </c>
      <c r="AU260" s="27">
        <f t="shared" si="121"/>
        <v>0.45</v>
      </c>
    </row>
    <row r="261" spans="1:47" s="1" customFormat="1" ht="23.1" customHeight="1" x14ac:dyDescent="0.25">
      <c r="A261" s="109">
        <v>46041</v>
      </c>
      <c r="B261" s="47" t="s">
        <v>49</v>
      </c>
      <c r="C261" s="78" t="s">
        <v>21</v>
      </c>
      <c r="D261" s="47" t="s">
        <v>128</v>
      </c>
      <c r="E261" s="48">
        <v>98992</v>
      </c>
      <c r="F261" s="48" t="s">
        <v>53</v>
      </c>
      <c r="G261" s="48" t="s">
        <v>125</v>
      </c>
      <c r="H261" s="30">
        <v>14957</v>
      </c>
      <c r="I261" s="30">
        <v>32</v>
      </c>
      <c r="J261" s="28">
        <f t="shared" si="117"/>
        <v>112.5</v>
      </c>
      <c r="K261" s="31">
        <v>0.25</v>
      </c>
      <c r="L261" s="31">
        <v>0.60416666666666696</v>
      </c>
      <c r="M261" s="32">
        <f t="shared" si="99"/>
        <v>0.35416666666666696</v>
      </c>
      <c r="N261" s="36">
        <v>510</v>
      </c>
      <c r="O261" s="36">
        <f t="shared" si="100"/>
        <v>440</v>
      </c>
      <c r="P261" s="36">
        <f t="shared" si="101"/>
        <v>440</v>
      </c>
      <c r="Q261" s="15">
        <v>0</v>
      </c>
      <c r="R261" s="20">
        <v>0</v>
      </c>
      <c r="S261" s="16">
        <v>0</v>
      </c>
      <c r="T261" s="16">
        <v>0</v>
      </c>
      <c r="U261" s="20">
        <v>0</v>
      </c>
      <c r="V261" s="20">
        <v>0</v>
      </c>
      <c r="W261" s="20">
        <v>0</v>
      </c>
      <c r="X261" s="20">
        <v>0</v>
      </c>
      <c r="Y261" s="20">
        <v>0</v>
      </c>
      <c r="Z261" s="20">
        <v>0</v>
      </c>
      <c r="AA261" s="20">
        <v>0</v>
      </c>
      <c r="AB261" s="20">
        <v>0</v>
      </c>
      <c r="AC261" s="15">
        <f t="shared" si="105"/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30</v>
      </c>
      <c r="AJ261" s="15">
        <v>10</v>
      </c>
      <c r="AK261" s="15">
        <v>30</v>
      </c>
      <c r="AL261" s="15">
        <f t="shared" si="104"/>
        <v>70</v>
      </c>
      <c r="AM261" s="29">
        <f t="shared" si="96"/>
        <v>825</v>
      </c>
      <c r="AN261" s="19">
        <v>510</v>
      </c>
      <c r="AO261" s="21">
        <v>0</v>
      </c>
      <c r="AP261" s="22">
        <v>1</v>
      </c>
      <c r="AQ261" s="26">
        <f t="shared" si="112"/>
        <v>509</v>
      </c>
      <c r="AR261" s="37">
        <f t="shared" si="118"/>
        <v>1</v>
      </c>
      <c r="AS261" s="38">
        <f t="shared" si="119"/>
        <v>0.61818181818181817</v>
      </c>
      <c r="AT261" s="38">
        <f t="shared" si="120"/>
        <v>0.99803921568627452</v>
      </c>
      <c r="AU261" s="27">
        <f t="shared" si="121"/>
        <v>0.61696969696969695</v>
      </c>
    </row>
    <row r="262" spans="1:47" s="1" customFormat="1" ht="23.1" customHeight="1" x14ac:dyDescent="0.25">
      <c r="A262" s="109">
        <v>46041</v>
      </c>
      <c r="B262" s="47" t="s">
        <v>49</v>
      </c>
      <c r="C262" s="78" t="s">
        <v>51</v>
      </c>
      <c r="D262" s="47" t="s">
        <v>94</v>
      </c>
      <c r="E262" s="48">
        <v>98992</v>
      </c>
      <c r="F262" s="48" t="s">
        <v>67</v>
      </c>
      <c r="G262" s="48" t="s">
        <v>174</v>
      </c>
      <c r="H262" s="30">
        <v>15833</v>
      </c>
      <c r="I262" s="30">
        <v>24</v>
      </c>
      <c r="J262" s="28">
        <f t="shared" si="117"/>
        <v>150</v>
      </c>
      <c r="K262" s="31">
        <v>0.58333333333333337</v>
      </c>
      <c r="L262" s="31">
        <v>0.9375</v>
      </c>
      <c r="M262" s="32">
        <f t="shared" si="99"/>
        <v>0.35416666666666663</v>
      </c>
      <c r="N262" s="36">
        <v>510</v>
      </c>
      <c r="O262" s="36">
        <f t="shared" si="100"/>
        <v>380</v>
      </c>
      <c r="P262" s="36">
        <f t="shared" si="101"/>
        <v>380</v>
      </c>
      <c r="Q262" s="15">
        <v>0</v>
      </c>
      <c r="R262" s="20">
        <v>0</v>
      </c>
      <c r="S262" s="16">
        <v>0</v>
      </c>
      <c r="T262" s="16">
        <v>0</v>
      </c>
      <c r="U262" s="20">
        <v>0</v>
      </c>
      <c r="V262" s="20">
        <v>0</v>
      </c>
      <c r="W262" s="20">
        <v>0</v>
      </c>
      <c r="X262" s="20">
        <v>0</v>
      </c>
      <c r="Y262" s="20">
        <v>0</v>
      </c>
      <c r="Z262" s="20">
        <v>0</v>
      </c>
      <c r="AA262" s="20">
        <v>0</v>
      </c>
      <c r="AB262" s="20">
        <v>0</v>
      </c>
      <c r="AC262" s="15">
        <f t="shared" si="105"/>
        <v>0</v>
      </c>
      <c r="AD262" s="15">
        <v>60</v>
      </c>
      <c r="AE262" s="15">
        <v>0</v>
      </c>
      <c r="AF262" s="15">
        <v>0</v>
      </c>
      <c r="AG262" s="15">
        <v>0</v>
      </c>
      <c r="AH262" s="15">
        <v>0</v>
      </c>
      <c r="AI262" s="15">
        <v>30</v>
      </c>
      <c r="AJ262" s="15">
        <v>10</v>
      </c>
      <c r="AK262" s="15">
        <v>30</v>
      </c>
      <c r="AL262" s="15">
        <f t="shared" si="104"/>
        <v>130</v>
      </c>
      <c r="AM262" s="29">
        <f t="shared" ref="AM262:AM324" si="122">P262*(J262/60)</f>
        <v>950</v>
      </c>
      <c r="AN262" s="19">
        <v>884</v>
      </c>
      <c r="AO262" s="21">
        <v>0</v>
      </c>
      <c r="AP262" s="22">
        <v>8</v>
      </c>
      <c r="AQ262" s="26">
        <f t="shared" si="112"/>
        <v>876</v>
      </c>
      <c r="AR262" s="37">
        <f t="shared" si="118"/>
        <v>1</v>
      </c>
      <c r="AS262" s="38">
        <f t="shared" si="119"/>
        <v>0.93052631578947365</v>
      </c>
      <c r="AT262" s="38">
        <f t="shared" si="120"/>
        <v>0.99095022624434392</v>
      </c>
      <c r="AU262" s="27">
        <f t="shared" si="121"/>
        <v>0.92210526315789476</v>
      </c>
    </row>
    <row r="263" spans="1:47" s="1" customFormat="1" ht="23.1" customHeight="1" x14ac:dyDescent="0.25">
      <c r="A263" s="109">
        <v>46041</v>
      </c>
      <c r="B263" s="47" t="s">
        <v>49</v>
      </c>
      <c r="C263" s="78" t="s">
        <v>51</v>
      </c>
      <c r="D263" s="47" t="s">
        <v>88</v>
      </c>
      <c r="E263" s="48">
        <v>98992</v>
      </c>
      <c r="F263" s="48" t="s">
        <v>126</v>
      </c>
      <c r="G263" s="48" t="s">
        <v>87</v>
      </c>
      <c r="H263" s="30">
        <v>13562</v>
      </c>
      <c r="I263" s="30">
        <v>32</v>
      </c>
      <c r="J263" s="28">
        <f t="shared" si="117"/>
        <v>112.5</v>
      </c>
      <c r="K263" s="31">
        <v>0.58333333333333337</v>
      </c>
      <c r="L263" s="31">
        <v>0.9375</v>
      </c>
      <c r="M263" s="32">
        <f t="shared" si="99"/>
        <v>0.35416666666666663</v>
      </c>
      <c r="N263" s="36">
        <v>510</v>
      </c>
      <c r="O263" s="36">
        <f t="shared" ref="O263:O326" si="123">P263-AC263</f>
        <v>440</v>
      </c>
      <c r="P263" s="36">
        <f t="shared" ref="P263:P325" si="124">N263-AL263</f>
        <v>440</v>
      </c>
      <c r="Q263" s="15">
        <v>0</v>
      </c>
      <c r="R263" s="20">
        <v>0</v>
      </c>
      <c r="S263" s="16">
        <v>0</v>
      </c>
      <c r="T263" s="16">
        <v>0</v>
      </c>
      <c r="U263" s="20">
        <v>0</v>
      </c>
      <c r="V263" s="20">
        <v>0</v>
      </c>
      <c r="W263" s="20">
        <v>0</v>
      </c>
      <c r="X263" s="20">
        <v>0</v>
      </c>
      <c r="Y263" s="20">
        <v>0</v>
      </c>
      <c r="Z263" s="20">
        <v>0</v>
      </c>
      <c r="AA263" s="20">
        <v>0</v>
      </c>
      <c r="AB263" s="20">
        <v>0</v>
      </c>
      <c r="AC263" s="15">
        <f t="shared" si="105"/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30</v>
      </c>
      <c r="AJ263" s="15">
        <v>10</v>
      </c>
      <c r="AK263" s="15">
        <v>30</v>
      </c>
      <c r="AL263" s="15">
        <f t="shared" si="104"/>
        <v>70</v>
      </c>
      <c r="AM263" s="29">
        <f t="shared" si="122"/>
        <v>825</v>
      </c>
      <c r="AN263" s="19">
        <v>680</v>
      </c>
      <c r="AO263" s="21">
        <v>0</v>
      </c>
      <c r="AP263" s="22">
        <v>1</v>
      </c>
      <c r="AQ263" s="26">
        <f t="shared" si="112"/>
        <v>679</v>
      </c>
      <c r="AR263" s="37">
        <f t="shared" si="118"/>
        <v>1</v>
      </c>
      <c r="AS263" s="38">
        <f t="shared" si="119"/>
        <v>0.82424242424242422</v>
      </c>
      <c r="AT263" s="38">
        <f t="shared" si="120"/>
        <v>0.99852941176470589</v>
      </c>
      <c r="AU263" s="27">
        <f t="shared" si="121"/>
        <v>0.823030303030303</v>
      </c>
    </row>
    <row r="264" spans="1:47" s="1" customFormat="1" ht="23.1" customHeight="1" x14ac:dyDescent="0.25">
      <c r="A264" s="109">
        <v>46041</v>
      </c>
      <c r="B264" s="47" t="s">
        <v>49</v>
      </c>
      <c r="C264" s="78" t="s">
        <v>51</v>
      </c>
      <c r="D264" s="47" t="s">
        <v>89</v>
      </c>
      <c r="E264" s="48">
        <v>98992</v>
      </c>
      <c r="F264" s="48" t="s">
        <v>169</v>
      </c>
      <c r="G264" s="48" t="s">
        <v>87</v>
      </c>
      <c r="H264" s="30">
        <v>11682</v>
      </c>
      <c r="I264" s="30">
        <v>32</v>
      </c>
      <c r="J264" s="28">
        <f t="shared" si="117"/>
        <v>112.5</v>
      </c>
      <c r="K264" s="31">
        <v>0.58333333333333337</v>
      </c>
      <c r="L264" s="31">
        <v>0.9375</v>
      </c>
      <c r="M264" s="32">
        <f t="shared" ref="M264:M326" si="125">IF(L264&gt;K264,L264-K264,1+L264-K264)</f>
        <v>0.35416666666666663</v>
      </c>
      <c r="N264" s="36">
        <v>510</v>
      </c>
      <c r="O264" s="36">
        <f t="shared" si="123"/>
        <v>440</v>
      </c>
      <c r="P264" s="36">
        <f t="shared" si="124"/>
        <v>440</v>
      </c>
      <c r="Q264" s="15">
        <v>0</v>
      </c>
      <c r="R264" s="20">
        <v>0</v>
      </c>
      <c r="S264" s="16">
        <v>0</v>
      </c>
      <c r="T264" s="16">
        <v>0</v>
      </c>
      <c r="U264" s="20">
        <v>0</v>
      </c>
      <c r="V264" s="20">
        <v>0</v>
      </c>
      <c r="W264" s="20">
        <v>0</v>
      </c>
      <c r="X264" s="20">
        <v>0</v>
      </c>
      <c r="Y264" s="20">
        <v>0</v>
      </c>
      <c r="Z264" s="20">
        <v>0</v>
      </c>
      <c r="AA264" s="20">
        <v>0</v>
      </c>
      <c r="AB264" s="20">
        <v>0</v>
      </c>
      <c r="AC264" s="15">
        <f t="shared" si="105"/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30</v>
      </c>
      <c r="AJ264" s="15">
        <v>10</v>
      </c>
      <c r="AK264" s="15">
        <v>30</v>
      </c>
      <c r="AL264" s="15">
        <f t="shared" si="104"/>
        <v>70</v>
      </c>
      <c r="AM264" s="29">
        <f t="shared" si="122"/>
        <v>825</v>
      </c>
      <c r="AN264" s="19">
        <v>605</v>
      </c>
      <c r="AO264" s="21">
        <v>0</v>
      </c>
      <c r="AP264" s="22">
        <v>1</v>
      </c>
      <c r="AQ264" s="26">
        <f t="shared" si="112"/>
        <v>604</v>
      </c>
      <c r="AR264" s="37">
        <f t="shared" si="118"/>
        <v>1</v>
      </c>
      <c r="AS264" s="38">
        <f t="shared" si="119"/>
        <v>0.73333333333333328</v>
      </c>
      <c r="AT264" s="38">
        <f t="shared" si="120"/>
        <v>0.99834710743801658</v>
      </c>
      <c r="AU264" s="27">
        <f t="shared" si="121"/>
        <v>0.73212121212121206</v>
      </c>
    </row>
    <row r="265" spans="1:47" s="1" customFormat="1" ht="23.1" customHeight="1" x14ac:dyDescent="0.25">
      <c r="A265" s="109">
        <v>46041</v>
      </c>
      <c r="B265" s="47" t="s">
        <v>49</v>
      </c>
      <c r="C265" s="78" t="s">
        <v>51</v>
      </c>
      <c r="D265" s="47" t="s">
        <v>52</v>
      </c>
      <c r="E265" s="48">
        <v>98992</v>
      </c>
      <c r="F265" s="48" t="s">
        <v>53</v>
      </c>
      <c r="G265" s="48" t="s">
        <v>87</v>
      </c>
      <c r="H265" s="30">
        <v>16000</v>
      </c>
      <c r="I265" s="30">
        <v>32</v>
      </c>
      <c r="J265" s="28">
        <f t="shared" si="117"/>
        <v>112.5</v>
      </c>
      <c r="K265" s="31">
        <v>0.58333333333333337</v>
      </c>
      <c r="L265" s="31">
        <v>0.9375</v>
      </c>
      <c r="M265" s="32">
        <f t="shared" si="125"/>
        <v>0.35416666666666663</v>
      </c>
      <c r="N265" s="36">
        <v>510</v>
      </c>
      <c r="O265" s="36">
        <f t="shared" si="123"/>
        <v>380</v>
      </c>
      <c r="P265" s="36">
        <f t="shared" si="124"/>
        <v>380</v>
      </c>
      <c r="Q265" s="15">
        <v>0</v>
      </c>
      <c r="R265" s="20">
        <v>0</v>
      </c>
      <c r="S265" s="16">
        <v>0</v>
      </c>
      <c r="T265" s="16">
        <v>0</v>
      </c>
      <c r="U265" s="20">
        <v>0</v>
      </c>
      <c r="V265" s="20">
        <v>0</v>
      </c>
      <c r="W265" s="20">
        <v>0</v>
      </c>
      <c r="X265" s="20">
        <v>0</v>
      </c>
      <c r="Y265" s="20">
        <v>0</v>
      </c>
      <c r="Z265" s="20">
        <v>0</v>
      </c>
      <c r="AA265" s="20">
        <v>0</v>
      </c>
      <c r="AB265" s="20">
        <v>0</v>
      </c>
      <c r="AC265" s="15">
        <f t="shared" si="105"/>
        <v>0</v>
      </c>
      <c r="AD265" s="15">
        <v>60</v>
      </c>
      <c r="AE265" s="15">
        <v>0</v>
      </c>
      <c r="AF265" s="15">
        <v>0</v>
      </c>
      <c r="AG265" s="15">
        <v>0</v>
      </c>
      <c r="AH265" s="15">
        <v>0</v>
      </c>
      <c r="AI265" s="15">
        <v>30</v>
      </c>
      <c r="AJ265" s="15">
        <v>10</v>
      </c>
      <c r="AK265" s="15">
        <v>30</v>
      </c>
      <c r="AL265" s="15">
        <f t="shared" si="104"/>
        <v>130</v>
      </c>
      <c r="AM265" s="29">
        <f t="shared" si="122"/>
        <v>712.5</v>
      </c>
      <c r="AN265" s="19">
        <v>524</v>
      </c>
      <c r="AO265" s="21">
        <v>0</v>
      </c>
      <c r="AP265" s="22">
        <v>0</v>
      </c>
      <c r="AQ265" s="26">
        <f t="shared" si="112"/>
        <v>524</v>
      </c>
      <c r="AR265" s="37">
        <f t="shared" si="118"/>
        <v>1</v>
      </c>
      <c r="AS265" s="38">
        <f t="shared" si="119"/>
        <v>0.73543859649122811</v>
      </c>
      <c r="AT265" s="38">
        <f t="shared" si="120"/>
        <v>1</v>
      </c>
      <c r="AU265" s="27">
        <f t="shared" si="121"/>
        <v>0.73543859649122811</v>
      </c>
    </row>
    <row r="266" spans="1:47" s="1" customFormat="1" ht="23.1" customHeight="1" x14ac:dyDescent="0.25">
      <c r="A266" s="109">
        <v>46041</v>
      </c>
      <c r="B266" s="47" t="s">
        <v>49</v>
      </c>
      <c r="C266" s="78" t="s">
        <v>51</v>
      </c>
      <c r="D266" s="47" t="s">
        <v>86</v>
      </c>
      <c r="E266" s="48">
        <v>98992</v>
      </c>
      <c r="F266" s="48" t="s">
        <v>176</v>
      </c>
      <c r="G266" s="48" t="s">
        <v>87</v>
      </c>
      <c r="H266" s="30">
        <v>15688</v>
      </c>
      <c r="I266" s="30">
        <v>20</v>
      </c>
      <c r="J266" s="28">
        <f t="shared" si="117"/>
        <v>180</v>
      </c>
      <c r="K266" s="31">
        <v>0.58333333333333337</v>
      </c>
      <c r="L266" s="31">
        <v>0.9375</v>
      </c>
      <c r="M266" s="32">
        <f t="shared" si="125"/>
        <v>0.35416666666666663</v>
      </c>
      <c r="N266" s="36">
        <v>510</v>
      </c>
      <c r="O266" s="36">
        <f t="shared" si="123"/>
        <v>320</v>
      </c>
      <c r="P266" s="36">
        <f t="shared" si="124"/>
        <v>320</v>
      </c>
      <c r="Q266" s="15">
        <v>0</v>
      </c>
      <c r="R266" s="20">
        <v>0</v>
      </c>
      <c r="S266" s="16">
        <v>0</v>
      </c>
      <c r="T266" s="16">
        <v>0</v>
      </c>
      <c r="U266" s="20">
        <v>0</v>
      </c>
      <c r="V266" s="20">
        <v>0</v>
      </c>
      <c r="W266" s="20">
        <v>0</v>
      </c>
      <c r="X266" s="20">
        <v>0</v>
      </c>
      <c r="Y266" s="20">
        <v>0</v>
      </c>
      <c r="Z266" s="20">
        <v>0</v>
      </c>
      <c r="AA266" s="20">
        <v>0</v>
      </c>
      <c r="AB266" s="20">
        <v>0</v>
      </c>
      <c r="AC266" s="15">
        <f t="shared" si="105"/>
        <v>0</v>
      </c>
      <c r="AD266" s="15">
        <v>60</v>
      </c>
      <c r="AE266" s="15">
        <v>0</v>
      </c>
      <c r="AF266" s="15">
        <v>0</v>
      </c>
      <c r="AG266" s="15">
        <v>60</v>
      </c>
      <c r="AH266" s="15">
        <v>0</v>
      </c>
      <c r="AI266" s="15">
        <v>30</v>
      </c>
      <c r="AJ266" s="15">
        <v>10</v>
      </c>
      <c r="AK266" s="15">
        <v>30</v>
      </c>
      <c r="AL266" s="15">
        <f t="shared" si="104"/>
        <v>190</v>
      </c>
      <c r="AM266" s="29">
        <f t="shared" si="122"/>
        <v>960</v>
      </c>
      <c r="AN266" s="19">
        <v>804</v>
      </c>
      <c r="AO266" s="21">
        <v>0</v>
      </c>
      <c r="AP266" s="22">
        <v>0</v>
      </c>
      <c r="AQ266" s="26">
        <f t="shared" si="112"/>
        <v>804</v>
      </c>
      <c r="AR266" s="37">
        <f t="shared" si="118"/>
        <v>1</v>
      </c>
      <c r="AS266" s="38">
        <f t="shared" si="119"/>
        <v>0.83750000000000002</v>
      </c>
      <c r="AT266" s="38">
        <f t="shared" si="120"/>
        <v>1</v>
      </c>
      <c r="AU266" s="27">
        <f t="shared" si="121"/>
        <v>0.83750000000000002</v>
      </c>
    </row>
    <row r="267" spans="1:47" s="1" customFormat="1" ht="23.1" customHeight="1" x14ac:dyDescent="0.25">
      <c r="A267" s="109">
        <v>46041</v>
      </c>
      <c r="B267" s="47" t="s">
        <v>49</v>
      </c>
      <c r="C267" s="78" t="s">
        <v>51</v>
      </c>
      <c r="D267" s="47" t="s">
        <v>172</v>
      </c>
      <c r="E267" s="48">
        <v>98992</v>
      </c>
      <c r="F267" s="48" t="s">
        <v>175</v>
      </c>
      <c r="G267" s="48" t="s">
        <v>87</v>
      </c>
      <c r="H267" s="30">
        <v>15882</v>
      </c>
      <c r="I267" s="30">
        <v>20</v>
      </c>
      <c r="J267" s="28">
        <f t="shared" si="117"/>
        <v>180</v>
      </c>
      <c r="K267" s="31">
        <v>0.58333333333333337</v>
      </c>
      <c r="L267" s="31">
        <v>0.9375</v>
      </c>
      <c r="M267" s="32">
        <f t="shared" si="125"/>
        <v>0.35416666666666663</v>
      </c>
      <c r="N267" s="36">
        <v>510</v>
      </c>
      <c r="O267" s="36">
        <f t="shared" si="123"/>
        <v>260</v>
      </c>
      <c r="P267" s="36">
        <f t="shared" si="124"/>
        <v>260</v>
      </c>
      <c r="Q267" s="15">
        <v>0</v>
      </c>
      <c r="R267" s="20">
        <v>0</v>
      </c>
      <c r="S267" s="16">
        <v>0</v>
      </c>
      <c r="T267" s="16">
        <v>0</v>
      </c>
      <c r="U267" s="20">
        <v>0</v>
      </c>
      <c r="V267" s="20">
        <v>0</v>
      </c>
      <c r="W267" s="20">
        <v>0</v>
      </c>
      <c r="X267" s="20">
        <v>0</v>
      </c>
      <c r="Y267" s="20">
        <v>0</v>
      </c>
      <c r="Z267" s="20">
        <v>0</v>
      </c>
      <c r="AA267" s="20">
        <v>0</v>
      </c>
      <c r="AB267" s="20">
        <v>0</v>
      </c>
      <c r="AC267" s="15">
        <f t="shared" si="105"/>
        <v>0</v>
      </c>
      <c r="AD267" s="15">
        <v>0</v>
      </c>
      <c r="AE267" s="15">
        <v>0</v>
      </c>
      <c r="AF267" s="15">
        <v>0</v>
      </c>
      <c r="AG267" s="15">
        <v>180</v>
      </c>
      <c r="AH267" s="15">
        <v>0</v>
      </c>
      <c r="AI267" s="15">
        <v>30</v>
      </c>
      <c r="AJ267" s="15">
        <v>10</v>
      </c>
      <c r="AK267" s="15">
        <v>30</v>
      </c>
      <c r="AL267" s="15">
        <f t="shared" si="104"/>
        <v>250</v>
      </c>
      <c r="AM267" s="29">
        <f t="shared" si="122"/>
        <v>780</v>
      </c>
      <c r="AN267" s="19">
        <v>600</v>
      </c>
      <c r="AO267" s="21">
        <v>0</v>
      </c>
      <c r="AP267" s="22">
        <v>0</v>
      </c>
      <c r="AQ267" s="26">
        <f t="shared" si="112"/>
        <v>600</v>
      </c>
      <c r="AR267" s="37">
        <f t="shared" si="118"/>
        <v>1</v>
      </c>
      <c r="AS267" s="38">
        <f t="shared" si="119"/>
        <v>0.76923076923076927</v>
      </c>
      <c r="AT267" s="38">
        <f t="shared" si="120"/>
        <v>1</v>
      </c>
      <c r="AU267" s="27">
        <f t="shared" si="121"/>
        <v>0.76923076923076927</v>
      </c>
    </row>
    <row r="268" spans="1:47" s="1" customFormat="1" ht="23.1" customHeight="1" x14ac:dyDescent="0.25">
      <c r="A268" s="109">
        <v>46041</v>
      </c>
      <c r="B268" s="47" t="s">
        <v>49</v>
      </c>
      <c r="C268" s="78" t="s">
        <v>51</v>
      </c>
      <c r="D268" s="47" t="s">
        <v>124</v>
      </c>
      <c r="E268" s="48">
        <v>98992</v>
      </c>
      <c r="F268" s="48" t="s">
        <v>215</v>
      </c>
      <c r="G268" s="48" t="s">
        <v>125</v>
      </c>
      <c r="H268" s="30">
        <v>14972</v>
      </c>
      <c r="I268" s="30">
        <v>32</v>
      </c>
      <c r="J268" s="28">
        <f t="shared" si="117"/>
        <v>112.5</v>
      </c>
      <c r="K268" s="31">
        <v>0.58333333333333337</v>
      </c>
      <c r="L268" s="31">
        <v>0.9375</v>
      </c>
      <c r="M268" s="32">
        <f t="shared" si="125"/>
        <v>0.35416666666666663</v>
      </c>
      <c r="N268" s="36">
        <v>510</v>
      </c>
      <c r="O268" s="36">
        <f t="shared" si="123"/>
        <v>440</v>
      </c>
      <c r="P268" s="36">
        <f t="shared" si="124"/>
        <v>440</v>
      </c>
      <c r="Q268" s="15">
        <v>0</v>
      </c>
      <c r="R268" s="20">
        <v>0</v>
      </c>
      <c r="S268" s="16">
        <v>0</v>
      </c>
      <c r="T268" s="16">
        <v>0</v>
      </c>
      <c r="U268" s="20">
        <v>0</v>
      </c>
      <c r="V268" s="20">
        <v>0</v>
      </c>
      <c r="W268" s="20">
        <v>0</v>
      </c>
      <c r="X268" s="20">
        <v>0</v>
      </c>
      <c r="Y268" s="20">
        <v>0</v>
      </c>
      <c r="Z268" s="20">
        <v>0</v>
      </c>
      <c r="AA268" s="20">
        <v>0</v>
      </c>
      <c r="AB268" s="20">
        <v>0</v>
      </c>
      <c r="AC268" s="15">
        <f t="shared" si="105"/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30</v>
      </c>
      <c r="AJ268" s="15">
        <v>10</v>
      </c>
      <c r="AK268" s="15">
        <v>30</v>
      </c>
      <c r="AL268" s="15">
        <f t="shared" si="104"/>
        <v>70</v>
      </c>
      <c r="AM268" s="29">
        <f t="shared" si="122"/>
        <v>825</v>
      </c>
      <c r="AN268" s="19">
        <v>761</v>
      </c>
      <c r="AO268" s="21">
        <v>0</v>
      </c>
      <c r="AP268" s="22">
        <v>1</v>
      </c>
      <c r="AQ268" s="26">
        <f t="shared" si="112"/>
        <v>760</v>
      </c>
      <c r="AR268" s="37">
        <f t="shared" si="118"/>
        <v>1</v>
      </c>
      <c r="AS268" s="38">
        <f t="shared" si="119"/>
        <v>0.92242424242424237</v>
      </c>
      <c r="AT268" s="38">
        <f t="shared" si="120"/>
        <v>0.99868593955321949</v>
      </c>
      <c r="AU268" s="27">
        <f t="shared" si="121"/>
        <v>0.92121212121212115</v>
      </c>
    </row>
    <row r="269" spans="1:47" s="1" customFormat="1" ht="23.1" customHeight="1" x14ac:dyDescent="0.25">
      <c r="A269" s="109">
        <v>46041</v>
      </c>
      <c r="B269" s="47" t="s">
        <v>49</v>
      </c>
      <c r="C269" s="78" t="s">
        <v>51</v>
      </c>
      <c r="D269" s="47" t="s">
        <v>122</v>
      </c>
      <c r="E269" s="48">
        <v>98992</v>
      </c>
      <c r="F269" s="48" t="s">
        <v>169</v>
      </c>
      <c r="G269" s="48" t="s">
        <v>125</v>
      </c>
      <c r="H269" s="30">
        <v>15676</v>
      </c>
      <c r="I269" s="30">
        <v>32</v>
      </c>
      <c r="J269" s="28">
        <f t="shared" si="117"/>
        <v>112.5</v>
      </c>
      <c r="K269" s="31">
        <v>0.58333333333333337</v>
      </c>
      <c r="L269" s="31">
        <v>0.9375</v>
      </c>
      <c r="M269" s="32">
        <f t="shared" si="125"/>
        <v>0.35416666666666663</v>
      </c>
      <c r="N269" s="36">
        <v>510</v>
      </c>
      <c r="O269" s="36">
        <f t="shared" si="123"/>
        <v>440</v>
      </c>
      <c r="P269" s="36">
        <f t="shared" si="124"/>
        <v>440</v>
      </c>
      <c r="Q269" s="15">
        <v>0</v>
      </c>
      <c r="R269" s="20">
        <v>0</v>
      </c>
      <c r="S269" s="16">
        <v>0</v>
      </c>
      <c r="T269" s="16">
        <v>0</v>
      </c>
      <c r="U269" s="20">
        <v>0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15">
        <f t="shared" si="105"/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30</v>
      </c>
      <c r="AJ269" s="15">
        <v>10</v>
      </c>
      <c r="AK269" s="15">
        <v>30</v>
      </c>
      <c r="AL269" s="15">
        <f t="shared" si="104"/>
        <v>70</v>
      </c>
      <c r="AM269" s="29">
        <f t="shared" si="122"/>
        <v>825</v>
      </c>
      <c r="AN269" s="19">
        <v>601</v>
      </c>
      <c r="AO269" s="21">
        <v>0</v>
      </c>
      <c r="AP269" s="22">
        <v>3</v>
      </c>
      <c r="AQ269" s="26">
        <f t="shared" si="112"/>
        <v>598</v>
      </c>
      <c r="AR269" s="37">
        <f t="shared" si="118"/>
        <v>1</v>
      </c>
      <c r="AS269" s="38">
        <f t="shared" si="119"/>
        <v>0.72848484848484851</v>
      </c>
      <c r="AT269" s="38">
        <f t="shared" si="120"/>
        <v>0.99500831946755408</v>
      </c>
      <c r="AU269" s="27">
        <f t="shared" si="121"/>
        <v>0.72484848484848485</v>
      </c>
    </row>
    <row r="270" spans="1:47" s="1" customFormat="1" ht="23.1" customHeight="1" x14ac:dyDescent="0.25">
      <c r="A270" s="109">
        <v>46041</v>
      </c>
      <c r="B270" s="47" t="s">
        <v>49</v>
      </c>
      <c r="C270" s="78" t="s">
        <v>51</v>
      </c>
      <c r="D270" s="47" t="s">
        <v>128</v>
      </c>
      <c r="E270" s="48">
        <v>98992</v>
      </c>
      <c r="F270" s="48" t="s">
        <v>53</v>
      </c>
      <c r="G270" s="48" t="s">
        <v>125</v>
      </c>
      <c r="H270" s="30">
        <v>15773</v>
      </c>
      <c r="I270" s="30">
        <v>32</v>
      </c>
      <c r="J270" s="28">
        <f t="shared" si="117"/>
        <v>112.5</v>
      </c>
      <c r="K270" s="31">
        <v>0.58333333333333337</v>
      </c>
      <c r="L270" s="31">
        <v>0.9375</v>
      </c>
      <c r="M270" s="32">
        <f t="shared" si="125"/>
        <v>0.35416666666666663</v>
      </c>
      <c r="N270" s="36">
        <v>510</v>
      </c>
      <c r="O270" s="36">
        <f t="shared" si="123"/>
        <v>440</v>
      </c>
      <c r="P270" s="36">
        <f t="shared" si="124"/>
        <v>440</v>
      </c>
      <c r="Q270" s="15">
        <v>0</v>
      </c>
      <c r="R270" s="20">
        <v>0</v>
      </c>
      <c r="S270" s="16">
        <v>0</v>
      </c>
      <c r="T270" s="16">
        <v>0</v>
      </c>
      <c r="U270" s="20">
        <v>0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15">
        <f t="shared" si="105"/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30</v>
      </c>
      <c r="AJ270" s="15">
        <v>10</v>
      </c>
      <c r="AK270" s="15">
        <v>30</v>
      </c>
      <c r="AL270" s="15">
        <f t="shared" si="104"/>
        <v>70</v>
      </c>
      <c r="AM270" s="29">
        <f t="shared" si="122"/>
        <v>825</v>
      </c>
      <c r="AN270" s="19">
        <v>641</v>
      </c>
      <c r="AO270" s="21">
        <v>0</v>
      </c>
      <c r="AP270" s="22">
        <v>2</v>
      </c>
      <c r="AQ270" s="26">
        <f t="shared" si="112"/>
        <v>639</v>
      </c>
      <c r="AR270" s="37">
        <f t="shared" si="118"/>
        <v>1</v>
      </c>
      <c r="AS270" s="38">
        <f t="shared" si="119"/>
        <v>0.77696969696969698</v>
      </c>
      <c r="AT270" s="38">
        <f t="shared" si="120"/>
        <v>0.99687987519500776</v>
      </c>
      <c r="AU270" s="27">
        <f t="shared" si="121"/>
        <v>0.77454545454545454</v>
      </c>
    </row>
    <row r="271" spans="1:47" s="1" customFormat="1" ht="23.1" customHeight="1" x14ac:dyDescent="0.25">
      <c r="A271" s="109">
        <v>46041</v>
      </c>
      <c r="B271" s="47" t="s">
        <v>49</v>
      </c>
      <c r="C271" s="78" t="s">
        <v>51</v>
      </c>
      <c r="D271" s="47" t="s">
        <v>170</v>
      </c>
      <c r="E271" s="48">
        <v>98992</v>
      </c>
      <c r="F271" s="48" t="s">
        <v>176</v>
      </c>
      <c r="G271" s="48" t="s">
        <v>125</v>
      </c>
      <c r="H271" s="30">
        <v>13105</v>
      </c>
      <c r="I271" s="30">
        <v>20</v>
      </c>
      <c r="J271" s="28">
        <f t="shared" si="117"/>
        <v>180</v>
      </c>
      <c r="K271" s="31">
        <v>0.58333333333333337</v>
      </c>
      <c r="L271" s="31">
        <v>0.9375</v>
      </c>
      <c r="M271" s="32">
        <f t="shared" si="125"/>
        <v>0.35416666666666663</v>
      </c>
      <c r="N271" s="36">
        <v>510</v>
      </c>
      <c r="O271" s="36">
        <f t="shared" si="123"/>
        <v>260</v>
      </c>
      <c r="P271" s="36">
        <f t="shared" si="124"/>
        <v>260</v>
      </c>
      <c r="Q271" s="15">
        <v>0</v>
      </c>
      <c r="R271" s="20">
        <v>0</v>
      </c>
      <c r="S271" s="16">
        <v>0</v>
      </c>
      <c r="T271" s="16">
        <v>0</v>
      </c>
      <c r="U271" s="20">
        <v>0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15">
        <f t="shared" si="105"/>
        <v>0</v>
      </c>
      <c r="AD271" s="15">
        <v>0</v>
      </c>
      <c r="AE271" s="15">
        <v>0</v>
      </c>
      <c r="AF271" s="15">
        <v>0</v>
      </c>
      <c r="AG271" s="15">
        <v>180</v>
      </c>
      <c r="AH271" s="15">
        <v>0</v>
      </c>
      <c r="AI271" s="15">
        <v>30</v>
      </c>
      <c r="AJ271" s="15">
        <v>10</v>
      </c>
      <c r="AK271" s="15">
        <v>30</v>
      </c>
      <c r="AL271" s="15">
        <f t="shared" si="104"/>
        <v>250</v>
      </c>
      <c r="AM271" s="29">
        <f t="shared" si="122"/>
        <v>780</v>
      </c>
      <c r="AN271" s="19">
        <v>588</v>
      </c>
      <c r="AO271" s="21">
        <v>0</v>
      </c>
      <c r="AP271" s="22">
        <v>1</v>
      </c>
      <c r="AQ271" s="26">
        <f t="shared" si="112"/>
        <v>587</v>
      </c>
      <c r="AR271" s="37">
        <f t="shared" si="118"/>
        <v>1</v>
      </c>
      <c r="AS271" s="38">
        <f t="shared" si="119"/>
        <v>0.75384615384615383</v>
      </c>
      <c r="AT271" s="38">
        <f t="shared" si="120"/>
        <v>0.99829931972789121</v>
      </c>
      <c r="AU271" s="27">
        <f t="shared" si="121"/>
        <v>0.75256410256410255</v>
      </c>
    </row>
    <row r="272" spans="1:47" s="1" customFormat="1" ht="23.1" customHeight="1" x14ac:dyDescent="0.25">
      <c r="A272" s="109">
        <v>46041</v>
      </c>
      <c r="B272" s="47" t="s">
        <v>49</v>
      </c>
      <c r="C272" s="78" t="s">
        <v>51</v>
      </c>
      <c r="D272" s="47" t="s">
        <v>127</v>
      </c>
      <c r="E272" s="48">
        <v>98992</v>
      </c>
      <c r="F272" s="48" t="s">
        <v>175</v>
      </c>
      <c r="G272" s="48" t="s">
        <v>125</v>
      </c>
      <c r="H272" s="30">
        <v>13105</v>
      </c>
      <c r="I272" s="30">
        <v>20</v>
      </c>
      <c r="J272" s="28">
        <f t="shared" si="117"/>
        <v>180</v>
      </c>
      <c r="K272" s="31">
        <v>0.58333333333333337</v>
      </c>
      <c r="L272" s="31">
        <v>0.9375</v>
      </c>
      <c r="M272" s="32">
        <f t="shared" si="125"/>
        <v>0.35416666666666663</v>
      </c>
      <c r="N272" s="36">
        <v>510</v>
      </c>
      <c r="O272" s="36">
        <f t="shared" si="123"/>
        <v>260</v>
      </c>
      <c r="P272" s="36">
        <f t="shared" si="124"/>
        <v>260</v>
      </c>
      <c r="Q272" s="15">
        <v>0</v>
      </c>
      <c r="R272" s="20">
        <v>0</v>
      </c>
      <c r="S272" s="16">
        <v>0</v>
      </c>
      <c r="T272" s="16">
        <v>0</v>
      </c>
      <c r="U272" s="20">
        <v>0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15">
        <f t="shared" si="105"/>
        <v>0</v>
      </c>
      <c r="AD272" s="15">
        <v>0</v>
      </c>
      <c r="AE272" s="15">
        <v>0</v>
      </c>
      <c r="AF272" s="15">
        <v>0</v>
      </c>
      <c r="AG272" s="15">
        <v>180</v>
      </c>
      <c r="AH272" s="15">
        <v>0</v>
      </c>
      <c r="AI272" s="15">
        <v>30</v>
      </c>
      <c r="AJ272" s="15">
        <v>10</v>
      </c>
      <c r="AK272" s="15">
        <v>30</v>
      </c>
      <c r="AL272" s="15">
        <f t="shared" si="104"/>
        <v>250</v>
      </c>
      <c r="AM272" s="29">
        <f t="shared" si="122"/>
        <v>780</v>
      </c>
      <c r="AN272" s="20">
        <v>600</v>
      </c>
      <c r="AO272" s="21">
        <v>0</v>
      </c>
      <c r="AP272" s="22">
        <v>0</v>
      </c>
      <c r="AQ272" s="26">
        <f t="shared" si="112"/>
        <v>600</v>
      </c>
      <c r="AR272" s="37">
        <f t="shared" si="118"/>
        <v>1</v>
      </c>
      <c r="AS272" s="38">
        <f t="shared" si="119"/>
        <v>0.76923076923076927</v>
      </c>
      <c r="AT272" s="38">
        <f t="shared" si="120"/>
        <v>1</v>
      </c>
      <c r="AU272" s="27">
        <f t="shared" si="121"/>
        <v>0.76923076923076927</v>
      </c>
    </row>
    <row r="273" spans="1:47" s="1" customFormat="1" ht="23.1" customHeight="1" x14ac:dyDescent="0.25">
      <c r="A273" s="109">
        <v>46042</v>
      </c>
      <c r="B273" s="47" t="s">
        <v>49</v>
      </c>
      <c r="C273" s="78" t="s">
        <v>21</v>
      </c>
      <c r="D273" s="47" t="s">
        <v>94</v>
      </c>
      <c r="E273" s="48">
        <v>98992</v>
      </c>
      <c r="F273" s="48" t="s">
        <v>67</v>
      </c>
      <c r="G273" s="48" t="s">
        <v>174</v>
      </c>
      <c r="H273" s="30">
        <v>13069</v>
      </c>
      <c r="I273" s="30">
        <v>24</v>
      </c>
      <c r="J273" s="28">
        <f t="shared" ref="J273:J293" si="126">3600/I273</f>
        <v>150</v>
      </c>
      <c r="K273" s="31">
        <v>0.25</v>
      </c>
      <c r="L273" s="31">
        <v>0.60416666666666696</v>
      </c>
      <c r="M273" s="32">
        <f t="shared" si="125"/>
        <v>0.35416666666666696</v>
      </c>
      <c r="N273" s="36">
        <v>510</v>
      </c>
      <c r="O273" s="36">
        <f t="shared" si="123"/>
        <v>440</v>
      </c>
      <c r="P273" s="36">
        <f t="shared" si="124"/>
        <v>440</v>
      </c>
      <c r="Q273" s="15">
        <v>0</v>
      </c>
      <c r="R273" s="20">
        <v>0</v>
      </c>
      <c r="S273" s="16">
        <v>0</v>
      </c>
      <c r="T273" s="16">
        <v>0</v>
      </c>
      <c r="U273" s="20">
        <v>0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15">
        <f t="shared" si="105"/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30</v>
      </c>
      <c r="AJ273" s="15">
        <v>10</v>
      </c>
      <c r="AK273" s="15">
        <v>30</v>
      </c>
      <c r="AL273" s="15">
        <f t="shared" si="104"/>
        <v>70</v>
      </c>
      <c r="AM273" s="29">
        <f t="shared" si="122"/>
        <v>1100</v>
      </c>
      <c r="AN273" s="19">
        <v>980</v>
      </c>
      <c r="AO273" s="21">
        <v>0</v>
      </c>
      <c r="AP273" s="22">
        <v>43</v>
      </c>
      <c r="AQ273" s="26">
        <f t="shared" si="112"/>
        <v>937</v>
      </c>
      <c r="AR273" s="37">
        <f t="shared" si="118"/>
        <v>1</v>
      </c>
      <c r="AS273" s="38">
        <f t="shared" si="119"/>
        <v>0.89090909090909087</v>
      </c>
      <c r="AT273" s="38">
        <f t="shared" si="120"/>
        <v>0.95612244897959187</v>
      </c>
      <c r="AU273" s="27">
        <f t="shared" si="121"/>
        <v>0.85181818181818181</v>
      </c>
    </row>
    <row r="274" spans="1:47" s="1" customFormat="1" ht="23.1" customHeight="1" x14ac:dyDescent="0.25">
      <c r="A274" s="109">
        <v>46042</v>
      </c>
      <c r="B274" s="47" t="s">
        <v>49</v>
      </c>
      <c r="C274" s="78" t="s">
        <v>21</v>
      </c>
      <c r="D274" s="47" t="s">
        <v>88</v>
      </c>
      <c r="E274" s="48">
        <v>98992</v>
      </c>
      <c r="F274" s="48" t="s">
        <v>126</v>
      </c>
      <c r="G274" s="48" t="s">
        <v>87</v>
      </c>
      <c r="H274" s="30">
        <v>13106</v>
      </c>
      <c r="I274" s="30">
        <v>32</v>
      </c>
      <c r="J274" s="28">
        <f t="shared" si="126"/>
        <v>112.5</v>
      </c>
      <c r="K274" s="31">
        <v>0.25</v>
      </c>
      <c r="L274" s="31">
        <v>0.60416666666666696</v>
      </c>
      <c r="M274" s="32">
        <f t="shared" si="125"/>
        <v>0.35416666666666696</v>
      </c>
      <c r="N274" s="36">
        <v>510</v>
      </c>
      <c r="O274" s="36">
        <f t="shared" si="123"/>
        <v>380</v>
      </c>
      <c r="P274" s="36">
        <f t="shared" si="124"/>
        <v>380</v>
      </c>
      <c r="Q274" s="15">
        <v>0</v>
      </c>
      <c r="R274" s="20">
        <v>0</v>
      </c>
      <c r="S274" s="16">
        <v>0</v>
      </c>
      <c r="T274" s="16">
        <v>0</v>
      </c>
      <c r="U274" s="20">
        <v>0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15">
        <f t="shared" si="105"/>
        <v>0</v>
      </c>
      <c r="AD274" s="15">
        <v>0</v>
      </c>
      <c r="AE274" s="15">
        <v>0</v>
      </c>
      <c r="AF274" s="15">
        <v>0</v>
      </c>
      <c r="AG274" s="15">
        <v>60</v>
      </c>
      <c r="AH274" s="15">
        <v>0</v>
      </c>
      <c r="AI274" s="15">
        <v>30</v>
      </c>
      <c r="AJ274" s="15">
        <v>10</v>
      </c>
      <c r="AK274" s="15">
        <v>30</v>
      </c>
      <c r="AL274" s="15">
        <f t="shared" si="104"/>
        <v>130</v>
      </c>
      <c r="AM274" s="29">
        <f t="shared" si="122"/>
        <v>712.5</v>
      </c>
      <c r="AN274" s="19">
        <v>550</v>
      </c>
      <c r="AO274" s="21">
        <v>0</v>
      </c>
      <c r="AP274" s="22">
        <v>1</v>
      </c>
      <c r="AQ274" s="26">
        <f t="shared" si="112"/>
        <v>549</v>
      </c>
      <c r="AR274" s="37">
        <f t="shared" si="118"/>
        <v>1</v>
      </c>
      <c r="AS274" s="38">
        <f t="shared" si="119"/>
        <v>0.77192982456140347</v>
      </c>
      <c r="AT274" s="38">
        <f t="shared" si="120"/>
        <v>0.99818181818181817</v>
      </c>
      <c r="AU274" s="27">
        <f t="shared" si="121"/>
        <v>0.77052631578947361</v>
      </c>
    </row>
    <row r="275" spans="1:47" s="1" customFormat="1" ht="23.1" customHeight="1" x14ac:dyDescent="0.25">
      <c r="A275" s="109">
        <v>46042</v>
      </c>
      <c r="B275" s="47" t="s">
        <v>49</v>
      </c>
      <c r="C275" s="78" t="s">
        <v>21</v>
      </c>
      <c r="D275" s="47" t="s">
        <v>89</v>
      </c>
      <c r="E275" s="48">
        <v>98992</v>
      </c>
      <c r="F275" s="48" t="s">
        <v>169</v>
      </c>
      <c r="G275" s="48" t="s">
        <v>87</v>
      </c>
      <c r="H275" s="30">
        <v>16219</v>
      </c>
      <c r="I275" s="30">
        <v>32</v>
      </c>
      <c r="J275" s="28">
        <f t="shared" si="126"/>
        <v>112.5</v>
      </c>
      <c r="K275" s="31">
        <v>0.25</v>
      </c>
      <c r="L275" s="31">
        <v>0.60416666666666696</v>
      </c>
      <c r="M275" s="32">
        <f t="shared" si="125"/>
        <v>0.35416666666666696</v>
      </c>
      <c r="N275" s="36">
        <v>510</v>
      </c>
      <c r="O275" s="36">
        <f t="shared" si="123"/>
        <v>380</v>
      </c>
      <c r="P275" s="36">
        <f t="shared" si="124"/>
        <v>380</v>
      </c>
      <c r="Q275" s="15">
        <v>0</v>
      </c>
      <c r="R275" s="20">
        <v>0</v>
      </c>
      <c r="S275" s="16">
        <v>0</v>
      </c>
      <c r="T275" s="16">
        <v>0</v>
      </c>
      <c r="U275" s="20">
        <v>0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15">
        <f t="shared" si="105"/>
        <v>0</v>
      </c>
      <c r="AD275" s="15">
        <v>0</v>
      </c>
      <c r="AE275" s="15">
        <v>0</v>
      </c>
      <c r="AF275" s="15">
        <v>0</v>
      </c>
      <c r="AG275" s="15">
        <v>60</v>
      </c>
      <c r="AH275" s="15">
        <v>0</v>
      </c>
      <c r="AI275" s="15">
        <v>30</v>
      </c>
      <c r="AJ275" s="15">
        <v>10</v>
      </c>
      <c r="AK275" s="15">
        <v>30</v>
      </c>
      <c r="AL275" s="15">
        <f t="shared" si="104"/>
        <v>130</v>
      </c>
      <c r="AM275" s="29">
        <f t="shared" si="122"/>
        <v>712.5</v>
      </c>
      <c r="AN275" s="19">
        <v>520</v>
      </c>
      <c r="AO275" s="21">
        <v>0</v>
      </c>
      <c r="AP275" s="22">
        <v>1</v>
      </c>
      <c r="AQ275" s="26">
        <f t="shared" si="112"/>
        <v>519</v>
      </c>
      <c r="AR275" s="37">
        <f t="shared" si="118"/>
        <v>1</v>
      </c>
      <c r="AS275" s="38">
        <f t="shared" si="119"/>
        <v>0.72982456140350882</v>
      </c>
      <c r="AT275" s="38">
        <f t="shared" si="120"/>
        <v>0.99807692307692308</v>
      </c>
      <c r="AU275" s="27">
        <f t="shared" si="121"/>
        <v>0.72842105263157897</v>
      </c>
    </row>
    <row r="276" spans="1:47" s="1" customFormat="1" ht="23.1" customHeight="1" x14ac:dyDescent="0.25">
      <c r="A276" s="109">
        <v>46042</v>
      </c>
      <c r="B276" s="47" t="s">
        <v>49</v>
      </c>
      <c r="C276" s="78" t="s">
        <v>21</v>
      </c>
      <c r="D276" s="47" t="s">
        <v>52</v>
      </c>
      <c r="E276" s="48">
        <v>98992</v>
      </c>
      <c r="F276" s="48" t="s">
        <v>53</v>
      </c>
      <c r="G276" s="48" t="s">
        <v>87</v>
      </c>
      <c r="H276" s="30">
        <v>14957</v>
      </c>
      <c r="I276" s="30">
        <v>32</v>
      </c>
      <c r="J276" s="28">
        <f t="shared" si="126"/>
        <v>112.5</v>
      </c>
      <c r="K276" s="31">
        <v>0.25</v>
      </c>
      <c r="L276" s="31">
        <v>0.60416666666666696</v>
      </c>
      <c r="M276" s="32">
        <f t="shared" si="125"/>
        <v>0.35416666666666696</v>
      </c>
      <c r="N276" s="36">
        <v>510</v>
      </c>
      <c r="O276" s="36">
        <f t="shared" si="123"/>
        <v>440</v>
      </c>
      <c r="P276" s="36">
        <f t="shared" si="124"/>
        <v>440</v>
      </c>
      <c r="Q276" s="15"/>
      <c r="R276" s="20"/>
      <c r="S276" s="16"/>
      <c r="T276" s="16"/>
      <c r="U276" s="20"/>
      <c r="V276" s="20"/>
      <c r="W276" s="20"/>
      <c r="X276" s="20"/>
      <c r="Y276" s="20"/>
      <c r="Z276" s="20"/>
      <c r="AA276" s="20"/>
      <c r="AB276" s="20"/>
      <c r="AC276" s="15">
        <f t="shared" si="105"/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30</v>
      </c>
      <c r="AJ276" s="15">
        <v>10</v>
      </c>
      <c r="AK276" s="15">
        <v>30</v>
      </c>
      <c r="AL276" s="15">
        <f t="shared" si="104"/>
        <v>70</v>
      </c>
      <c r="AM276" s="29">
        <f t="shared" si="122"/>
        <v>825</v>
      </c>
      <c r="AN276" s="19">
        <v>630</v>
      </c>
      <c r="AO276" s="21">
        <v>0</v>
      </c>
      <c r="AP276" s="22">
        <v>1</v>
      </c>
      <c r="AQ276" s="26">
        <f t="shared" si="112"/>
        <v>629</v>
      </c>
      <c r="AR276" s="37">
        <f t="shared" si="118"/>
        <v>1</v>
      </c>
      <c r="AS276" s="38">
        <f t="shared" si="119"/>
        <v>0.76363636363636367</v>
      </c>
      <c r="AT276" s="38">
        <f t="shared" si="120"/>
        <v>0.99841269841269842</v>
      </c>
      <c r="AU276" s="27">
        <f t="shared" si="121"/>
        <v>0.76242424242424245</v>
      </c>
    </row>
    <row r="277" spans="1:47" s="1" customFormat="1" ht="23.1" customHeight="1" x14ac:dyDescent="0.25">
      <c r="A277" s="109">
        <v>46042</v>
      </c>
      <c r="B277" s="47" t="s">
        <v>49</v>
      </c>
      <c r="C277" s="78" t="s">
        <v>21</v>
      </c>
      <c r="D277" s="47" t="s">
        <v>124</v>
      </c>
      <c r="E277" s="48">
        <v>98992</v>
      </c>
      <c r="F277" s="48" t="s">
        <v>215</v>
      </c>
      <c r="G277" s="48" t="s">
        <v>125</v>
      </c>
      <c r="H277" s="30">
        <v>13105</v>
      </c>
      <c r="I277" s="30">
        <v>32</v>
      </c>
      <c r="J277" s="28">
        <f t="shared" si="126"/>
        <v>112.5</v>
      </c>
      <c r="K277" s="31">
        <v>0.25</v>
      </c>
      <c r="L277" s="31">
        <v>0.60416666666666696</v>
      </c>
      <c r="M277" s="32">
        <f t="shared" si="125"/>
        <v>0.35416666666666696</v>
      </c>
      <c r="N277" s="36">
        <v>510</v>
      </c>
      <c r="O277" s="36">
        <f t="shared" si="123"/>
        <v>440</v>
      </c>
      <c r="P277" s="36">
        <f t="shared" si="124"/>
        <v>440</v>
      </c>
      <c r="Q277" s="15"/>
      <c r="R277" s="20"/>
      <c r="S277" s="16"/>
      <c r="T277" s="16"/>
      <c r="U277" s="20"/>
      <c r="V277" s="20"/>
      <c r="W277" s="20"/>
      <c r="X277" s="20"/>
      <c r="Y277" s="20"/>
      <c r="Z277" s="20"/>
      <c r="AA277" s="20"/>
      <c r="AB277" s="20"/>
      <c r="AC277" s="15">
        <f t="shared" si="105"/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30</v>
      </c>
      <c r="AJ277" s="15">
        <v>10</v>
      </c>
      <c r="AK277" s="15">
        <v>30</v>
      </c>
      <c r="AL277" s="15">
        <f t="shared" si="104"/>
        <v>70</v>
      </c>
      <c r="AM277" s="29">
        <f t="shared" si="122"/>
        <v>825</v>
      </c>
      <c r="AN277" s="19">
        <v>750</v>
      </c>
      <c r="AO277" s="21">
        <v>0</v>
      </c>
      <c r="AP277" s="22">
        <v>1</v>
      </c>
      <c r="AQ277" s="26">
        <f t="shared" si="112"/>
        <v>749</v>
      </c>
      <c r="AR277" s="37">
        <f t="shared" si="118"/>
        <v>1</v>
      </c>
      <c r="AS277" s="38">
        <f t="shared" si="119"/>
        <v>0.90909090909090906</v>
      </c>
      <c r="AT277" s="38">
        <f t="shared" si="120"/>
        <v>0.9986666666666667</v>
      </c>
      <c r="AU277" s="27">
        <f t="shared" si="121"/>
        <v>0.90787878787878784</v>
      </c>
    </row>
    <row r="278" spans="1:47" s="1" customFormat="1" ht="23.1" customHeight="1" x14ac:dyDescent="0.25">
      <c r="A278" s="109">
        <v>46042</v>
      </c>
      <c r="B278" s="47" t="s">
        <v>49</v>
      </c>
      <c r="C278" s="78" t="s">
        <v>21</v>
      </c>
      <c r="D278" s="47" t="s">
        <v>122</v>
      </c>
      <c r="E278" s="48">
        <v>98992</v>
      </c>
      <c r="F278" s="48" t="s">
        <v>169</v>
      </c>
      <c r="G278" s="48" t="s">
        <v>125</v>
      </c>
      <c r="H278" s="30">
        <v>14957</v>
      </c>
      <c r="I278" s="30">
        <v>32</v>
      </c>
      <c r="J278" s="28">
        <f t="shared" si="126"/>
        <v>112.5</v>
      </c>
      <c r="K278" s="31">
        <v>0.25</v>
      </c>
      <c r="L278" s="31">
        <v>0.60416666666666696</v>
      </c>
      <c r="M278" s="32">
        <f t="shared" si="125"/>
        <v>0.35416666666666696</v>
      </c>
      <c r="N278" s="36">
        <v>510</v>
      </c>
      <c r="O278" s="36">
        <f t="shared" si="123"/>
        <v>380</v>
      </c>
      <c r="P278" s="36">
        <f t="shared" si="124"/>
        <v>380</v>
      </c>
      <c r="Q278" s="15">
        <v>0</v>
      </c>
      <c r="R278" s="20">
        <v>0</v>
      </c>
      <c r="S278" s="16">
        <v>0</v>
      </c>
      <c r="T278" s="16">
        <v>0</v>
      </c>
      <c r="U278" s="20">
        <v>0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15">
        <f t="shared" si="105"/>
        <v>0</v>
      </c>
      <c r="AD278" s="15">
        <v>0</v>
      </c>
      <c r="AE278" s="15">
        <v>0</v>
      </c>
      <c r="AF278" s="15">
        <v>0</v>
      </c>
      <c r="AG278" s="15">
        <v>60</v>
      </c>
      <c r="AH278" s="15">
        <v>0</v>
      </c>
      <c r="AI278" s="15">
        <v>30</v>
      </c>
      <c r="AJ278" s="15">
        <v>10</v>
      </c>
      <c r="AK278" s="15">
        <v>30</v>
      </c>
      <c r="AL278" s="15">
        <f t="shared" si="104"/>
        <v>130</v>
      </c>
      <c r="AM278" s="29">
        <f t="shared" si="122"/>
        <v>712.5</v>
      </c>
      <c r="AN278" s="19">
        <v>580</v>
      </c>
      <c r="AO278" s="21">
        <v>0</v>
      </c>
      <c r="AP278" s="22">
        <v>2</v>
      </c>
      <c r="AQ278" s="26">
        <f t="shared" si="112"/>
        <v>578</v>
      </c>
      <c r="AR278" s="37">
        <f t="shared" si="118"/>
        <v>1</v>
      </c>
      <c r="AS278" s="38">
        <f t="shared" si="119"/>
        <v>0.81403508771929822</v>
      </c>
      <c r="AT278" s="38">
        <f t="shared" si="120"/>
        <v>0.99655172413793103</v>
      </c>
      <c r="AU278" s="27">
        <f t="shared" si="121"/>
        <v>0.81122807017543852</v>
      </c>
    </row>
    <row r="279" spans="1:47" s="1" customFormat="1" ht="23.1" customHeight="1" x14ac:dyDescent="0.25">
      <c r="A279" s="109">
        <v>46042</v>
      </c>
      <c r="B279" s="47" t="s">
        <v>49</v>
      </c>
      <c r="C279" s="78" t="s">
        <v>21</v>
      </c>
      <c r="D279" s="47" t="s">
        <v>128</v>
      </c>
      <c r="E279" s="48">
        <v>98992</v>
      </c>
      <c r="F279" s="48" t="s">
        <v>53</v>
      </c>
      <c r="G279" s="48" t="s">
        <v>125</v>
      </c>
      <c r="H279" s="30">
        <v>15710</v>
      </c>
      <c r="I279" s="30">
        <v>32</v>
      </c>
      <c r="J279" s="28">
        <f t="shared" si="126"/>
        <v>112.5</v>
      </c>
      <c r="K279" s="31">
        <v>0.25</v>
      </c>
      <c r="L279" s="31">
        <v>0.60416666666666696</v>
      </c>
      <c r="M279" s="32">
        <f t="shared" si="125"/>
        <v>0.35416666666666696</v>
      </c>
      <c r="N279" s="36">
        <v>510</v>
      </c>
      <c r="O279" s="36">
        <f t="shared" si="123"/>
        <v>380</v>
      </c>
      <c r="P279" s="36">
        <f t="shared" si="124"/>
        <v>380</v>
      </c>
      <c r="Q279" s="15">
        <v>0</v>
      </c>
      <c r="R279" s="20">
        <v>0</v>
      </c>
      <c r="S279" s="16">
        <v>0</v>
      </c>
      <c r="T279" s="16">
        <v>0</v>
      </c>
      <c r="U279" s="20">
        <v>0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15">
        <f t="shared" si="105"/>
        <v>0</v>
      </c>
      <c r="AD279" s="15">
        <v>0</v>
      </c>
      <c r="AE279" s="15">
        <v>0</v>
      </c>
      <c r="AF279" s="15">
        <v>0</v>
      </c>
      <c r="AG279" s="15">
        <v>60</v>
      </c>
      <c r="AH279" s="15">
        <v>0</v>
      </c>
      <c r="AI279" s="15">
        <v>30</v>
      </c>
      <c r="AJ279" s="15">
        <v>10</v>
      </c>
      <c r="AK279" s="15">
        <v>30</v>
      </c>
      <c r="AL279" s="15">
        <f t="shared" ref="AL279:AL341" si="127">SUM(AD279:AK279)</f>
        <v>130</v>
      </c>
      <c r="AM279" s="29">
        <f t="shared" si="122"/>
        <v>712.5</v>
      </c>
      <c r="AN279" s="19">
        <v>519</v>
      </c>
      <c r="AO279" s="21">
        <v>0</v>
      </c>
      <c r="AP279" s="22">
        <v>1</v>
      </c>
      <c r="AQ279" s="26">
        <f t="shared" si="112"/>
        <v>518</v>
      </c>
      <c r="AR279" s="37">
        <f t="shared" si="118"/>
        <v>1</v>
      </c>
      <c r="AS279" s="38">
        <f t="shared" si="119"/>
        <v>0.72842105263157897</v>
      </c>
      <c r="AT279" s="38">
        <f t="shared" si="120"/>
        <v>0.9980732177263969</v>
      </c>
      <c r="AU279" s="27">
        <f t="shared" si="121"/>
        <v>0.72701754385964912</v>
      </c>
    </row>
    <row r="280" spans="1:47" s="1" customFormat="1" ht="23.1" customHeight="1" x14ac:dyDescent="0.25">
      <c r="A280" s="109">
        <v>46042</v>
      </c>
      <c r="B280" s="47" t="s">
        <v>49</v>
      </c>
      <c r="C280" s="78" t="s">
        <v>21</v>
      </c>
      <c r="D280" s="47" t="s">
        <v>170</v>
      </c>
      <c r="E280" s="48">
        <v>98992</v>
      </c>
      <c r="F280" s="48" t="s">
        <v>176</v>
      </c>
      <c r="G280" s="48" t="s">
        <v>125</v>
      </c>
      <c r="H280" s="30">
        <v>15679</v>
      </c>
      <c r="I280" s="30">
        <v>20</v>
      </c>
      <c r="J280" s="28">
        <f t="shared" si="126"/>
        <v>180</v>
      </c>
      <c r="K280" s="31">
        <v>0.25</v>
      </c>
      <c r="L280" s="31">
        <v>0.60416666666666696</v>
      </c>
      <c r="M280" s="32">
        <f t="shared" si="125"/>
        <v>0.35416666666666696</v>
      </c>
      <c r="N280" s="36">
        <v>510</v>
      </c>
      <c r="O280" s="36">
        <f t="shared" si="123"/>
        <v>220</v>
      </c>
      <c r="P280" s="36">
        <f t="shared" si="124"/>
        <v>220</v>
      </c>
      <c r="Q280" s="15">
        <v>0</v>
      </c>
      <c r="R280" s="20">
        <v>0</v>
      </c>
      <c r="S280" s="16">
        <v>0</v>
      </c>
      <c r="T280" s="16">
        <v>0</v>
      </c>
      <c r="U280" s="20">
        <v>0</v>
      </c>
      <c r="V280" s="20">
        <v>0</v>
      </c>
      <c r="W280" s="20">
        <v>0</v>
      </c>
      <c r="X280" s="20">
        <v>0</v>
      </c>
      <c r="Y280" s="20">
        <v>0</v>
      </c>
      <c r="Z280" s="20">
        <v>0</v>
      </c>
      <c r="AA280" s="20">
        <v>0</v>
      </c>
      <c r="AB280" s="20">
        <v>0</v>
      </c>
      <c r="AC280" s="15">
        <f t="shared" ref="AC280:AC305" si="128">SUM(Q280:AB280)</f>
        <v>0</v>
      </c>
      <c r="AD280" s="15">
        <v>0</v>
      </c>
      <c r="AE280" s="15">
        <v>0</v>
      </c>
      <c r="AF280" s="15">
        <v>0</v>
      </c>
      <c r="AG280" s="15">
        <v>220</v>
      </c>
      <c r="AH280" s="15">
        <v>0</v>
      </c>
      <c r="AI280" s="15">
        <v>30</v>
      </c>
      <c r="AJ280" s="15">
        <v>10</v>
      </c>
      <c r="AK280" s="15">
        <v>30</v>
      </c>
      <c r="AL280" s="15">
        <f t="shared" si="127"/>
        <v>290</v>
      </c>
      <c r="AM280" s="29">
        <f t="shared" si="122"/>
        <v>660</v>
      </c>
      <c r="AN280" s="19">
        <v>320</v>
      </c>
      <c r="AO280" s="21">
        <v>0</v>
      </c>
      <c r="AP280" s="22">
        <v>0</v>
      </c>
      <c r="AQ280" s="26">
        <f t="shared" si="112"/>
        <v>320</v>
      </c>
      <c r="AR280" s="37">
        <f t="shared" si="118"/>
        <v>1</v>
      </c>
      <c r="AS280" s="38">
        <f t="shared" si="119"/>
        <v>0.48484848484848486</v>
      </c>
      <c r="AT280" s="38">
        <f t="shared" si="120"/>
        <v>1</v>
      </c>
      <c r="AU280" s="27">
        <f t="shared" si="121"/>
        <v>0.48484848484848486</v>
      </c>
    </row>
    <row r="281" spans="1:47" s="1" customFormat="1" ht="23.1" customHeight="1" x14ac:dyDescent="0.25">
      <c r="A281" s="109">
        <v>46042</v>
      </c>
      <c r="B281" s="47" t="s">
        <v>49</v>
      </c>
      <c r="C281" s="78" t="s">
        <v>21</v>
      </c>
      <c r="D281" s="47" t="s">
        <v>86</v>
      </c>
      <c r="E281" s="48">
        <v>98992</v>
      </c>
      <c r="F281" s="48" t="s">
        <v>176</v>
      </c>
      <c r="G281" s="48" t="s">
        <v>87</v>
      </c>
      <c r="H281" s="30">
        <v>16146</v>
      </c>
      <c r="I281" s="30">
        <v>20</v>
      </c>
      <c r="J281" s="28">
        <f t="shared" si="126"/>
        <v>180</v>
      </c>
      <c r="K281" s="31">
        <v>0.25</v>
      </c>
      <c r="L281" s="31">
        <v>0.60416666666666696</v>
      </c>
      <c r="M281" s="32">
        <f t="shared" si="125"/>
        <v>0.35416666666666696</v>
      </c>
      <c r="N281" s="36">
        <v>510</v>
      </c>
      <c r="O281" s="36">
        <f t="shared" si="123"/>
        <v>260</v>
      </c>
      <c r="P281" s="36">
        <f t="shared" si="124"/>
        <v>260</v>
      </c>
      <c r="Q281" s="15">
        <v>0</v>
      </c>
      <c r="R281" s="20">
        <v>0</v>
      </c>
      <c r="S281" s="16">
        <v>0</v>
      </c>
      <c r="T281" s="16">
        <v>0</v>
      </c>
      <c r="U281" s="20">
        <v>0</v>
      </c>
      <c r="V281" s="20">
        <v>0</v>
      </c>
      <c r="W281" s="20">
        <v>0</v>
      </c>
      <c r="X281" s="20">
        <v>0</v>
      </c>
      <c r="Y281" s="20">
        <v>0</v>
      </c>
      <c r="Z281" s="20">
        <v>0</v>
      </c>
      <c r="AA281" s="20">
        <v>0</v>
      </c>
      <c r="AB281" s="20">
        <v>0</v>
      </c>
      <c r="AC281" s="15">
        <f t="shared" si="128"/>
        <v>0</v>
      </c>
      <c r="AD281" s="15">
        <v>0</v>
      </c>
      <c r="AE281" s="15">
        <v>0</v>
      </c>
      <c r="AF281" s="15">
        <v>0</v>
      </c>
      <c r="AG281" s="15">
        <v>180</v>
      </c>
      <c r="AH281" s="15">
        <v>0</v>
      </c>
      <c r="AI281" s="15">
        <v>30</v>
      </c>
      <c r="AJ281" s="15">
        <v>10</v>
      </c>
      <c r="AK281" s="15">
        <v>30</v>
      </c>
      <c r="AL281" s="15">
        <f t="shared" si="127"/>
        <v>250</v>
      </c>
      <c r="AM281" s="29">
        <f t="shared" si="122"/>
        <v>780</v>
      </c>
      <c r="AN281" s="19">
        <v>516</v>
      </c>
      <c r="AO281" s="21">
        <v>0</v>
      </c>
      <c r="AP281" s="22">
        <v>2</v>
      </c>
      <c r="AQ281" s="26">
        <f t="shared" si="112"/>
        <v>514</v>
      </c>
      <c r="AR281" s="37">
        <f t="shared" si="118"/>
        <v>1</v>
      </c>
      <c r="AS281" s="38">
        <f t="shared" si="119"/>
        <v>0.66153846153846152</v>
      </c>
      <c r="AT281" s="38">
        <f t="shared" si="120"/>
        <v>0.99612403100775193</v>
      </c>
      <c r="AU281" s="27">
        <f t="shared" si="121"/>
        <v>0.65897435897435896</v>
      </c>
    </row>
    <row r="282" spans="1:47" s="1" customFormat="1" ht="23.1" customHeight="1" x14ac:dyDescent="0.25">
      <c r="A282" s="109">
        <v>46042</v>
      </c>
      <c r="B282" s="47" t="s">
        <v>49</v>
      </c>
      <c r="C282" s="78" t="s">
        <v>21</v>
      </c>
      <c r="D282" s="47" t="s">
        <v>172</v>
      </c>
      <c r="E282" s="48">
        <v>98992</v>
      </c>
      <c r="F282" s="48" t="s">
        <v>175</v>
      </c>
      <c r="G282" s="48" t="s">
        <v>87</v>
      </c>
      <c r="H282" s="30">
        <v>15857</v>
      </c>
      <c r="I282" s="30">
        <v>20</v>
      </c>
      <c r="J282" s="28">
        <f t="shared" si="126"/>
        <v>180</v>
      </c>
      <c r="K282" s="31">
        <v>0.25</v>
      </c>
      <c r="L282" s="31">
        <v>0.60416666666666696</v>
      </c>
      <c r="M282" s="32">
        <f t="shared" si="125"/>
        <v>0.35416666666666696</v>
      </c>
      <c r="N282" s="36">
        <v>510</v>
      </c>
      <c r="O282" s="36">
        <f t="shared" si="123"/>
        <v>260</v>
      </c>
      <c r="P282" s="36">
        <f t="shared" si="124"/>
        <v>260</v>
      </c>
      <c r="Q282" s="15">
        <v>0</v>
      </c>
      <c r="R282" s="20">
        <v>0</v>
      </c>
      <c r="S282" s="16">
        <v>0</v>
      </c>
      <c r="T282" s="16">
        <v>0</v>
      </c>
      <c r="U282" s="20">
        <v>0</v>
      </c>
      <c r="V282" s="20">
        <v>0</v>
      </c>
      <c r="W282" s="20">
        <v>0</v>
      </c>
      <c r="X282" s="20">
        <v>0</v>
      </c>
      <c r="Y282" s="20">
        <v>0</v>
      </c>
      <c r="Z282" s="20">
        <v>0</v>
      </c>
      <c r="AA282" s="20">
        <v>0</v>
      </c>
      <c r="AB282" s="20">
        <v>0</v>
      </c>
      <c r="AC282" s="15">
        <f t="shared" si="128"/>
        <v>0</v>
      </c>
      <c r="AD282" s="15">
        <v>0</v>
      </c>
      <c r="AE282" s="15">
        <v>0</v>
      </c>
      <c r="AF282" s="15">
        <v>0</v>
      </c>
      <c r="AG282" s="15">
        <v>180</v>
      </c>
      <c r="AH282" s="15">
        <v>0</v>
      </c>
      <c r="AI282" s="15">
        <v>30</v>
      </c>
      <c r="AJ282" s="15">
        <v>10</v>
      </c>
      <c r="AK282" s="15">
        <v>30</v>
      </c>
      <c r="AL282" s="15">
        <f t="shared" si="127"/>
        <v>250</v>
      </c>
      <c r="AM282" s="29">
        <f t="shared" si="122"/>
        <v>780</v>
      </c>
      <c r="AN282" s="19">
        <v>516</v>
      </c>
      <c r="AO282" s="21">
        <v>0</v>
      </c>
      <c r="AP282" s="22">
        <v>0</v>
      </c>
      <c r="AQ282" s="26">
        <f t="shared" si="112"/>
        <v>516</v>
      </c>
      <c r="AR282" s="37">
        <f t="shared" si="118"/>
        <v>1</v>
      </c>
      <c r="AS282" s="38">
        <f t="shared" si="119"/>
        <v>0.66153846153846152</v>
      </c>
      <c r="AT282" s="38">
        <f t="shared" si="120"/>
        <v>1</v>
      </c>
      <c r="AU282" s="27">
        <f t="shared" si="121"/>
        <v>0.66153846153846152</v>
      </c>
    </row>
    <row r="283" spans="1:47" s="1" customFormat="1" ht="23.1" customHeight="1" x14ac:dyDescent="0.25">
      <c r="A283" s="109">
        <v>46042</v>
      </c>
      <c r="B283" s="47" t="s">
        <v>49</v>
      </c>
      <c r="C283" s="78" t="s">
        <v>51</v>
      </c>
      <c r="D283" s="47" t="s">
        <v>94</v>
      </c>
      <c r="E283" s="48">
        <v>98992</v>
      </c>
      <c r="F283" s="48" t="s">
        <v>67</v>
      </c>
      <c r="G283" s="48" t="s">
        <v>174</v>
      </c>
      <c r="H283" s="30">
        <v>13562</v>
      </c>
      <c r="I283" s="30">
        <v>24</v>
      </c>
      <c r="J283" s="28">
        <f t="shared" si="126"/>
        <v>150</v>
      </c>
      <c r="K283" s="31">
        <v>0.58333333333333337</v>
      </c>
      <c r="L283" s="31">
        <v>0.9375</v>
      </c>
      <c r="M283" s="32">
        <f t="shared" si="125"/>
        <v>0.35416666666666663</v>
      </c>
      <c r="N283" s="36">
        <v>510</v>
      </c>
      <c r="O283" s="36">
        <f t="shared" si="123"/>
        <v>220</v>
      </c>
      <c r="P283" s="36">
        <f t="shared" si="124"/>
        <v>220</v>
      </c>
      <c r="Q283" s="15">
        <v>0</v>
      </c>
      <c r="R283" s="20">
        <v>0</v>
      </c>
      <c r="S283" s="16">
        <v>0</v>
      </c>
      <c r="T283" s="16">
        <v>0</v>
      </c>
      <c r="U283" s="20">
        <v>0</v>
      </c>
      <c r="V283" s="20">
        <v>0</v>
      </c>
      <c r="W283" s="20">
        <v>0</v>
      </c>
      <c r="X283" s="20">
        <v>0</v>
      </c>
      <c r="Y283" s="20">
        <v>0</v>
      </c>
      <c r="Z283" s="20">
        <v>0</v>
      </c>
      <c r="AA283" s="20">
        <v>0</v>
      </c>
      <c r="AB283" s="20">
        <v>0</v>
      </c>
      <c r="AC283" s="15">
        <f t="shared" si="128"/>
        <v>0</v>
      </c>
      <c r="AD283" s="15">
        <v>0</v>
      </c>
      <c r="AE283" s="15">
        <v>0</v>
      </c>
      <c r="AF283" s="15">
        <v>0</v>
      </c>
      <c r="AG283" s="15">
        <v>220</v>
      </c>
      <c r="AH283" s="15">
        <v>0</v>
      </c>
      <c r="AI283" s="15">
        <v>30</v>
      </c>
      <c r="AJ283" s="15">
        <v>10</v>
      </c>
      <c r="AK283" s="15">
        <v>30</v>
      </c>
      <c r="AL283" s="15">
        <f t="shared" si="127"/>
        <v>290</v>
      </c>
      <c r="AM283" s="29">
        <f t="shared" si="122"/>
        <v>550</v>
      </c>
      <c r="AN283" s="19">
        <v>260</v>
      </c>
      <c r="AO283" s="21">
        <v>0</v>
      </c>
      <c r="AP283" s="22">
        <v>0</v>
      </c>
      <c r="AQ283" s="26">
        <f t="shared" si="112"/>
        <v>260</v>
      </c>
      <c r="AR283" s="37">
        <f t="shared" si="118"/>
        <v>1</v>
      </c>
      <c r="AS283" s="38">
        <f t="shared" si="119"/>
        <v>0.47272727272727272</v>
      </c>
      <c r="AT283" s="38">
        <f t="shared" si="120"/>
        <v>1</v>
      </c>
      <c r="AU283" s="27">
        <f t="shared" si="121"/>
        <v>0.47272727272727272</v>
      </c>
    </row>
    <row r="284" spans="1:47" s="1" customFormat="1" ht="23.1" customHeight="1" x14ac:dyDescent="0.25">
      <c r="A284" s="109">
        <v>46042</v>
      </c>
      <c r="B284" s="47" t="s">
        <v>49</v>
      </c>
      <c r="C284" s="78" t="s">
        <v>51</v>
      </c>
      <c r="D284" s="47" t="s">
        <v>88</v>
      </c>
      <c r="E284" s="48">
        <v>98992</v>
      </c>
      <c r="F284" s="48" t="s">
        <v>126</v>
      </c>
      <c r="G284" s="48" t="s">
        <v>87</v>
      </c>
      <c r="H284" s="30">
        <v>15036</v>
      </c>
      <c r="I284" s="30">
        <v>32</v>
      </c>
      <c r="J284" s="28">
        <f t="shared" si="126"/>
        <v>112.5</v>
      </c>
      <c r="K284" s="31">
        <v>0.58333333333333337</v>
      </c>
      <c r="L284" s="31">
        <v>0.9375</v>
      </c>
      <c r="M284" s="32">
        <f t="shared" si="125"/>
        <v>0.35416666666666663</v>
      </c>
      <c r="N284" s="36">
        <v>510</v>
      </c>
      <c r="O284" s="36">
        <f t="shared" si="123"/>
        <v>380</v>
      </c>
      <c r="P284" s="36">
        <f t="shared" si="124"/>
        <v>380</v>
      </c>
      <c r="Q284" s="15">
        <v>0</v>
      </c>
      <c r="R284" s="20">
        <v>0</v>
      </c>
      <c r="S284" s="16">
        <v>0</v>
      </c>
      <c r="T284" s="16">
        <v>0</v>
      </c>
      <c r="U284" s="20">
        <v>0</v>
      </c>
      <c r="V284" s="20">
        <v>0</v>
      </c>
      <c r="W284" s="20">
        <v>0</v>
      </c>
      <c r="X284" s="20">
        <v>0</v>
      </c>
      <c r="Y284" s="20">
        <v>0</v>
      </c>
      <c r="Z284" s="20">
        <v>0</v>
      </c>
      <c r="AA284" s="20">
        <v>0</v>
      </c>
      <c r="AB284" s="20">
        <v>0</v>
      </c>
      <c r="AC284" s="15">
        <f t="shared" si="128"/>
        <v>0</v>
      </c>
      <c r="AD284" s="15">
        <v>0</v>
      </c>
      <c r="AE284" s="15">
        <v>0</v>
      </c>
      <c r="AF284" s="15">
        <v>0</v>
      </c>
      <c r="AG284" s="15">
        <v>60</v>
      </c>
      <c r="AH284" s="15">
        <v>0</v>
      </c>
      <c r="AI284" s="15">
        <v>30</v>
      </c>
      <c r="AJ284" s="15">
        <v>10</v>
      </c>
      <c r="AK284" s="15">
        <v>30</v>
      </c>
      <c r="AL284" s="15">
        <f t="shared" si="127"/>
        <v>130</v>
      </c>
      <c r="AM284" s="29">
        <f t="shared" si="122"/>
        <v>712.5</v>
      </c>
      <c r="AN284" s="19">
        <v>625</v>
      </c>
      <c r="AO284" s="21">
        <v>0</v>
      </c>
      <c r="AP284" s="22">
        <v>2</v>
      </c>
      <c r="AQ284" s="26">
        <f t="shared" si="112"/>
        <v>623</v>
      </c>
      <c r="AR284" s="37">
        <f t="shared" si="118"/>
        <v>1</v>
      </c>
      <c r="AS284" s="38">
        <f t="shared" si="119"/>
        <v>0.8771929824561403</v>
      </c>
      <c r="AT284" s="38">
        <f t="shared" si="120"/>
        <v>0.99680000000000002</v>
      </c>
      <c r="AU284" s="27">
        <f t="shared" si="121"/>
        <v>0.87438596491228071</v>
      </c>
    </row>
    <row r="285" spans="1:47" s="1" customFormat="1" ht="23.1" customHeight="1" x14ac:dyDescent="0.25">
      <c r="A285" s="109">
        <v>46042</v>
      </c>
      <c r="B285" s="47" t="s">
        <v>49</v>
      </c>
      <c r="C285" s="78" t="s">
        <v>51</v>
      </c>
      <c r="D285" s="47" t="s">
        <v>89</v>
      </c>
      <c r="E285" s="48">
        <v>98992</v>
      </c>
      <c r="F285" s="48" t="s">
        <v>169</v>
      </c>
      <c r="G285" s="48" t="s">
        <v>87</v>
      </c>
      <c r="H285" s="30">
        <v>11682</v>
      </c>
      <c r="I285" s="30">
        <v>32</v>
      </c>
      <c r="J285" s="28">
        <f t="shared" si="126"/>
        <v>112.5</v>
      </c>
      <c r="K285" s="31">
        <v>0.58333333333333337</v>
      </c>
      <c r="L285" s="31">
        <v>0.9375</v>
      </c>
      <c r="M285" s="32">
        <f t="shared" si="125"/>
        <v>0.35416666666666663</v>
      </c>
      <c r="N285" s="36">
        <v>510</v>
      </c>
      <c r="O285" s="36">
        <f t="shared" si="123"/>
        <v>320</v>
      </c>
      <c r="P285" s="36">
        <f t="shared" si="124"/>
        <v>320</v>
      </c>
      <c r="Q285" s="15">
        <v>0</v>
      </c>
      <c r="R285" s="20">
        <v>0</v>
      </c>
      <c r="S285" s="16">
        <v>0</v>
      </c>
      <c r="T285" s="16">
        <v>0</v>
      </c>
      <c r="U285" s="20">
        <v>0</v>
      </c>
      <c r="V285" s="20">
        <v>0</v>
      </c>
      <c r="W285" s="20">
        <v>0</v>
      </c>
      <c r="X285" s="20">
        <v>0</v>
      </c>
      <c r="Y285" s="20">
        <v>0</v>
      </c>
      <c r="Z285" s="20">
        <v>0</v>
      </c>
      <c r="AA285" s="20">
        <v>0</v>
      </c>
      <c r="AB285" s="20">
        <v>0</v>
      </c>
      <c r="AC285" s="15">
        <f t="shared" si="128"/>
        <v>0</v>
      </c>
      <c r="AD285" s="15">
        <v>0</v>
      </c>
      <c r="AE285" s="15">
        <v>0</v>
      </c>
      <c r="AF285" s="15">
        <v>0</v>
      </c>
      <c r="AG285" s="15">
        <v>120</v>
      </c>
      <c r="AH285" s="15">
        <v>0</v>
      </c>
      <c r="AI285" s="15">
        <v>30</v>
      </c>
      <c r="AJ285" s="15">
        <v>10</v>
      </c>
      <c r="AK285" s="15">
        <v>30</v>
      </c>
      <c r="AL285" s="15">
        <f t="shared" si="127"/>
        <v>190</v>
      </c>
      <c r="AM285" s="29">
        <f t="shared" si="122"/>
        <v>600</v>
      </c>
      <c r="AN285" s="19">
        <v>438</v>
      </c>
      <c r="AO285" s="21">
        <v>0</v>
      </c>
      <c r="AP285" s="22">
        <v>2</v>
      </c>
      <c r="AQ285" s="26">
        <f t="shared" si="112"/>
        <v>436</v>
      </c>
      <c r="AR285" s="37">
        <f t="shared" si="118"/>
        <v>1</v>
      </c>
      <c r="AS285" s="38">
        <f t="shared" si="119"/>
        <v>0.73</v>
      </c>
      <c r="AT285" s="38">
        <f t="shared" si="120"/>
        <v>0.99543378995433784</v>
      </c>
      <c r="AU285" s="27">
        <f t="shared" si="121"/>
        <v>0.72666666666666657</v>
      </c>
    </row>
    <row r="286" spans="1:47" s="1" customFormat="1" ht="23.1" customHeight="1" x14ac:dyDescent="0.25">
      <c r="A286" s="109">
        <v>46042</v>
      </c>
      <c r="B286" s="47" t="s">
        <v>49</v>
      </c>
      <c r="C286" s="78" t="s">
        <v>51</v>
      </c>
      <c r="D286" s="47" t="s">
        <v>52</v>
      </c>
      <c r="E286" s="48">
        <v>98992</v>
      </c>
      <c r="F286" s="48" t="s">
        <v>53</v>
      </c>
      <c r="G286" s="48" t="s">
        <v>87</v>
      </c>
      <c r="H286" s="30">
        <v>15632</v>
      </c>
      <c r="I286" s="30">
        <v>32</v>
      </c>
      <c r="J286" s="28">
        <f t="shared" si="126"/>
        <v>112.5</v>
      </c>
      <c r="K286" s="31">
        <v>0.58333333333333337</v>
      </c>
      <c r="L286" s="31">
        <v>0.9375</v>
      </c>
      <c r="M286" s="32">
        <f t="shared" si="125"/>
        <v>0.35416666666666663</v>
      </c>
      <c r="N286" s="36">
        <v>510</v>
      </c>
      <c r="O286" s="36">
        <f t="shared" si="123"/>
        <v>380</v>
      </c>
      <c r="P286" s="36">
        <f t="shared" si="124"/>
        <v>380</v>
      </c>
      <c r="Q286" s="15">
        <v>0</v>
      </c>
      <c r="R286" s="20">
        <v>0</v>
      </c>
      <c r="S286" s="16">
        <v>0</v>
      </c>
      <c r="T286" s="16">
        <v>0</v>
      </c>
      <c r="U286" s="20">
        <v>0</v>
      </c>
      <c r="V286" s="20">
        <v>0</v>
      </c>
      <c r="W286" s="20">
        <v>0</v>
      </c>
      <c r="X286" s="20">
        <v>0</v>
      </c>
      <c r="Y286" s="20">
        <v>0</v>
      </c>
      <c r="Z286" s="20">
        <v>0</v>
      </c>
      <c r="AA286" s="20">
        <v>0</v>
      </c>
      <c r="AB286" s="20">
        <v>0</v>
      </c>
      <c r="AC286" s="15">
        <f t="shared" si="128"/>
        <v>0</v>
      </c>
      <c r="AD286" s="15">
        <v>0</v>
      </c>
      <c r="AE286" s="15">
        <v>0</v>
      </c>
      <c r="AF286" s="15">
        <v>0</v>
      </c>
      <c r="AG286" s="15">
        <v>60</v>
      </c>
      <c r="AH286" s="15">
        <v>0</v>
      </c>
      <c r="AI286" s="15">
        <v>30</v>
      </c>
      <c r="AJ286" s="15">
        <v>10</v>
      </c>
      <c r="AK286" s="15">
        <v>30</v>
      </c>
      <c r="AL286" s="15">
        <f t="shared" si="127"/>
        <v>130</v>
      </c>
      <c r="AM286" s="29">
        <f t="shared" si="122"/>
        <v>712.5</v>
      </c>
      <c r="AN286" s="19">
        <v>570</v>
      </c>
      <c r="AO286" s="21">
        <v>0</v>
      </c>
      <c r="AP286" s="22">
        <v>1</v>
      </c>
      <c r="AQ286" s="26">
        <f t="shared" si="112"/>
        <v>569</v>
      </c>
      <c r="AR286" s="37">
        <f t="shared" si="118"/>
        <v>1</v>
      </c>
      <c r="AS286" s="38">
        <f t="shared" si="119"/>
        <v>0.8</v>
      </c>
      <c r="AT286" s="38">
        <f t="shared" si="120"/>
        <v>0.99824561403508771</v>
      </c>
      <c r="AU286" s="27">
        <f t="shared" si="121"/>
        <v>0.79859649122807019</v>
      </c>
    </row>
    <row r="287" spans="1:47" s="1" customFormat="1" ht="23.1" customHeight="1" x14ac:dyDescent="0.25">
      <c r="A287" s="109">
        <v>46042</v>
      </c>
      <c r="B287" s="47" t="s">
        <v>49</v>
      </c>
      <c r="C287" s="78" t="s">
        <v>51</v>
      </c>
      <c r="D287" s="47" t="s">
        <v>86</v>
      </c>
      <c r="E287" s="48">
        <v>98992</v>
      </c>
      <c r="F287" s="48" t="s">
        <v>176</v>
      </c>
      <c r="G287" s="48" t="s">
        <v>87</v>
      </c>
      <c r="H287" s="30">
        <v>15688</v>
      </c>
      <c r="I287" s="30">
        <v>20</v>
      </c>
      <c r="J287" s="28">
        <f t="shared" si="126"/>
        <v>180</v>
      </c>
      <c r="K287" s="31">
        <v>0.58333333333333337</v>
      </c>
      <c r="L287" s="31">
        <v>0.9375</v>
      </c>
      <c r="M287" s="32">
        <f t="shared" si="125"/>
        <v>0.35416666666666663</v>
      </c>
      <c r="N287" s="36">
        <v>510</v>
      </c>
      <c r="O287" s="36">
        <f t="shared" si="123"/>
        <v>320</v>
      </c>
      <c r="P287" s="36">
        <f t="shared" si="124"/>
        <v>320</v>
      </c>
      <c r="Q287" s="15">
        <v>0</v>
      </c>
      <c r="R287" s="20">
        <v>0</v>
      </c>
      <c r="S287" s="16">
        <v>0</v>
      </c>
      <c r="T287" s="16">
        <v>0</v>
      </c>
      <c r="U287" s="20">
        <v>0</v>
      </c>
      <c r="V287" s="20">
        <v>0</v>
      </c>
      <c r="W287" s="20">
        <v>0</v>
      </c>
      <c r="X287" s="20">
        <v>0</v>
      </c>
      <c r="Y287" s="20">
        <v>0</v>
      </c>
      <c r="Z287" s="20">
        <v>0</v>
      </c>
      <c r="AA287" s="20">
        <v>0</v>
      </c>
      <c r="AB287" s="20">
        <v>0</v>
      </c>
      <c r="AC287" s="15">
        <f t="shared" si="128"/>
        <v>0</v>
      </c>
      <c r="AD287" s="15">
        <v>0</v>
      </c>
      <c r="AE287" s="15">
        <v>0</v>
      </c>
      <c r="AF287" s="15">
        <v>0</v>
      </c>
      <c r="AG287" s="15">
        <v>120</v>
      </c>
      <c r="AH287" s="15">
        <v>0</v>
      </c>
      <c r="AI287" s="15">
        <v>30</v>
      </c>
      <c r="AJ287" s="15">
        <v>10</v>
      </c>
      <c r="AK287" s="15">
        <v>30</v>
      </c>
      <c r="AL287" s="15">
        <f t="shared" si="127"/>
        <v>190</v>
      </c>
      <c r="AM287" s="29">
        <f t="shared" si="122"/>
        <v>960</v>
      </c>
      <c r="AN287" s="19">
        <v>600</v>
      </c>
      <c r="AO287" s="21">
        <v>0</v>
      </c>
      <c r="AP287" s="22">
        <v>1</v>
      </c>
      <c r="AQ287" s="26">
        <f t="shared" si="112"/>
        <v>599</v>
      </c>
      <c r="AR287" s="37">
        <f t="shared" si="118"/>
        <v>1</v>
      </c>
      <c r="AS287" s="38">
        <f t="shared" si="119"/>
        <v>0.625</v>
      </c>
      <c r="AT287" s="38">
        <f t="shared" si="120"/>
        <v>0.99833333333333329</v>
      </c>
      <c r="AU287" s="27">
        <f t="shared" si="121"/>
        <v>0.62395833333333328</v>
      </c>
    </row>
    <row r="288" spans="1:47" s="1" customFormat="1" ht="21" customHeight="1" x14ac:dyDescent="0.25">
      <c r="A288" s="109">
        <v>46042</v>
      </c>
      <c r="B288" s="47" t="s">
        <v>49</v>
      </c>
      <c r="C288" s="78" t="s">
        <v>51</v>
      </c>
      <c r="D288" s="47" t="s">
        <v>172</v>
      </c>
      <c r="E288" s="48">
        <v>98992</v>
      </c>
      <c r="F288" s="48" t="s">
        <v>175</v>
      </c>
      <c r="G288" s="48" t="s">
        <v>87</v>
      </c>
      <c r="H288" s="30">
        <v>15857</v>
      </c>
      <c r="I288" s="30">
        <v>20</v>
      </c>
      <c r="J288" s="28">
        <f t="shared" si="126"/>
        <v>180</v>
      </c>
      <c r="K288" s="31">
        <v>0.58333333333333337</v>
      </c>
      <c r="L288" s="31">
        <v>0.9375</v>
      </c>
      <c r="M288" s="32">
        <f t="shared" si="125"/>
        <v>0.35416666666666663</v>
      </c>
      <c r="N288" s="36">
        <v>510</v>
      </c>
      <c r="O288" s="36">
        <f t="shared" si="123"/>
        <v>320</v>
      </c>
      <c r="P288" s="36">
        <f t="shared" si="124"/>
        <v>320</v>
      </c>
      <c r="Q288" s="15">
        <v>0</v>
      </c>
      <c r="R288" s="20">
        <v>0</v>
      </c>
      <c r="S288" s="16">
        <v>0</v>
      </c>
      <c r="T288" s="16">
        <v>0</v>
      </c>
      <c r="U288" s="20">
        <v>0</v>
      </c>
      <c r="V288" s="20">
        <v>0</v>
      </c>
      <c r="W288" s="20">
        <v>0</v>
      </c>
      <c r="X288" s="20">
        <v>0</v>
      </c>
      <c r="Y288" s="20">
        <v>0</v>
      </c>
      <c r="Z288" s="20">
        <v>0</v>
      </c>
      <c r="AA288" s="20">
        <v>0</v>
      </c>
      <c r="AB288" s="20">
        <v>0</v>
      </c>
      <c r="AC288" s="15">
        <f t="shared" si="128"/>
        <v>0</v>
      </c>
      <c r="AD288" s="15">
        <v>0</v>
      </c>
      <c r="AE288" s="15">
        <v>0</v>
      </c>
      <c r="AF288" s="15">
        <v>0</v>
      </c>
      <c r="AG288" s="15">
        <v>120</v>
      </c>
      <c r="AH288" s="15">
        <v>0</v>
      </c>
      <c r="AI288" s="15">
        <v>30</v>
      </c>
      <c r="AJ288" s="15">
        <v>10</v>
      </c>
      <c r="AK288" s="15">
        <v>30</v>
      </c>
      <c r="AL288" s="15">
        <f t="shared" si="127"/>
        <v>190</v>
      </c>
      <c r="AM288" s="29">
        <f t="shared" si="122"/>
        <v>960</v>
      </c>
      <c r="AN288" s="19">
        <v>900</v>
      </c>
      <c r="AO288" s="21">
        <v>0</v>
      </c>
      <c r="AP288" s="22">
        <v>0</v>
      </c>
      <c r="AQ288" s="26">
        <f t="shared" si="112"/>
        <v>900</v>
      </c>
      <c r="AR288" s="37">
        <f t="shared" si="118"/>
        <v>1</v>
      </c>
      <c r="AS288" s="38">
        <f t="shared" si="119"/>
        <v>0.9375</v>
      </c>
      <c r="AT288" s="38">
        <f t="shared" si="120"/>
        <v>1</v>
      </c>
      <c r="AU288" s="27">
        <f t="shared" si="121"/>
        <v>0.9375</v>
      </c>
    </row>
    <row r="289" spans="1:47" s="1" customFormat="1" ht="21" customHeight="1" x14ac:dyDescent="0.25">
      <c r="A289" s="109">
        <v>46042</v>
      </c>
      <c r="B289" s="47" t="s">
        <v>49</v>
      </c>
      <c r="C289" s="78" t="s">
        <v>51</v>
      </c>
      <c r="D289" s="47" t="s">
        <v>124</v>
      </c>
      <c r="E289" s="48">
        <v>98992</v>
      </c>
      <c r="F289" s="48" t="s">
        <v>215</v>
      </c>
      <c r="G289" s="48" t="s">
        <v>125</v>
      </c>
      <c r="H289" s="30">
        <v>14972</v>
      </c>
      <c r="I289" s="30">
        <v>32</v>
      </c>
      <c r="J289" s="28">
        <f t="shared" si="126"/>
        <v>112.5</v>
      </c>
      <c r="K289" s="31">
        <v>0.58333333333333337</v>
      </c>
      <c r="L289" s="31">
        <v>0.9375</v>
      </c>
      <c r="M289" s="32">
        <f t="shared" si="125"/>
        <v>0.35416666666666663</v>
      </c>
      <c r="N289" s="36">
        <v>510</v>
      </c>
      <c r="O289" s="36">
        <f t="shared" si="123"/>
        <v>200</v>
      </c>
      <c r="P289" s="36">
        <f t="shared" si="124"/>
        <v>220</v>
      </c>
      <c r="Q289" s="15">
        <v>0</v>
      </c>
      <c r="R289" s="20">
        <v>0</v>
      </c>
      <c r="S289" s="16">
        <v>0</v>
      </c>
      <c r="T289" s="16">
        <v>0</v>
      </c>
      <c r="U289" s="20">
        <v>0</v>
      </c>
      <c r="V289" s="20">
        <v>0</v>
      </c>
      <c r="W289" s="20">
        <v>0</v>
      </c>
      <c r="X289" s="20">
        <v>0</v>
      </c>
      <c r="Y289" s="20">
        <v>0</v>
      </c>
      <c r="Z289" s="20">
        <v>0</v>
      </c>
      <c r="AA289" s="20">
        <v>20</v>
      </c>
      <c r="AB289" s="20">
        <v>0</v>
      </c>
      <c r="AC289" s="15">
        <f t="shared" si="128"/>
        <v>20</v>
      </c>
      <c r="AD289" s="15">
        <v>0</v>
      </c>
      <c r="AE289" s="15">
        <v>0</v>
      </c>
      <c r="AF289" s="15">
        <v>0</v>
      </c>
      <c r="AG289" s="15">
        <v>220</v>
      </c>
      <c r="AH289" s="15">
        <v>0</v>
      </c>
      <c r="AI289" s="15">
        <v>30</v>
      </c>
      <c r="AJ289" s="15">
        <v>10</v>
      </c>
      <c r="AK289" s="15">
        <v>30</v>
      </c>
      <c r="AL289" s="15">
        <f t="shared" si="127"/>
        <v>290</v>
      </c>
      <c r="AM289" s="29">
        <f t="shared" si="122"/>
        <v>412.5</v>
      </c>
      <c r="AN289" s="19">
        <v>101</v>
      </c>
      <c r="AO289" s="21">
        <v>0</v>
      </c>
      <c r="AP289" s="22">
        <v>0</v>
      </c>
      <c r="AQ289" s="26">
        <f t="shared" si="112"/>
        <v>101</v>
      </c>
      <c r="AR289" s="37">
        <f t="shared" si="118"/>
        <v>0.90909090909090906</v>
      </c>
      <c r="AS289" s="38">
        <f t="shared" si="119"/>
        <v>0.24484848484848484</v>
      </c>
      <c r="AT289" s="38">
        <f t="shared" si="120"/>
        <v>1</v>
      </c>
      <c r="AU289" s="27">
        <f t="shared" si="121"/>
        <v>0.22258953168044077</v>
      </c>
    </row>
    <row r="290" spans="1:47" s="1" customFormat="1" ht="21" customHeight="1" x14ac:dyDescent="0.25">
      <c r="A290" s="109">
        <v>46042</v>
      </c>
      <c r="B290" s="47" t="s">
        <v>49</v>
      </c>
      <c r="C290" s="78" t="s">
        <v>51</v>
      </c>
      <c r="D290" s="47" t="s">
        <v>122</v>
      </c>
      <c r="E290" s="48">
        <v>98992</v>
      </c>
      <c r="F290" s="48" t="s">
        <v>169</v>
      </c>
      <c r="G290" s="48" t="s">
        <v>125</v>
      </c>
      <c r="H290" s="30">
        <v>15676</v>
      </c>
      <c r="I290" s="30">
        <v>32</v>
      </c>
      <c r="J290" s="28">
        <f t="shared" si="126"/>
        <v>112.5</v>
      </c>
      <c r="K290" s="31">
        <v>0.58333333333333337</v>
      </c>
      <c r="L290" s="31">
        <v>0.9375</v>
      </c>
      <c r="M290" s="32">
        <f t="shared" si="125"/>
        <v>0.35416666666666663</v>
      </c>
      <c r="N290" s="36">
        <v>510</v>
      </c>
      <c r="O290" s="36">
        <f t="shared" si="123"/>
        <v>370</v>
      </c>
      <c r="P290" s="36">
        <f t="shared" si="124"/>
        <v>380</v>
      </c>
      <c r="Q290" s="15">
        <v>0</v>
      </c>
      <c r="R290" s="20">
        <v>0</v>
      </c>
      <c r="S290" s="16">
        <v>0</v>
      </c>
      <c r="T290" s="16">
        <v>0</v>
      </c>
      <c r="U290" s="20">
        <v>0</v>
      </c>
      <c r="V290" s="20">
        <v>0</v>
      </c>
      <c r="W290" s="20">
        <v>0</v>
      </c>
      <c r="X290" s="20">
        <v>0</v>
      </c>
      <c r="Y290" s="20">
        <v>0</v>
      </c>
      <c r="Z290" s="20">
        <v>0</v>
      </c>
      <c r="AA290" s="20">
        <v>10</v>
      </c>
      <c r="AB290" s="20">
        <v>0</v>
      </c>
      <c r="AC290" s="15">
        <f t="shared" si="128"/>
        <v>10</v>
      </c>
      <c r="AD290" s="15">
        <v>0</v>
      </c>
      <c r="AE290" s="15">
        <v>0</v>
      </c>
      <c r="AF290" s="15">
        <v>0</v>
      </c>
      <c r="AG290" s="15">
        <v>60</v>
      </c>
      <c r="AH290" s="15">
        <v>0</v>
      </c>
      <c r="AI290" s="15">
        <v>30</v>
      </c>
      <c r="AJ290" s="15">
        <v>10</v>
      </c>
      <c r="AK290" s="15">
        <v>30</v>
      </c>
      <c r="AL290" s="15">
        <f t="shared" si="127"/>
        <v>130</v>
      </c>
      <c r="AM290" s="29">
        <f t="shared" si="122"/>
        <v>712.5</v>
      </c>
      <c r="AN290" s="19">
        <v>589</v>
      </c>
      <c r="AO290" s="21">
        <v>0</v>
      </c>
      <c r="AP290" s="22">
        <v>1</v>
      </c>
      <c r="AQ290" s="26">
        <f t="shared" si="112"/>
        <v>588</v>
      </c>
      <c r="AR290" s="37">
        <f t="shared" si="118"/>
        <v>0.97368421052631582</v>
      </c>
      <c r="AS290" s="38">
        <f t="shared" si="119"/>
        <v>0.82666666666666666</v>
      </c>
      <c r="AT290" s="38">
        <f t="shared" si="120"/>
        <v>0.99830220713073003</v>
      </c>
      <c r="AU290" s="27">
        <f t="shared" si="121"/>
        <v>0.80354570637119105</v>
      </c>
    </row>
    <row r="291" spans="1:47" s="1" customFormat="1" ht="21" customHeight="1" x14ac:dyDescent="0.25">
      <c r="A291" s="109">
        <v>46042</v>
      </c>
      <c r="B291" s="47" t="s">
        <v>49</v>
      </c>
      <c r="C291" s="78" t="s">
        <v>51</v>
      </c>
      <c r="D291" s="47" t="s">
        <v>128</v>
      </c>
      <c r="E291" s="48">
        <v>98992</v>
      </c>
      <c r="F291" s="48" t="s">
        <v>53</v>
      </c>
      <c r="G291" s="48" t="s">
        <v>125</v>
      </c>
      <c r="H291" s="30">
        <v>16000</v>
      </c>
      <c r="I291" s="30">
        <v>32</v>
      </c>
      <c r="J291" s="28">
        <f t="shared" si="126"/>
        <v>112.5</v>
      </c>
      <c r="K291" s="31">
        <v>0.58333333333333337</v>
      </c>
      <c r="L291" s="31">
        <v>0.9375</v>
      </c>
      <c r="M291" s="32">
        <f t="shared" si="125"/>
        <v>0.35416666666666663</v>
      </c>
      <c r="N291" s="36">
        <v>510</v>
      </c>
      <c r="O291" s="36">
        <f t="shared" si="123"/>
        <v>320</v>
      </c>
      <c r="P291" s="36">
        <f t="shared" si="124"/>
        <v>320</v>
      </c>
      <c r="Q291" s="15">
        <v>0</v>
      </c>
      <c r="R291" s="20">
        <v>0</v>
      </c>
      <c r="S291" s="16">
        <v>0</v>
      </c>
      <c r="T291" s="16">
        <v>0</v>
      </c>
      <c r="U291" s="20">
        <v>0</v>
      </c>
      <c r="V291" s="20">
        <v>0</v>
      </c>
      <c r="W291" s="20">
        <v>0</v>
      </c>
      <c r="X291" s="20">
        <v>0</v>
      </c>
      <c r="Y291" s="20">
        <v>0</v>
      </c>
      <c r="Z291" s="20">
        <v>0</v>
      </c>
      <c r="AA291" s="20">
        <v>0</v>
      </c>
      <c r="AB291" s="20">
        <v>0</v>
      </c>
      <c r="AC291" s="15">
        <f t="shared" si="128"/>
        <v>0</v>
      </c>
      <c r="AD291" s="15">
        <v>0</v>
      </c>
      <c r="AE291" s="15">
        <v>0</v>
      </c>
      <c r="AF291" s="15">
        <v>0</v>
      </c>
      <c r="AG291" s="15">
        <v>120</v>
      </c>
      <c r="AH291" s="15">
        <v>0</v>
      </c>
      <c r="AI291" s="15">
        <v>30</v>
      </c>
      <c r="AJ291" s="15">
        <v>10</v>
      </c>
      <c r="AK291" s="15">
        <v>30</v>
      </c>
      <c r="AL291" s="15">
        <f t="shared" si="127"/>
        <v>190</v>
      </c>
      <c r="AM291" s="29">
        <f t="shared" si="122"/>
        <v>600</v>
      </c>
      <c r="AN291" s="19">
        <v>490</v>
      </c>
      <c r="AO291" s="21">
        <v>0</v>
      </c>
      <c r="AP291" s="22">
        <v>1</v>
      </c>
      <c r="AQ291" s="26">
        <f t="shared" si="112"/>
        <v>489</v>
      </c>
      <c r="AR291" s="37">
        <f t="shared" si="118"/>
        <v>1</v>
      </c>
      <c r="AS291" s="38">
        <f t="shared" si="119"/>
        <v>0.81666666666666665</v>
      </c>
      <c r="AT291" s="38">
        <f t="shared" si="120"/>
        <v>0.99795918367346936</v>
      </c>
      <c r="AU291" s="27">
        <f t="shared" si="121"/>
        <v>0.81499999999999995</v>
      </c>
    </row>
    <row r="292" spans="1:47" s="1" customFormat="1" ht="21" customHeight="1" x14ac:dyDescent="0.25">
      <c r="A292" s="109">
        <v>46042</v>
      </c>
      <c r="B292" s="47" t="s">
        <v>49</v>
      </c>
      <c r="C292" s="78" t="s">
        <v>51</v>
      </c>
      <c r="D292" s="47" t="s">
        <v>170</v>
      </c>
      <c r="E292" s="48">
        <v>98992</v>
      </c>
      <c r="F292" s="48" t="s">
        <v>176</v>
      </c>
      <c r="G292" s="48" t="s">
        <v>125</v>
      </c>
      <c r="H292" s="30">
        <v>14957</v>
      </c>
      <c r="I292" s="30">
        <v>20</v>
      </c>
      <c r="J292" s="28">
        <f t="shared" si="126"/>
        <v>180</v>
      </c>
      <c r="K292" s="31">
        <v>0.58333333333333337</v>
      </c>
      <c r="L292" s="31">
        <v>0.9375</v>
      </c>
      <c r="M292" s="32">
        <f t="shared" si="125"/>
        <v>0.35416666666666663</v>
      </c>
      <c r="N292" s="36">
        <v>510</v>
      </c>
      <c r="O292" s="36">
        <f t="shared" si="123"/>
        <v>240</v>
      </c>
      <c r="P292" s="36">
        <f t="shared" si="124"/>
        <v>260</v>
      </c>
      <c r="Q292" s="15">
        <v>0</v>
      </c>
      <c r="R292" s="20">
        <v>0</v>
      </c>
      <c r="S292" s="16">
        <v>0</v>
      </c>
      <c r="T292" s="16">
        <v>0</v>
      </c>
      <c r="U292" s="20">
        <v>0</v>
      </c>
      <c r="V292" s="20">
        <v>0</v>
      </c>
      <c r="W292" s="20">
        <v>20</v>
      </c>
      <c r="X292" s="20">
        <v>0</v>
      </c>
      <c r="Y292" s="20">
        <v>0</v>
      </c>
      <c r="Z292" s="20">
        <v>0</v>
      </c>
      <c r="AA292" s="20">
        <v>0</v>
      </c>
      <c r="AB292" s="20">
        <v>0</v>
      </c>
      <c r="AC292" s="15">
        <f t="shared" si="128"/>
        <v>20</v>
      </c>
      <c r="AD292" s="15">
        <v>0</v>
      </c>
      <c r="AE292" s="15">
        <v>0</v>
      </c>
      <c r="AF292" s="15">
        <v>0</v>
      </c>
      <c r="AG292" s="15">
        <v>180</v>
      </c>
      <c r="AH292" s="15">
        <v>0</v>
      </c>
      <c r="AI292" s="15">
        <v>30</v>
      </c>
      <c r="AJ292" s="15">
        <v>10</v>
      </c>
      <c r="AK292" s="15">
        <v>30</v>
      </c>
      <c r="AL292" s="15">
        <f t="shared" si="127"/>
        <v>250</v>
      </c>
      <c r="AM292" s="29">
        <f t="shared" si="122"/>
        <v>780</v>
      </c>
      <c r="AN292" s="19">
        <v>600</v>
      </c>
      <c r="AO292" s="21">
        <v>0</v>
      </c>
      <c r="AP292" s="22">
        <v>1</v>
      </c>
      <c r="AQ292" s="26">
        <f t="shared" si="112"/>
        <v>599</v>
      </c>
      <c r="AR292" s="37">
        <f t="shared" si="118"/>
        <v>0.92307692307692313</v>
      </c>
      <c r="AS292" s="38">
        <f t="shared" si="119"/>
        <v>0.76923076923076927</v>
      </c>
      <c r="AT292" s="38">
        <f t="shared" si="120"/>
        <v>0.99833333333333329</v>
      </c>
      <c r="AU292" s="27">
        <f t="shared" si="121"/>
        <v>0.70887573964497042</v>
      </c>
    </row>
    <row r="293" spans="1:47" s="1" customFormat="1" ht="21" customHeight="1" x14ac:dyDescent="0.25">
      <c r="A293" s="109">
        <v>46042</v>
      </c>
      <c r="B293" s="47" t="s">
        <v>49</v>
      </c>
      <c r="C293" s="78" t="s">
        <v>51</v>
      </c>
      <c r="D293" s="47" t="s">
        <v>127</v>
      </c>
      <c r="E293" s="48">
        <v>98992</v>
      </c>
      <c r="F293" s="48" t="s">
        <v>175</v>
      </c>
      <c r="G293" s="48" t="s">
        <v>125</v>
      </c>
      <c r="H293" s="30">
        <v>15833</v>
      </c>
      <c r="I293" s="30">
        <v>20</v>
      </c>
      <c r="J293" s="28">
        <f t="shared" si="126"/>
        <v>180</v>
      </c>
      <c r="K293" s="31">
        <v>0.58333333333333337</v>
      </c>
      <c r="L293" s="31">
        <v>0.9375</v>
      </c>
      <c r="M293" s="32">
        <f t="shared" si="125"/>
        <v>0.35416666666666663</v>
      </c>
      <c r="N293" s="36">
        <v>510</v>
      </c>
      <c r="O293" s="36">
        <f t="shared" si="123"/>
        <v>440</v>
      </c>
      <c r="P293" s="36">
        <f t="shared" si="124"/>
        <v>440</v>
      </c>
      <c r="Q293" s="15">
        <v>0</v>
      </c>
      <c r="R293" s="20">
        <v>0</v>
      </c>
      <c r="S293" s="16">
        <v>0</v>
      </c>
      <c r="T293" s="16">
        <v>0</v>
      </c>
      <c r="U293" s="20">
        <v>0</v>
      </c>
      <c r="V293" s="20">
        <v>0</v>
      </c>
      <c r="W293" s="20">
        <v>0</v>
      </c>
      <c r="X293" s="20">
        <v>0</v>
      </c>
      <c r="Y293" s="20">
        <v>0</v>
      </c>
      <c r="Z293" s="20">
        <v>0</v>
      </c>
      <c r="AA293" s="20">
        <v>0</v>
      </c>
      <c r="AB293" s="20">
        <v>0</v>
      </c>
      <c r="AC293" s="15">
        <f t="shared" si="128"/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30</v>
      </c>
      <c r="AJ293" s="15">
        <v>10</v>
      </c>
      <c r="AK293" s="15">
        <v>30</v>
      </c>
      <c r="AL293" s="15">
        <f t="shared" si="127"/>
        <v>70</v>
      </c>
      <c r="AM293" s="29">
        <f t="shared" si="122"/>
        <v>1320</v>
      </c>
      <c r="AN293" s="19">
        <v>1202</v>
      </c>
      <c r="AO293" s="21">
        <v>0</v>
      </c>
      <c r="AP293" s="22">
        <v>0</v>
      </c>
      <c r="AQ293" s="26">
        <f t="shared" si="112"/>
        <v>1202</v>
      </c>
      <c r="AR293" s="37">
        <f t="shared" si="118"/>
        <v>1</v>
      </c>
      <c r="AS293" s="38">
        <f t="shared" si="119"/>
        <v>0.91060606060606064</v>
      </c>
      <c r="AT293" s="38">
        <f t="shared" si="120"/>
        <v>1</v>
      </c>
      <c r="AU293" s="27">
        <f t="shared" si="121"/>
        <v>0.91060606060606064</v>
      </c>
    </row>
    <row r="294" spans="1:47" s="1" customFormat="1" ht="21" customHeight="1" x14ac:dyDescent="0.25">
      <c r="A294" s="109">
        <v>46043</v>
      </c>
      <c r="B294" s="47" t="s">
        <v>49</v>
      </c>
      <c r="C294" s="78" t="s">
        <v>21</v>
      </c>
      <c r="D294" s="47" t="s">
        <v>94</v>
      </c>
      <c r="E294" s="48">
        <v>98992</v>
      </c>
      <c r="F294" s="48" t="s">
        <v>67</v>
      </c>
      <c r="G294" s="48" t="s">
        <v>174</v>
      </c>
      <c r="H294" s="30">
        <v>15726</v>
      </c>
      <c r="I294" s="30">
        <v>24</v>
      </c>
      <c r="J294" s="28">
        <f t="shared" ref="J294:J304" si="129">3600/I294</f>
        <v>150</v>
      </c>
      <c r="K294" s="31">
        <v>0.25</v>
      </c>
      <c r="L294" s="31">
        <v>0.60416666666666696</v>
      </c>
      <c r="M294" s="32">
        <f t="shared" si="125"/>
        <v>0.35416666666666696</v>
      </c>
      <c r="N294" s="36">
        <v>510</v>
      </c>
      <c r="O294" s="36">
        <f t="shared" si="123"/>
        <v>320</v>
      </c>
      <c r="P294" s="36">
        <f t="shared" si="124"/>
        <v>320</v>
      </c>
      <c r="Q294" s="15">
        <v>0</v>
      </c>
      <c r="R294" s="20">
        <v>0</v>
      </c>
      <c r="S294" s="16">
        <v>0</v>
      </c>
      <c r="T294" s="16">
        <v>0</v>
      </c>
      <c r="U294" s="20">
        <v>0</v>
      </c>
      <c r="V294" s="20">
        <v>0</v>
      </c>
      <c r="W294" s="20">
        <v>0</v>
      </c>
      <c r="X294" s="20">
        <v>0</v>
      </c>
      <c r="Y294" s="20">
        <v>0</v>
      </c>
      <c r="Z294" s="20">
        <v>0</v>
      </c>
      <c r="AA294" s="20">
        <v>0</v>
      </c>
      <c r="AB294" s="20">
        <v>0</v>
      </c>
      <c r="AC294" s="15">
        <f t="shared" si="128"/>
        <v>0</v>
      </c>
      <c r="AD294" s="15">
        <v>0</v>
      </c>
      <c r="AE294" s="15">
        <v>0</v>
      </c>
      <c r="AF294" s="15">
        <v>0</v>
      </c>
      <c r="AG294" s="15">
        <v>120</v>
      </c>
      <c r="AH294" s="15">
        <v>0</v>
      </c>
      <c r="AI294" s="15">
        <v>30</v>
      </c>
      <c r="AJ294" s="15">
        <v>10</v>
      </c>
      <c r="AK294" s="15">
        <v>30</v>
      </c>
      <c r="AL294" s="15">
        <f t="shared" si="127"/>
        <v>190</v>
      </c>
      <c r="AM294" s="29">
        <f t="shared" si="122"/>
        <v>800</v>
      </c>
      <c r="AN294" s="19">
        <v>732</v>
      </c>
      <c r="AO294" s="21">
        <v>0</v>
      </c>
      <c r="AP294" s="22">
        <v>3</v>
      </c>
      <c r="AQ294" s="26">
        <f t="shared" si="112"/>
        <v>729</v>
      </c>
      <c r="AR294" s="37">
        <f t="shared" si="118"/>
        <v>1</v>
      </c>
      <c r="AS294" s="38">
        <f t="shared" si="119"/>
        <v>0.91500000000000004</v>
      </c>
      <c r="AT294" s="38">
        <f t="shared" si="120"/>
        <v>0.99590163934426235</v>
      </c>
      <c r="AU294" s="27">
        <f t="shared" si="121"/>
        <v>0.91125000000000012</v>
      </c>
    </row>
    <row r="295" spans="1:47" s="1" customFormat="1" ht="21" customHeight="1" x14ac:dyDescent="0.25">
      <c r="A295" s="109">
        <v>46043</v>
      </c>
      <c r="B295" s="47" t="s">
        <v>49</v>
      </c>
      <c r="C295" s="78" t="s">
        <v>21</v>
      </c>
      <c r="D295" s="47" t="s">
        <v>88</v>
      </c>
      <c r="E295" s="48">
        <v>98992</v>
      </c>
      <c r="F295" s="48" t="s">
        <v>126</v>
      </c>
      <c r="G295" s="48" t="s">
        <v>87</v>
      </c>
      <c r="H295" s="30">
        <v>13106</v>
      </c>
      <c r="I295" s="30">
        <v>32</v>
      </c>
      <c r="J295" s="28">
        <f t="shared" si="129"/>
        <v>112.5</v>
      </c>
      <c r="K295" s="31">
        <v>0.25</v>
      </c>
      <c r="L295" s="31">
        <v>0.60416666666666696</v>
      </c>
      <c r="M295" s="32">
        <f t="shared" si="125"/>
        <v>0.35416666666666696</v>
      </c>
      <c r="N295" s="36">
        <v>510</v>
      </c>
      <c r="O295" s="36">
        <f t="shared" si="123"/>
        <v>300</v>
      </c>
      <c r="P295" s="36">
        <f t="shared" si="124"/>
        <v>320</v>
      </c>
      <c r="Q295" s="15">
        <v>0</v>
      </c>
      <c r="R295" s="20">
        <v>0</v>
      </c>
      <c r="S295" s="16">
        <v>0</v>
      </c>
      <c r="T295" s="16">
        <v>0</v>
      </c>
      <c r="U295" s="20">
        <v>0</v>
      </c>
      <c r="V295" s="20">
        <v>0</v>
      </c>
      <c r="W295" s="20">
        <v>20</v>
      </c>
      <c r="X295" s="20">
        <v>0</v>
      </c>
      <c r="Y295" s="20">
        <v>0</v>
      </c>
      <c r="Z295" s="20">
        <v>0</v>
      </c>
      <c r="AA295" s="20">
        <v>0</v>
      </c>
      <c r="AB295" s="20">
        <v>0</v>
      </c>
      <c r="AC295" s="15">
        <f t="shared" si="128"/>
        <v>20</v>
      </c>
      <c r="AD295" s="15">
        <v>0</v>
      </c>
      <c r="AE295" s="15">
        <v>0</v>
      </c>
      <c r="AF295" s="15">
        <v>0</v>
      </c>
      <c r="AG295" s="15">
        <v>120</v>
      </c>
      <c r="AH295" s="15">
        <v>0</v>
      </c>
      <c r="AI295" s="15">
        <v>30</v>
      </c>
      <c r="AJ295" s="15">
        <v>10</v>
      </c>
      <c r="AK295" s="15">
        <v>30</v>
      </c>
      <c r="AL295" s="15">
        <f t="shared" si="127"/>
        <v>190</v>
      </c>
      <c r="AM295" s="29">
        <f t="shared" si="122"/>
        <v>600</v>
      </c>
      <c r="AN295" s="19">
        <v>535</v>
      </c>
      <c r="AO295" s="21">
        <v>0</v>
      </c>
      <c r="AP295" s="22">
        <v>1</v>
      </c>
      <c r="AQ295" s="26">
        <f t="shared" si="112"/>
        <v>534</v>
      </c>
      <c r="AR295" s="37">
        <f t="shared" si="118"/>
        <v>0.9375</v>
      </c>
      <c r="AS295" s="38">
        <f t="shared" si="119"/>
        <v>0.89166666666666672</v>
      </c>
      <c r="AT295" s="38">
        <f t="shared" si="120"/>
        <v>0.9981308411214953</v>
      </c>
      <c r="AU295" s="27">
        <f t="shared" si="121"/>
        <v>0.83437499999999998</v>
      </c>
    </row>
    <row r="296" spans="1:47" s="1" customFormat="1" ht="21" customHeight="1" x14ac:dyDescent="0.25">
      <c r="A296" s="109">
        <v>46043</v>
      </c>
      <c r="B296" s="47" t="s">
        <v>49</v>
      </c>
      <c r="C296" s="78" t="s">
        <v>21</v>
      </c>
      <c r="D296" s="47" t="s">
        <v>89</v>
      </c>
      <c r="E296" s="48">
        <v>98992</v>
      </c>
      <c r="F296" s="48" t="s">
        <v>169</v>
      </c>
      <c r="G296" s="48" t="s">
        <v>87</v>
      </c>
      <c r="H296" s="30">
        <v>16219</v>
      </c>
      <c r="I296" s="30">
        <v>32</v>
      </c>
      <c r="J296" s="28">
        <f t="shared" si="129"/>
        <v>112.5</v>
      </c>
      <c r="K296" s="31">
        <v>0.25</v>
      </c>
      <c r="L296" s="31">
        <v>0.60416666666666696</v>
      </c>
      <c r="M296" s="32">
        <f t="shared" si="125"/>
        <v>0.35416666666666696</v>
      </c>
      <c r="N296" s="36">
        <v>510</v>
      </c>
      <c r="O296" s="36">
        <f t="shared" si="123"/>
        <v>320</v>
      </c>
      <c r="P296" s="36">
        <f t="shared" si="124"/>
        <v>320</v>
      </c>
      <c r="Q296" s="15">
        <v>0</v>
      </c>
      <c r="R296" s="20">
        <v>0</v>
      </c>
      <c r="S296" s="16">
        <v>0</v>
      </c>
      <c r="T296" s="16">
        <v>0</v>
      </c>
      <c r="U296" s="20">
        <v>0</v>
      </c>
      <c r="V296" s="20">
        <v>0</v>
      </c>
      <c r="W296" s="20">
        <v>0</v>
      </c>
      <c r="X296" s="20">
        <v>0</v>
      </c>
      <c r="Y296" s="20">
        <v>0</v>
      </c>
      <c r="Z296" s="20">
        <v>0</v>
      </c>
      <c r="AA296" s="20">
        <v>0</v>
      </c>
      <c r="AB296" s="20">
        <v>0</v>
      </c>
      <c r="AC296" s="15">
        <f t="shared" si="128"/>
        <v>0</v>
      </c>
      <c r="AD296" s="15">
        <v>0</v>
      </c>
      <c r="AE296" s="15">
        <v>0</v>
      </c>
      <c r="AF296" s="15">
        <v>0</v>
      </c>
      <c r="AG296" s="15">
        <v>120</v>
      </c>
      <c r="AH296" s="15">
        <v>0</v>
      </c>
      <c r="AI296" s="15">
        <v>30</v>
      </c>
      <c r="AJ296" s="15">
        <v>10</v>
      </c>
      <c r="AK296" s="15">
        <v>30</v>
      </c>
      <c r="AL296" s="15">
        <f t="shared" si="127"/>
        <v>190</v>
      </c>
      <c r="AM296" s="29">
        <f t="shared" si="122"/>
        <v>600</v>
      </c>
      <c r="AN296" s="19">
        <v>521</v>
      </c>
      <c r="AO296" s="21">
        <v>0</v>
      </c>
      <c r="AP296" s="22">
        <v>1</v>
      </c>
      <c r="AQ296" s="26">
        <f t="shared" si="112"/>
        <v>520</v>
      </c>
      <c r="AR296" s="37">
        <f t="shared" si="118"/>
        <v>1</v>
      </c>
      <c r="AS296" s="38">
        <f t="shared" si="119"/>
        <v>0.86833333333333329</v>
      </c>
      <c r="AT296" s="38">
        <f t="shared" si="120"/>
        <v>0.99808061420345484</v>
      </c>
      <c r="AU296" s="27">
        <f t="shared" si="121"/>
        <v>0.86666666666666659</v>
      </c>
    </row>
    <row r="297" spans="1:47" s="1" customFormat="1" ht="21" customHeight="1" x14ac:dyDescent="0.25">
      <c r="A297" s="109">
        <v>46043</v>
      </c>
      <c r="B297" s="47" t="s">
        <v>49</v>
      </c>
      <c r="C297" s="78" t="s">
        <v>21</v>
      </c>
      <c r="D297" s="47" t="s">
        <v>52</v>
      </c>
      <c r="E297" s="48">
        <v>98992</v>
      </c>
      <c r="F297" s="48" t="s">
        <v>53</v>
      </c>
      <c r="G297" s="48" t="s">
        <v>87</v>
      </c>
      <c r="H297" s="30">
        <v>14957</v>
      </c>
      <c r="I297" s="30">
        <v>32</v>
      </c>
      <c r="J297" s="28">
        <f t="shared" si="129"/>
        <v>112.5</v>
      </c>
      <c r="K297" s="31">
        <v>0.25</v>
      </c>
      <c r="L297" s="31">
        <v>0.60416666666666696</v>
      </c>
      <c r="M297" s="32">
        <f t="shared" si="125"/>
        <v>0.35416666666666696</v>
      </c>
      <c r="N297" s="36">
        <v>510</v>
      </c>
      <c r="O297" s="36">
        <f t="shared" si="123"/>
        <v>440</v>
      </c>
      <c r="P297" s="36">
        <f t="shared" si="124"/>
        <v>440</v>
      </c>
      <c r="Q297" s="15">
        <v>0</v>
      </c>
      <c r="R297" s="20">
        <v>0</v>
      </c>
      <c r="S297" s="16">
        <v>0</v>
      </c>
      <c r="T297" s="16">
        <v>0</v>
      </c>
      <c r="U297" s="20">
        <v>0</v>
      </c>
      <c r="V297" s="20">
        <v>0</v>
      </c>
      <c r="W297" s="20">
        <v>0</v>
      </c>
      <c r="X297" s="20">
        <v>0</v>
      </c>
      <c r="Y297" s="20">
        <v>0</v>
      </c>
      <c r="Z297" s="20">
        <v>0</v>
      </c>
      <c r="AA297" s="20">
        <v>0</v>
      </c>
      <c r="AB297" s="20">
        <v>0</v>
      </c>
      <c r="AC297" s="15">
        <f t="shared" si="128"/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30</v>
      </c>
      <c r="AJ297" s="15">
        <v>10</v>
      </c>
      <c r="AK297" s="15">
        <v>30</v>
      </c>
      <c r="AL297" s="15">
        <f t="shared" si="127"/>
        <v>70</v>
      </c>
      <c r="AM297" s="29">
        <f t="shared" si="122"/>
        <v>825</v>
      </c>
      <c r="AN297" s="19">
        <f>312+388</f>
        <v>700</v>
      </c>
      <c r="AO297" s="21">
        <v>0</v>
      </c>
      <c r="AP297" s="22">
        <v>0</v>
      </c>
      <c r="AQ297" s="26">
        <f t="shared" si="112"/>
        <v>700</v>
      </c>
      <c r="AR297" s="37">
        <f t="shared" si="118"/>
        <v>1</v>
      </c>
      <c r="AS297" s="38">
        <f t="shared" si="119"/>
        <v>0.84848484848484851</v>
      </c>
      <c r="AT297" s="38">
        <f t="shared" si="120"/>
        <v>1</v>
      </c>
      <c r="AU297" s="27">
        <f t="shared" si="121"/>
        <v>0.84848484848484851</v>
      </c>
    </row>
    <row r="298" spans="1:47" s="1" customFormat="1" ht="21" customHeight="1" x14ac:dyDescent="0.25">
      <c r="A298" s="109">
        <v>46043</v>
      </c>
      <c r="B298" s="47" t="s">
        <v>49</v>
      </c>
      <c r="C298" s="78" t="s">
        <v>21</v>
      </c>
      <c r="D298" s="47" t="s">
        <v>86</v>
      </c>
      <c r="E298" s="48">
        <v>98992</v>
      </c>
      <c r="F298" s="48" t="s">
        <v>176</v>
      </c>
      <c r="G298" s="48" t="s">
        <v>87</v>
      </c>
      <c r="H298" s="30">
        <v>15859</v>
      </c>
      <c r="I298" s="30">
        <v>20</v>
      </c>
      <c r="J298" s="28">
        <f t="shared" si="129"/>
        <v>180</v>
      </c>
      <c r="K298" s="31">
        <v>0.25</v>
      </c>
      <c r="L298" s="31">
        <v>0.60416666666666696</v>
      </c>
      <c r="M298" s="32">
        <f t="shared" si="125"/>
        <v>0.35416666666666696</v>
      </c>
      <c r="N298" s="36">
        <v>510</v>
      </c>
      <c r="O298" s="36">
        <f t="shared" si="123"/>
        <v>320</v>
      </c>
      <c r="P298" s="36">
        <f t="shared" si="124"/>
        <v>320</v>
      </c>
      <c r="Q298" s="15">
        <v>0</v>
      </c>
      <c r="R298" s="20">
        <v>0</v>
      </c>
      <c r="S298" s="16">
        <v>0</v>
      </c>
      <c r="T298" s="16">
        <v>0</v>
      </c>
      <c r="U298" s="20">
        <v>0</v>
      </c>
      <c r="V298" s="20">
        <v>0</v>
      </c>
      <c r="W298" s="20">
        <v>0</v>
      </c>
      <c r="X298" s="20">
        <v>0</v>
      </c>
      <c r="Y298" s="20">
        <v>0</v>
      </c>
      <c r="Z298" s="20">
        <v>0</v>
      </c>
      <c r="AA298" s="20">
        <v>0</v>
      </c>
      <c r="AB298" s="20">
        <v>0</v>
      </c>
      <c r="AC298" s="15">
        <f t="shared" si="128"/>
        <v>0</v>
      </c>
      <c r="AD298" s="15">
        <v>0</v>
      </c>
      <c r="AE298" s="15">
        <v>0</v>
      </c>
      <c r="AF298" s="15">
        <v>0</v>
      </c>
      <c r="AG298" s="15">
        <v>120</v>
      </c>
      <c r="AH298" s="15">
        <v>0</v>
      </c>
      <c r="AI298" s="15">
        <v>30</v>
      </c>
      <c r="AJ298" s="15">
        <v>10</v>
      </c>
      <c r="AK298" s="15">
        <v>30</v>
      </c>
      <c r="AL298" s="15">
        <f t="shared" si="127"/>
        <v>190</v>
      </c>
      <c r="AM298" s="29">
        <f t="shared" si="122"/>
        <v>960</v>
      </c>
      <c r="AN298" s="19">
        <f>564+240</f>
        <v>804</v>
      </c>
      <c r="AO298" s="21">
        <v>0</v>
      </c>
      <c r="AP298" s="22">
        <v>1</v>
      </c>
      <c r="AQ298" s="26">
        <f t="shared" si="112"/>
        <v>803</v>
      </c>
      <c r="AR298" s="37">
        <f t="shared" si="118"/>
        <v>1</v>
      </c>
      <c r="AS298" s="38">
        <f t="shared" si="119"/>
        <v>0.83750000000000002</v>
      </c>
      <c r="AT298" s="38">
        <f t="shared" si="120"/>
        <v>0.99875621890547261</v>
      </c>
      <c r="AU298" s="27">
        <f t="shared" si="121"/>
        <v>0.8364583333333333</v>
      </c>
    </row>
    <row r="299" spans="1:47" s="1" customFormat="1" ht="21" customHeight="1" x14ac:dyDescent="0.25">
      <c r="A299" s="109">
        <v>46043</v>
      </c>
      <c r="B299" s="47" t="s">
        <v>49</v>
      </c>
      <c r="C299" s="78" t="s">
        <v>21</v>
      </c>
      <c r="D299" s="47" t="s">
        <v>172</v>
      </c>
      <c r="E299" s="48">
        <v>98992</v>
      </c>
      <c r="F299" s="48" t="s">
        <v>175</v>
      </c>
      <c r="G299" s="48" t="s">
        <v>87</v>
      </c>
      <c r="H299" s="30">
        <v>15838</v>
      </c>
      <c r="I299" s="30">
        <v>20</v>
      </c>
      <c r="J299" s="28">
        <f t="shared" si="129"/>
        <v>180</v>
      </c>
      <c r="K299" s="31">
        <v>0.25</v>
      </c>
      <c r="L299" s="31">
        <v>0.60416666666666696</v>
      </c>
      <c r="M299" s="32">
        <f t="shared" si="125"/>
        <v>0.35416666666666696</v>
      </c>
      <c r="N299" s="36">
        <v>510</v>
      </c>
      <c r="O299" s="36">
        <f t="shared" si="123"/>
        <v>260</v>
      </c>
      <c r="P299" s="36">
        <f t="shared" si="124"/>
        <v>260</v>
      </c>
      <c r="Q299" s="15">
        <v>0</v>
      </c>
      <c r="R299" s="20">
        <v>0</v>
      </c>
      <c r="S299" s="16">
        <v>0</v>
      </c>
      <c r="T299" s="16">
        <v>0</v>
      </c>
      <c r="U299" s="20">
        <v>0</v>
      </c>
      <c r="V299" s="20">
        <v>0</v>
      </c>
      <c r="W299" s="20">
        <v>0</v>
      </c>
      <c r="X299" s="20">
        <v>0</v>
      </c>
      <c r="Y299" s="20">
        <v>0</v>
      </c>
      <c r="Z299" s="20">
        <v>0</v>
      </c>
      <c r="AA299" s="20">
        <v>0</v>
      </c>
      <c r="AB299" s="20">
        <v>0</v>
      </c>
      <c r="AC299" s="15">
        <f t="shared" si="128"/>
        <v>0</v>
      </c>
      <c r="AD299" s="15">
        <v>0</v>
      </c>
      <c r="AE299" s="15">
        <v>0</v>
      </c>
      <c r="AF299" s="15">
        <v>0</v>
      </c>
      <c r="AG299" s="15">
        <v>180</v>
      </c>
      <c r="AH299" s="15">
        <v>0</v>
      </c>
      <c r="AI299" s="15">
        <v>30</v>
      </c>
      <c r="AJ299" s="15">
        <v>10</v>
      </c>
      <c r="AK299" s="15">
        <v>30</v>
      </c>
      <c r="AL299" s="15">
        <f t="shared" si="127"/>
        <v>250</v>
      </c>
      <c r="AM299" s="29">
        <f t="shared" si="122"/>
        <v>780</v>
      </c>
      <c r="AN299" s="19">
        <f>444+240</f>
        <v>684</v>
      </c>
      <c r="AO299" s="21">
        <v>0</v>
      </c>
      <c r="AP299" s="22">
        <v>0</v>
      </c>
      <c r="AQ299" s="26">
        <f t="shared" si="112"/>
        <v>684</v>
      </c>
      <c r="AR299" s="37">
        <f t="shared" si="118"/>
        <v>1</v>
      </c>
      <c r="AS299" s="38">
        <f t="shared" si="119"/>
        <v>0.87692307692307692</v>
      </c>
      <c r="AT299" s="38">
        <f t="shared" si="120"/>
        <v>1</v>
      </c>
      <c r="AU299" s="27">
        <f t="shared" si="121"/>
        <v>0.87692307692307692</v>
      </c>
    </row>
    <row r="300" spans="1:47" s="1" customFormat="1" ht="21" customHeight="1" x14ac:dyDescent="0.25">
      <c r="A300" s="109">
        <v>46043</v>
      </c>
      <c r="B300" s="47" t="s">
        <v>49</v>
      </c>
      <c r="C300" s="78" t="s">
        <v>21</v>
      </c>
      <c r="D300" s="47" t="s">
        <v>124</v>
      </c>
      <c r="E300" s="48">
        <v>98992</v>
      </c>
      <c r="F300" s="48" t="s">
        <v>215</v>
      </c>
      <c r="G300" s="48" t="s">
        <v>125</v>
      </c>
      <c r="H300" s="30">
        <v>13105</v>
      </c>
      <c r="I300" s="30">
        <v>32</v>
      </c>
      <c r="J300" s="28">
        <f t="shared" si="129"/>
        <v>112.5</v>
      </c>
      <c r="K300" s="31">
        <v>0.25</v>
      </c>
      <c r="L300" s="31">
        <v>0.60416666666666696</v>
      </c>
      <c r="M300" s="32">
        <f t="shared" si="125"/>
        <v>0.35416666666666696</v>
      </c>
      <c r="N300" s="36">
        <v>510</v>
      </c>
      <c r="O300" s="36">
        <f t="shared" si="123"/>
        <v>200</v>
      </c>
      <c r="P300" s="36">
        <f t="shared" si="124"/>
        <v>200</v>
      </c>
      <c r="Q300" s="15">
        <v>0</v>
      </c>
      <c r="R300" s="20">
        <v>0</v>
      </c>
      <c r="S300" s="16">
        <v>0</v>
      </c>
      <c r="T300" s="16">
        <v>0</v>
      </c>
      <c r="U300" s="20">
        <v>0</v>
      </c>
      <c r="V300" s="20">
        <v>0</v>
      </c>
      <c r="W300" s="20">
        <v>0</v>
      </c>
      <c r="X300" s="20">
        <v>0</v>
      </c>
      <c r="Y300" s="20">
        <v>0</v>
      </c>
      <c r="Z300" s="20">
        <v>0</v>
      </c>
      <c r="AA300" s="20">
        <v>0</v>
      </c>
      <c r="AB300" s="20">
        <v>0</v>
      </c>
      <c r="AC300" s="15">
        <f t="shared" si="128"/>
        <v>0</v>
      </c>
      <c r="AD300" s="15">
        <v>0</v>
      </c>
      <c r="AE300" s="15">
        <v>0</v>
      </c>
      <c r="AF300" s="15">
        <v>0</v>
      </c>
      <c r="AG300" s="15">
        <v>240</v>
      </c>
      <c r="AH300" s="15">
        <v>0</v>
      </c>
      <c r="AI300" s="15">
        <v>30</v>
      </c>
      <c r="AJ300" s="15">
        <v>10</v>
      </c>
      <c r="AK300" s="15">
        <v>30</v>
      </c>
      <c r="AL300" s="15">
        <f t="shared" si="127"/>
        <v>310</v>
      </c>
      <c r="AM300" s="29">
        <f t="shared" si="122"/>
        <v>375</v>
      </c>
      <c r="AN300" s="19">
        <v>257</v>
      </c>
      <c r="AO300" s="21">
        <v>0</v>
      </c>
      <c r="AP300" s="22">
        <v>1</v>
      </c>
      <c r="AQ300" s="26">
        <f t="shared" si="112"/>
        <v>256</v>
      </c>
      <c r="AR300" s="37">
        <f t="shared" si="118"/>
        <v>1</v>
      </c>
      <c r="AS300" s="38">
        <f t="shared" si="119"/>
        <v>0.68533333333333335</v>
      </c>
      <c r="AT300" s="38">
        <f t="shared" si="120"/>
        <v>0.99610894941634243</v>
      </c>
      <c r="AU300" s="27">
        <f t="shared" si="121"/>
        <v>0.68266666666666664</v>
      </c>
    </row>
    <row r="301" spans="1:47" s="1" customFormat="1" ht="21" customHeight="1" x14ac:dyDescent="0.25">
      <c r="A301" s="109">
        <v>46043</v>
      </c>
      <c r="B301" s="47" t="s">
        <v>49</v>
      </c>
      <c r="C301" s="78" t="s">
        <v>21</v>
      </c>
      <c r="D301" s="47" t="s">
        <v>122</v>
      </c>
      <c r="E301" s="48">
        <v>98992</v>
      </c>
      <c r="F301" s="48" t="s">
        <v>169</v>
      </c>
      <c r="G301" s="48" t="s">
        <v>125</v>
      </c>
      <c r="H301" s="30">
        <v>14957</v>
      </c>
      <c r="I301" s="30">
        <v>32</v>
      </c>
      <c r="J301" s="28">
        <f t="shared" si="129"/>
        <v>112.5</v>
      </c>
      <c r="K301" s="31">
        <v>0.25</v>
      </c>
      <c r="L301" s="31">
        <v>0.60416666666666696</v>
      </c>
      <c r="M301" s="32">
        <f t="shared" si="125"/>
        <v>0.35416666666666696</v>
      </c>
      <c r="N301" s="36">
        <v>510</v>
      </c>
      <c r="O301" s="36">
        <f t="shared" si="123"/>
        <v>260</v>
      </c>
      <c r="P301" s="36">
        <f t="shared" si="124"/>
        <v>260</v>
      </c>
      <c r="Q301" s="15">
        <v>0</v>
      </c>
      <c r="R301" s="20">
        <v>0</v>
      </c>
      <c r="S301" s="16">
        <v>0</v>
      </c>
      <c r="T301" s="16">
        <v>0</v>
      </c>
      <c r="U301" s="20">
        <v>0</v>
      </c>
      <c r="V301" s="20">
        <v>0</v>
      </c>
      <c r="W301" s="20">
        <v>0</v>
      </c>
      <c r="X301" s="20">
        <v>0</v>
      </c>
      <c r="Y301" s="20">
        <v>0</v>
      </c>
      <c r="Z301" s="20">
        <v>0</v>
      </c>
      <c r="AA301" s="20">
        <v>0</v>
      </c>
      <c r="AB301" s="20">
        <v>0</v>
      </c>
      <c r="AC301" s="15">
        <f t="shared" si="128"/>
        <v>0</v>
      </c>
      <c r="AD301" s="15">
        <v>0</v>
      </c>
      <c r="AE301" s="15">
        <v>0</v>
      </c>
      <c r="AF301" s="15">
        <v>0</v>
      </c>
      <c r="AG301" s="15">
        <v>180</v>
      </c>
      <c r="AH301" s="15">
        <v>0</v>
      </c>
      <c r="AI301" s="15">
        <v>30</v>
      </c>
      <c r="AJ301" s="15">
        <v>10</v>
      </c>
      <c r="AK301" s="15">
        <v>30</v>
      </c>
      <c r="AL301" s="15">
        <f t="shared" si="127"/>
        <v>250</v>
      </c>
      <c r="AM301" s="29">
        <f t="shared" si="122"/>
        <v>487.5</v>
      </c>
      <c r="AN301" s="19">
        <v>248</v>
      </c>
      <c r="AO301" s="21">
        <v>0</v>
      </c>
      <c r="AP301" s="22">
        <v>2</v>
      </c>
      <c r="AQ301" s="26">
        <f t="shared" si="112"/>
        <v>246</v>
      </c>
      <c r="AR301" s="37">
        <f t="shared" si="118"/>
        <v>1</v>
      </c>
      <c r="AS301" s="38">
        <f t="shared" si="119"/>
        <v>0.50871794871794873</v>
      </c>
      <c r="AT301" s="38">
        <f t="shared" si="120"/>
        <v>0.99193548387096775</v>
      </c>
      <c r="AU301" s="27">
        <f t="shared" si="121"/>
        <v>0.50461538461538469</v>
      </c>
    </row>
    <row r="302" spans="1:47" s="1" customFormat="1" ht="21" customHeight="1" x14ac:dyDescent="0.25">
      <c r="A302" s="109">
        <v>46043</v>
      </c>
      <c r="B302" s="47" t="s">
        <v>49</v>
      </c>
      <c r="C302" s="78" t="s">
        <v>21</v>
      </c>
      <c r="D302" s="47" t="s">
        <v>128</v>
      </c>
      <c r="E302" s="48">
        <v>98992</v>
      </c>
      <c r="F302" s="48" t="s">
        <v>53</v>
      </c>
      <c r="G302" s="48" t="s">
        <v>125</v>
      </c>
      <c r="H302" s="30">
        <v>15710</v>
      </c>
      <c r="I302" s="30">
        <v>32</v>
      </c>
      <c r="J302" s="28">
        <f t="shared" si="129"/>
        <v>112.5</v>
      </c>
      <c r="K302" s="31">
        <v>0.25</v>
      </c>
      <c r="L302" s="31">
        <v>0.60416666666666696</v>
      </c>
      <c r="M302" s="32">
        <f t="shared" si="125"/>
        <v>0.35416666666666696</v>
      </c>
      <c r="N302" s="36">
        <v>510</v>
      </c>
      <c r="O302" s="36">
        <f t="shared" si="123"/>
        <v>440</v>
      </c>
      <c r="P302" s="36">
        <f t="shared" si="124"/>
        <v>440</v>
      </c>
      <c r="Q302" s="15">
        <v>0</v>
      </c>
      <c r="R302" s="20">
        <v>0</v>
      </c>
      <c r="S302" s="16">
        <v>0</v>
      </c>
      <c r="T302" s="16">
        <v>0</v>
      </c>
      <c r="U302" s="20">
        <v>0</v>
      </c>
      <c r="V302" s="20">
        <v>0</v>
      </c>
      <c r="W302" s="20">
        <v>0</v>
      </c>
      <c r="X302" s="20">
        <v>0</v>
      </c>
      <c r="Y302" s="20">
        <v>0</v>
      </c>
      <c r="Z302" s="20">
        <v>0</v>
      </c>
      <c r="AA302" s="20">
        <v>0</v>
      </c>
      <c r="AB302" s="20">
        <v>0</v>
      </c>
      <c r="AC302" s="15">
        <f t="shared" si="128"/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30</v>
      </c>
      <c r="AJ302" s="15">
        <v>10</v>
      </c>
      <c r="AK302" s="15">
        <v>30</v>
      </c>
      <c r="AL302" s="15">
        <f t="shared" si="127"/>
        <v>70</v>
      </c>
      <c r="AM302" s="29">
        <f t="shared" si="122"/>
        <v>825</v>
      </c>
      <c r="AN302" s="19">
        <v>670</v>
      </c>
      <c r="AO302" s="21">
        <v>0</v>
      </c>
      <c r="AP302" s="22">
        <v>0</v>
      </c>
      <c r="AQ302" s="26">
        <f t="shared" si="112"/>
        <v>670</v>
      </c>
      <c r="AR302" s="37">
        <f t="shared" si="118"/>
        <v>1</v>
      </c>
      <c r="AS302" s="38">
        <f t="shared" si="119"/>
        <v>0.81212121212121213</v>
      </c>
      <c r="AT302" s="38">
        <f t="shared" si="120"/>
        <v>1</v>
      </c>
      <c r="AU302" s="27">
        <f t="shared" si="121"/>
        <v>0.81212121212121213</v>
      </c>
    </row>
    <row r="303" spans="1:47" s="1" customFormat="1" ht="21" customHeight="1" x14ac:dyDescent="0.25">
      <c r="A303" s="109">
        <v>46043</v>
      </c>
      <c r="B303" s="47" t="s">
        <v>49</v>
      </c>
      <c r="C303" s="78" t="s">
        <v>21</v>
      </c>
      <c r="D303" s="47" t="s">
        <v>170</v>
      </c>
      <c r="E303" s="48">
        <v>98992</v>
      </c>
      <c r="F303" s="48" t="s">
        <v>176</v>
      </c>
      <c r="G303" s="48" t="s">
        <v>125</v>
      </c>
      <c r="H303" s="30">
        <v>15679</v>
      </c>
      <c r="I303" s="30">
        <v>20</v>
      </c>
      <c r="J303" s="28">
        <f t="shared" si="129"/>
        <v>180</v>
      </c>
      <c r="K303" s="31">
        <v>0.25</v>
      </c>
      <c r="L303" s="31">
        <v>0.60416666666666696</v>
      </c>
      <c r="M303" s="32">
        <f t="shared" si="125"/>
        <v>0.35416666666666696</v>
      </c>
      <c r="N303" s="36">
        <v>510</v>
      </c>
      <c r="O303" s="36">
        <f t="shared" si="123"/>
        <v>380</v>
      </c>
      <c r="P303" s="36">
        <f t="shared" si="124"/>
        <v>380</v>
      </c>
      <c r="Q303" s="15">
        <v>0</v>
      </c>
      <c r="R303" s="20">
        <v>0</v>
      </c>
      <c r="S303" s="16">
        <v>0</v>
      </c>
      <c r="T303" s="16">
        <v>0</v>
      </c>
      <c r="U303" s="20">
        <v>0</v>
      </c>
      <c r="V303" s="20">
        <v>0</v>
      </c>
      <c r="W303" s="20">
        <v>0</v>
      </c>
      <c r="X303" s="20">
        <v>0</v>
      </c>
      <c r="Y303" s="20">
        <v>0</v>
      </c>
      <c r="Z303" s="20">
        <v>0</v>
      </c>
      <c r="AA303" s="20">
        <v>0</v>
      </c>
      <c r="AB303" s="20">
        <v>0</v>
      </c>
      <c r="AC303" s="15">
        <f t="shared" si="128"/>
        <v>0</v>
      </c>
      <c r="AD303" s="15">
        <v>0</v>
      </c>
      <c r="AE303" s="15">
        <v>0</v>
      </c>
      <c r="AF303" s="15">
        <v>0</v>
      </c>
      <c r="AG303" s="15">
        <v>60</v>
      </c>
      <c r="AH303" s="15">
        <v>0</v>
      </c>
      <c r="AI303" s="15">
        <v>30</v>
      </c>
      <c r="AJ303" s="15">
        <v>10</v>
      </c>
      <c r="AK303" s="15">
        <v>30</v>
      </c>
      <c r="AL303" s="15">
        <f t="shared" si="127"/>
        <v>130</v>
      </c>
      <c r="AM303" s="29">
        <f t="shared" si="122"/>
        <v>1140</v>
      </c>
      <c r="AN303" s="19">
        <v>930</v>
      </c>
      <c r="AO303" s="21">
        <v>0</v>
      </c>
      <c r="AP303" s="22">
        <v>2</v>
      </c>
      <c r="AQ303" s="26">
        <f t="shared" si="112"/>
        <v>928</v>
      </c>
      <c r="AR303" s="37">
        <f t="shared" si="118"/>
        <v>1</v>
      </c>
      <c r="AS303" s="38">
        <f t="shared" si="119"/>
        <v>0.81578947368421051</v>
      </c>
      <c r="AT303" s="38">
        <f t="shared" si="120"/>
        <v>0.99784946236559136</v>
      </c>
      <c r="AU303" s="27">
        <f t="shared" si="121"/>
        <v>0.81403508771929822</v>
      </c>
    </row>
    <row r="304" spans="1:47" s="1" customFormat="1" ht="21" customHeight="1" x14ac:dyDescent="0.25">
      <c r="A304" s="109">
        <v>46043</v>
      </c>
      <c r="B304" s="47" t="s">
        <v>49</v>
      </c>
      <c r="C304" s="78" t="s">
        <v>21</v>
      </c>
      <c r="D304" s="47" t="s">
        <v>127</v>
      </c>
      <c r="E304" s="48">
        <v>98992</v>
      </c>
      <c r="F304" s="48" t="s">
        <v>175</v>
      </c>
      <c r="G304" s="48" t="s">
        <v>125</v>
      </c>
      <c r="H304" s="30">
        <v>15672</v>
      </c>
      <c r="I304" s="30">
        <v>20</v>
      </c>
      <c r="J304" s="28">
        <f t="shared" si="129"/>
        <v>180</v>
      </c>
      <c r="K304" s="31">
        <v>0.25</v>
      </c>
      <c r="L304" s="31">
        <v>0.60416666666666696</v>
      </c>
      <c r="M304" s="32">
        <f t="shared" si="125"/>
        <v>0.35416666666666696</v>
      </c>
      <c r="N304" s="36">
        <v>510</v>
      </c>
      <c r="O304" s="36">
        <f t="shared" si="123"/>
        <v>320</v>
      </c>
      <c r="P304" s="36">
        <f t="shared" si="124"/>
        <v>320</v>
      </c>
      <c r="Q304" s="15">
        <v>0</v>
      </c>
      <c r="R304" s="20">
        <v>0</v>
      </c>
      <c r="S304" s="16">
        <v>0</v>
      </c>
      <c r="T304" s="16">
        <v>0</v>
      </c>
      <c r="U304" s="20">
        <v>0</v>
      </c>
      <c r="V304" s="20">
        <v>0</v>
      </c>
      <c r="W304" s="20">
        <v>0</v>
      </c>
      <c r="X304" s="20">
        <v>0</v>
      </c>
      <c r="Y304" s="20">
        <v>0</v>
      </c>
      <c r="Z304" s="20">
        <v>0</v>
      </c>
      <c r="AA304" s="20">
        <v>0</v>
      </c>
      <c r="AB304" s="20">
        <v>0</v>
      </c>
      <c r="AC304" s="15">
        <f t="shared" si="128"/>
        <v>0</v>
      </c>
      <c r="AD304" s="15">
        <v>0</v>
      </c>
      <c r="AE304" s="15">
        <v>0</v>
      </c>
      <c r="AF304" s="15">
        <v>0</v>
      </c>
      <c r="AG304" s="15">
        <v>120</v>
      </c>
      <c r="AH304" s="15">
        <v>0</v>
      </c>
      <c r="AI304" s="15">
        <v>30</v>
      </c>
      <c r="AJ304" s="15">
        <v>10</v>
      </c>
      <c r="AK304" s="15">
        <v>30</v>
      </c>
      <c r="AL304" s="15">
        <f t="shared" si="127"/>
        <v>190</v>
      </c>
      <c r="AM304" s="29">
        <f t="shared" si="122"/>
        <v>960</v>
      </c>
      <c r="AN304" s="19">
        <v>840</v>
      </c>
      <c r="AO304" s="21">
        <v>0</v>
      </c>
      <c r="AP304" s="22">
        <v>2</v>
      </c>
      <c r="AQ304" s="26">
        <f t="shared" si="112"/>
        <v>838</v>
      </c>
      <c r="AR304" s="37">
        <f t="shared" si="118"/>
        <v>1</v>
      </c>
      <c r="AS304" s="38">
        <f t="shared" si="119"/>
        <v>0.875</v>
      </c>
      <c r="AT304" s="38">
        <f t="shared" si="120"/>
        <v>0.99761904761904763</v>
      </c>
      <c r="AU304" s="27">
        <f t="shared" si="121"/>
        <v>0.87291666666666667</v>
      </c>
    </row>
    <row r="305" spans="1:47" s="1" customFormat="1" ht="21" customHeight="1" x14ac:dyDescent="0.25">
      <c r="A305" s="109">
        <v>46043</v>
      </c>
      <c r="B305" s="47" t="s">
        <v>49</v>
      </c>
      <c r="C305" s="78" t="s">
        <v>51</v>
      </c>
      <c r="D305" s="47" t="s">
        <v>94</v>
      </c>
      <c r="E305" s="48">
        <v>98992</v>
      </c>
      <c r="F305" s="48" t="s">
        <v>67</v>
      </c>
      <c r="G305" s="48" t="s">
        <v>174</v>
      </c>
      <c r="H305" s="30">
        <v>13562</v>
      </c>
      <c r="I305" s="30">
        <v>24</v>
      </c>
      <c r="J305" s="28">
        <f t="shared" ref="J305:J315" si="130">3600/I305</f>
        <v>150</v>
      </c>
      <c r="K305" s="31">
        <v>0.58333333333333337</v>
      </c>
      <c r="L305" s="31">
        <v>0.9375</v>
      </c>
      <c r="M305" s="32">
        <f t="shared" si="125"/>
        <v>0.35416666666666663</v>
      </c>
      <c r="N305" s="36">
        <v>510</v>
      </c>
      <c r="O305" s="36">
        <f t="shared" si="123"/>
        <v>320</v>
      </c>
      <c r="P305" s="36">
        <f t="shared" si="124"/>
        <v>320</v>
      </c>
      <c r="Q305" s="15">
        <v>0</v>
      </c>
      <c r="R305" s="20">
        <v>0</v>
      </c>
      <c r="S305" s="16">
        <v>0</v>
      </c>
      <c r="T305" s="16">
        <v>0</v>
      </c>
      <c r="U305" s="20">
        <v>0</v>
      </c>
      <c r="V305" s="20">
        <v>0</v>
      </c>
      <c r="W305" s="20">
        <v>0</v>
      </c>
      <c r="X305" s="20">
        <v>0</v>
      </c>
      <c r="Y305" s="20">
        <v>0</v>
      </c>
      <c r="Z305" s="20">
        <v>0</v>
      </c>
      <c r="AA305" s="20">
        <v>0</v>
      </c>
      <c r="AB305" s="20">
        <v>0</v>
      </c>
      <c r="AC305" s="15">
        <f t="shared" si="128"/>
        <v>0</v>
      </c>
      <c r="AD305" s="15">
        <v>0</v>
      </c>
      <c r="AE305" s="15">
        <v>0</v>
      </c>
      <c r="AF305" s="15">
        <v>0</v>
      </c>
      <c r="AG305" s="15">
        <v>120</v>
      </c>
      <c r="AH305" s="15">
        <v>0</v>
      </c>
      <c r="AI305" s="15">
        <v>30</v>
      </c>
      <c r="AJ305" s="15">
        <v>10</v>
      </c>
      <c r="AK305" s="15">
        <v>30</v>
      </c>
      <c r="AL305" s="15">
        <f t="shared" si="127"/>
        <v>190</v>
      </c>
      <c r="AM305" s="29">
        <f t="shared" si="122"/>
        <v>800</v>
      </c>
      <c r="AN305" s="19">
        <v>725</v>
      </c>
      <c r="AO305" s="21">
        <v>0</v>
      </c>
      <c r="AP305" s="22">
        <v>21</v>
      </c>
      <c r="AQ305" s="26">
        <f t="shared" si="112"/>
        <v>704</v>
      </c>
      <c r="AR305" s="37">
        <f t="shared" si="118"/>
        <v>1</v>
      </c>
      <c r="AS305" s="38">
        <f t="shared" si="119"/>
        <v>0.90625</v>
      </c>
      <c r="AT305" s="38">
        <f t="shared" si="120"/>
        <v>0.9710344827586207</v>
      </c>
      <c r="AU305" s="27">
        <f t="shared" si="121"/>
        <v>0.88</v>
      </c>
    </row>
    <row r="306" spans="1:47" s="1" customFormat="1" ht="21" customHeight="1" x14ac:dyDescent="0.25">
      <c r="A306" s="109">
        <v>46043</v>
      </c>
      <c r="B306" s="47" t="s">
        <v>49</v>
      </c>
      <c r="C306" s="78" t="s">
        <v>51</v>
      </c>
      <c r="D306" s="47" t="s">
        <v>88</v>
      </c>
      <c r="E306" s="48">
        <v>98992</v>
      </c>
      <c r="F306" s="48" t="s">
        <v>126</v>
      </c>
      <c r="G306" s="48" t="s">
        <v>87</v>
      </c>
      <c r="H306" s="30">
        <v>15936</v>
      </c>
      <c r="I306" s="30">
        <v>32</v>
      </c>
      <c r="J306" s="28">
        <f t="shared" si="130"/>
        <v>112.5</v>
      </c>
      <c r="K306" s="31">
        <v>0.58333333333333337</v>
      </c>
      <c r="L306" s="31">
        <v>0.9375</v>
      </c>
      <c r="M306" s="32">
        <f t="shared" si="125"/>
        <v>0.35416666666666663</v>
      </c>
      <c r="N306" s="36">
        <v>510</v>
      </c>
      <c r="O306" s="36">
        <f t="shared" si="123"/>
        <v>380</v>
      </c>
      <c r="P306" s="36">
        <f t="shared" si="124"/>
        <v>380</v>
      </c>
      <c r="Q306" s="15">
        <v>0</v>
      </c>
      <c r="R306" s="20">
        <v>0</v>
      </c>
      <c r="S306" s="16">
        <v>0</v>
      </c>
      <c r="T306" s="16">
        <v>0</v>
      </c>
      <c r="U306" s="20">
        <v>0</v>
      </c>
      <c r="V306" s="20">
        <v>0</v>
      </c>
      <c r="W306" s="20">
        <v>0</v>
      </c>
      <c r="X306" s="20">
        <v>0</v>
      </c>
      <c r="Y306" s="20">
        <v>0</v>
      </c>
      <c r="Z306" s="20">
        <v>0</v>
      </c>
      <c r="AA306" s="20">
        <v>0</v>
      </c>
      <c r="AB306" s="20">
        <v>0</v>
      </c>
      <c r="AC306" s="15">
        <f t="shared" ref="AC306:AC318" si="131">SUM(Q306:AB306)</f>
        <v>0</v>
      </c>
      <c r="AD306" s="15">
        <v>0</v>
      </c>
      <c r="AE306" s="15">
        <v>0</v>
      </c>
      <c r="AF306" s="15">
        <v>0</v>
      </c>
      <c r="AG306" s="15">
        <v>60</v>
      </c>
      <c r="AH306" s="15">
        <v>0</v>
      </c>
      <c r="AI306" s="15">
        <v>30</v>
      </c>
      <c r="AJ306" s="15">
        <v>10</v>
      </c>
      <c r="AK306" s="15">
        <v>30</v>
      </c>
      <c r="AL306" s="15">
        <f t="shared" si="127"/>
        <v>130</v>
      </c>
      <c r="AM306" s="29">
        <f t="shared" si="122"/>
        <v>712.5</v>
      </c>
      <c r="AN306" s="19">
        <v>606</v>
      </c>
      <c r="AO306" s="21">
        <v>0</v>
      </c>
      <c r="AP306" s="22">
        <v>5</v>
      </c>
      <c r="AQ306" s="26">
        <f t="shared" si="112"/>
        <v>601</v>
      </c>
      <c r="AR306" s="37">
        <f t="shared" si="118"/>
        <v>1</v>
      </c>
      <c r="AS306" s="38">
        <f t="shared" si="119"/>
        <v>0.85052631578947369</v>
      </c>
      <c r="AT306" s="38">
        <f t="shared" si="120"/>
        <v>0.9917491749174917</v>
      </c>
      <c r="AU306" s="27">
        <f t="shared" si="121"/>
        <v>0.84350877192982454</v>
      </c>
    </row>
    <row r="307" spans="1:47" s="1" customFormat="1" ht="21" customHeight="1" x14ac:dyDescent="0.25">
      <c r="A307" s="109">
        <v>46043</v>
      </c>
      <c r="B307" s="47" t="s">
        <v>49</v>
      </c>
      <c r="C307" s="78" t="s">
        <v>51</v>
      </c>
      <c r="D307" s="47" t="s">
        <v>89</v>
      </c>
      <c r="E307" s="48">
        <v>98992</v>
      </c>
      <c r="F307" s="48" t="s">
        <v>169</v>
      </c>
      <c r="G307" s="48" t="s">
        <v>87</v>
      </c>
      <c r="H307" s="30">
        <v>11682</v>
      </c>
      <c r="I307" s="30">
        <v>32</v>
      </c>
      <c r="J307" s="28">
        <f t="shared" si="130"/>
        <v>112.5</v>
      </c>
      <c r="K307" s="31">
        <v>0.58333333333333337</v>
      </c>
      <c r="L307" s="31">
        <v>0.9375</v>
      </c>
      <c r="M307" s="32">
        <f t="shared" si="125"/>
        <v>0.35416666666666663</v>
      </c>
      <c r="N307" s="36">
        <v>510</v>
      </c>
      <c r="O307" s="36">
        <f t="shared" si="123"/>
        <v>380</v>
      </c>
      <c r="P307" s="36">
        <f t="shared" si="124"/>
        <v>380</v>
      </c>
      <c r="Q307" s="15">
        <v>0</v>
      </c>
      <c r="R307" s="20">
        <v>0</v>
      </c>
      <c r="S307" s="16">
        <v>0</v>
      </c>
      <c r="T307" s="16">
        <v>0</v>
      </c>
      <c r="U307" s="20">
        <v>0</v>
      </c>
      <c r="V307" s="20">
        <v>0</v>
      </c>
      <c r="W307" s="20">
        <v>0</v>
      </c>
      <c r="X307" s="20">
        <v>0</v>
      </c>
      <c r="Y307" s="20">
        <v>0</v>
      </c>
      <c r="Z307" s="20">
        <v>0</v>
      </c>
      <c r="AA307" s="20">
        <v>0</v>
      </c>
      <c r="AB307" s="20">
        <v>0</v>
      </c>
      <c r="AC307" s="15">
        <f t="shared" si="131"/>
        <v>0</v>
      </c>
      <c r="AD307" s="15">
        <v>0</v>
      </c>
      <c r="AE307" s="15">
        <v>0</v>
      </c>
      <c r="AF307" s="15">
        <v>0</v>
      </c>
      <c r="AG307" s="15">
        <v>60</v>
      </c>
      <c r="AH307" s="15">
        <v>0</v>
      </c>
      <c r="AI307" s="15">
        <v>30</v>
      </c>
      <c r="AJ307" s="15">
        <v>10</v>
      </c>
      <c r="AK307" s="15">
        <v>30</v>
      </c>
      <c r="AL307" s="15">
        <f t="shared" si="127"/>
        <v>130</v>
      </c>
      <c r="AM307" s="29">
        <f t="shared" si="122"/>
        <v>712.5</v>
      </c>
      <c r="AN307" s="19">
        <v>565</v>
      </c>
      <c r="AO307" s="21">
        <v>0</v>
      </c>
      <c r="AP307" s="22">
        <v>0</v>
      </c>
      <c r="AQ307" s="26">
        <f t="shared" si="112"/>
        <v>565</v>
      </c>
      <c r="AR307" s="37">
        <f t="shared" si="118"/>
        <v>1</v>
      </c>
      <c r="AS307" s="38">
        <f t="shared" si="119"/>
        <v>0.7929824561403509</v>
      </c>
      <c r="AT307" s="38">
        <f t="shared" si="120"/>
        <v>1</v>
      </c>
      <c r="AU307" s="27">
        <f t="shared" si="121"/>
        <v>0.7929824561403509</v>
      </c>
    </row>
    <row r="308" spans="1:47" s="1" customFormat="1" ht="21" customHeight="1" x14ac:dyDescent="0.25">
      <c r="A308" s="109">
        <v>46043</v>
      </c>
      <c r="B308" s="47" t="s">
        <v>49</v>
      </c>
      <c r="C308" s="78" t="s">
        <v>51</v>
      </c>
      <c r="D308" s="47" t="s">
        <v>52</v>
      </c>
      <c r="E308" s="48">
        <v>98992</v>
      </c>
      <c r="F308" s="48" t="s">
        <v>53</v>
      </c>
      <c r="G308" s="48" t="s">
        <v>87</v>
      </c>
      <c r="H308" s="30">
        <v>15688</v>
      </c>
      <c r="I308" s="30">
        <v>32</v>
      </c>
      <c r="J308" s="28">
        <f t="shared" si="130"/>
        <v>112.5</v>
      </c>
      <c r="K308" s="31">
        <v>0.58333333333333337</v>
      </c>
      <c r="L308" s="31">
        <v>0.9375</v>
      </c>
      <c r="M308" s="32">
        <f t="shared" si="125"/>
        <v>0.35416666666666663</v>
      </c>
      <c r="N308" s="36">
        <v>510</v>
      </c>
      <c r="O308" s="36">
        <f t="shared" si="123"/>
        <v>440</v>
      </c>
      <c r="P308" s="36">
        <f t="shared" si="124"/>
        <v>440</v>
      </c>
      <c r="Q308" s="15">
        <v>0</v>
      </c>
      <c r="R308" s="20">
        <v>0</v>
      </c>
      <c r="S308" s="16">
        <v>0</v>
      </c>
      <c r="T308" s="16">
        <v>0</v>
      </c>
      <c r="U308" s="20">
        <v>0</v>
      </c>
      <c r="V308" s="20">
        <v>0</v>
      </c>
      <c r="W308" s="20">
        <v>0</v>
      </c>
      <c r="X308" s="20">
        <v>0</v>
      </c>
      <c r="Y308" s="20">
        <v>0</v>
      </c>
      <c r="Z308" s="20">
        <v>0</v>
      </c>
      <c r="AA308" s="20">
        <v>0</v>
      </c>
      <c r="AB308" s="20">
        <v>0</v>
      </c>
      <c r="AC308" s="15">
        <f t="shared" si="131"/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30</v>
      </c>
      <c r="AJ308" s="15">
        <v>10</v>
      </c>
      <c r="AK308" s="15">
        <v>30</v>
      </c>
      <c r="AL308" s="15">
        <f t="shared" si="127"/>
        <v>70</v>
      </c>
      <c r="AM308" s="29">
        <f t="shared" si="122"/>
        <v>825</v>
      </c>
      <c r="AN308" s="19">
        <v>756</v>
      </c>
      <c r="AO308" s="21">
        <v>0</v>
      </c>
      <c r="AP308" s="22">
        <v>0</v>
      </c>
      <c r="AQ308" s="26">
        <f t="shared" si="112"/>
        <v>756</v>
      </c>
      <c r="AR308" s="37">
        <f t="shared" si="118"/>
        <v>1</v>
      </c>
      <c r="AS308" s="38">
        <f t="shared" si="119"/>
        <v>0.91636363636363638</v>
      </c>
      <c r="AT308" s="38">
        <f t="shared" si="120"/>
        <v>1</v>
      </c>
      <c r="AU308" s="27">
        <f t="shared" si="121"/>
        <v>0.91636363636363638</v>
      </c>
    </row>
    <row r="309" spans="1:47" s="1" customFormat="1" ht="21" customHeight="1" x14ac:dyDescent="0.25">
      <c r="A309" s="109">
        <v>46043</v>
      </c>
      <c r="B309" s="47" t="s">
        <v>49</v>
      </c>
      <c r="C309" s="78" t="s">
        <v>51</v>
      </c>
      <c r="D309" s="47" t="s">
        <v>86</v>
      </c>
      <c r="E309" s="48">
        <v>98992</v>
      </c>
      <c r="F309" s="48" t="s">
        <v>176</v>
      </c>
      <c r="G309" s="48" t="s">
        <v>87</v>
      </c>
      <c r="H309" s="30">
        <v>15859</v>
      </c>
      <c r="I309" s="30">
        <v>20</v>
      </c>
      <c r="J309" s="28">
        <f t="shared" si="130"/>
        <v>180</v>
      </c>
      <c r="K309" s="31">
        <v>0.58333333333333337</v>
      </c>
      <c r="L309" s="31">
        <v>0.9375</v>
      </c>
      <c r="M309" s="32">
        <f t="shared" si="125"/>
        <v>0.35416666666666663</v>
      </c>
      <c r="N309" s="36">
        <v>510</v>
      </c>
      <c r="O309" s="36">
        <f t="shared" si="123"/>
        <v>320</v>
      </c>
      <c r="P309" s="36">
        <f t="shared" si="124"/>
        <v>320</v>
      </c>
      <c r="Q309" s="15">
        <v>0</v>
      </c>
      <c r="R309" s="20">
        <v>0</v>
      </c>
      <c r="S309" s="16">
        <v>0</v>
      </c>
      <c r="T309" s="16">
        <v>0</v>
      </c>
      <c r="U309" s="20">
        <v>0</v>
      </c>
      <c r="V309" s="20">
        <v>0</v>
      </c>
      <c r="W309" s="20">
        <v>0</v>
      </c>
      <c r="X309" s="20">
        <v>0</v>
      </c>
      <c r="Y309" s="20">
        <v>0</v>
      </c>
      <c r="Z309" s="20">
        <v>0</v>
      </c>
      <c r="AA309" s="20">
        <v>0</v>
      </c>
      <c r="AB309" s="20">
        <v>0</v>
      </c>
      <c r="AC309" s="15">
        <f t="shared" si="131"/>
        <v>0</v>
      </c>
      <c r="AD309" s="15">
        <v>0</v>
      </c>
      <c r="AE309" s="15">
        <v>0</v>
      </c>
      <c r="AF309" s="15">
        <v>0</v>
      </c>
      <c r="AG309" s="15">
        <v>120</v>
      </c>
      <c r="AH309" s="15">
        <v>0</v>
      </c>
      <c r="AI309" s="15">
        <v>30</v>
      </c>
      <c r="AJ309" s="15">
        <v>10</v>
      </c>
      <c r="AK309" s="15">
        <v>30</v>
      </c>
      <c r="AL309" s="15">
        <f t="shared" si="127"/>
        <v>190</v>
      </c>
      <c r="AM309" s="29">
        <f t="shared" si="122"/>
        <v>960</v>
      </c>
      <c r="AN309" s="19">
        <v>780</v>
      </c>
      <c r="AO309" s="21">
        <v>0</v>
      </c>
      <c r="AP309" s="22">
        <v>0</v>
      </c>
      <c r="AQ309" s="26">
        <f t="shared" si="112"/>
        <v>780</v>
      </c>
      <c r="AR309" s="37">
        <f t="shared" si="118"/>
        <v>1</v>
      </c>
      <c r="AS309" s="38">
        <f t="shared" si="119"/>
        <v>0.8125</v>
      </c>
      <c r="AT309" s="38">
        <f t="shared" si="120"/>
        <v>1</v>
      </c>
      <c r="AU309" s="27">
        <f t="shared" si="121"/>
        <v>0.8125</v>
      </c>
    </row>
    <row r="310" spans="1:47" s="1" customFormat="1" ht="21" customHeight="1" x14ac:dyDescent="0.25">
      <c r="A310" s="109">
        <v>46043</v>
      </c>
      <c r="B310" s="47" t="s">
        <v>49</v>
      </c>
      <c r="C310" s="78" t="s">
        <v>51</v>
      </c>
      <c r="D310" s="47" t="s">
        <v>172</v>
      </c>
      <c r="E310" s="48">
        <v>98992</v>
      </c>
      <c r="F310" s="48" t="s">
        <v>175</v>
      </c>
      <c r="G310" s="48" t="s">
        <v>87</v>
      </c>
      <c r="H310" s="30">
        <v>15838</v>
      </c>
      <c r="I310" s="30">
        <v>20</v>
      </c>
      <c r="J310" s="28">
        <f t="shared" si="130"/>
        <v>180</v>
      </c>
      <c r="K310" s="31">
        <v>0.58333333333333337</v>
      </c>
      <c r="L310" s="31">
        <v>0.9375</v>
      </c>
      <c r="M310" s="32">
        <f t="shared" si="125"/>
        <v>0.35416666666666663</v>
      </c>
      <c r="N310" s="36">
        <v>510</v>
      </c>
      <c r="O310" s="36">
        <f t="shared" si="123"/>
        <v>260</v>
      </c>
      <c r="P310" s="36">
        <f t="shared" si="124"/>
        <v>260</v>
      </c>
      <c r="Q310" s="15">
        <v>0</v>
      </c>
      <c r="R310" s="20">
        <v>0</v>
      </c>
      <c r="S310" s="16">
        <v>0</v>
      </c>
      <c r="T310" s="16">
        <v>0</v>
      </c>
      <c r="U310" s="20">
        <v>0</v>
      </c>
      <c r="V310" s="20">
        <v>0</v>
      </c>
      <c r="W310" s="20">
        <v>0</v>
      </c>
      <c r="X310" s="20">
        <v>0</v>
      </c>
      <c r="Y310" s="20">
        <v>0</v>
      </c>
      <c r="Z310" s="20">
        <v>0</v>
      </c>
      <c r="AA310" s="20">
        <v>0</v>
      </c>
      <c r="AB310" s="20">
        <v>0</v>
      </c>
      <c r="AC310" s="15">
        <f t="shared" si="131"/>
        <v>0</v>
      </c>
      <c r="AD310" s="15">
        <v>0</v>
      </c>
      <c r="AE310" s="15">
        <v>0</v>
      </c>
      <c r="AF310" s="15">
        <v>0</v>
      </c>
      <c r="AG310" s="15">
        <v>180</v>
      </c>
      <c r="AH310" s="15">
        <v>0</v>
      </c>
      <c r="AI310" s="15">
        <v>30</v>
      </c>
      <c r="AJ310" s="15">
        <v>10</v>
      </c>
      <c r="AK310" s="15">
        <v>30</v>
      </c>
      <c r="AL310" s="15">
        <f t="shared" si="127"/>
        <v>250</v>
      </c>
      <c r="AM310" s="29">
        <f t="shared" si="122"/>
        <v>780</v>
      </c>
      <c r="AN310" s="19">
        <v>660</v>
      </c>
      <c r="AO310" s="21">
        <v>0</v>
      </c>
      <c r="AP310" s="22">
        <v>0</v>
      </c>
      <c r="AQ310" s="26">
        <f t="shared" si="112"/>
        <v>660</v>
      </c>
      <c r="AR310" s="37">
        <f t="shared" si="118"/>
        <v>1</v>
      </c>
      <c r="AS310" s="38">
        <f t="shared" si="119"/>
        <v>0.84615384615384615</v>
      </c>
      <c r="AT310" s="38">
        <f t="shared" si="120"/>
        <v>1</v>
      </c>
      <c r="AU310" s="27">
        <f t="shared" si="121"/>
        <v>0.84615384615384615</v>
      </c>
    </row>
    <row r="311" spans="1:47" s="1" customFormat="1" ht="21" customHeight="1" x14ac:dyDescent="0.25">
      <c r="A311" s="109">
        <v>46043</v>
      </c>
      <c r="B311" s="47" t="s">
        <v>49</v>
      </c>
      <c r="C311" s="78" t="s">
        <v>51</v>
      </c>
      <c r="D311" s="47" t="s">
        <v>124</v>
      </c>
      <c r="E311" s="48">
        <v>98992</v>
      </c>
      <c r="F311" s="48" t="s">
        <v>215</v>
      </c>
      <c r="G311" s="48" t="s">
        <v>125</v>
      </c>
      <c r="H311" s="30">
        <v>14972</v>
      </c>
      <c r="I311" s="30">
        <v>32</v>
      </c>
      <c r="J311" s="28">
        <f t="shared" si="130"/>
        <v>112.5</v>
      </c>
      <c r="K311" s="31">
        <v>0.58333333333333337</v>
      </c>
      <c r="L311" s="31">
        <v>0.9375</v>
      </c>
      <c r="M311" s="32">
        <f t="shared" si="125"/>
        <v>0.35416666666666663</v>
      </c>
      <c r="N311" s="36">
        <v>510</v>
      </c>
      <c r="O311" s="36">
        <f t="shared" si="123"/>
        <v>380</v>
      </c>
      <c r="P311" s="36">
        <f t="shared" si="124"/>
        <v>380</v>
      </c>
      <c r="Q311" s="15">
        <v>0</v>
      </c>
      <c r="R311" s="20">
        <v>0</v>
      </c>
      <c r="S311" s="16">
        <v>0</v>
      </c>
      <c r="T311" s="16">
        <v>0</v>
      </c>
      <c r="U311" s="20">
        <v>0</v>
      </c>
      <c r="V311" s="20">
        <v>0</v>
      </c>
      <c r="W311" s="20">
        <v>0</v>
      </c>
      <c r="X311" s="20">
        <v>0</v>
      </c>
      <c r="Y311" s="20">
        <v>0</v>
      </c>
      <c r="Z311" s="20">
        <v>0</v>
      </c>
      <c r="AA311" s="20">
        <v>0</v>
      </c>
      <c r="AB311" s="20">
        <v>0</v>
      </c>
      <c r="AC311" s="15">
        <f t="shared" si="131"/>
        <v>0</v>
      </c>
      <c r="AD311" s="15">
        <v>0</v>
      </c>
      <c r="AE311" s="15">
        <v>0</v>
      </c>
      <c r="AF311" s="15">
        <v>0</v>
      </c>
      <c r="AG311" s="15">
        <v>60</v>
      </c>
      <c r="AH311" s="15">
        <v>0</v>
      </c>
      <c r="AI311" s="15">
        <v>30</v>
      </c>
      <c r="AJ311" s="15">
        <v>10</v>
      </c>
      <c r="AK311" s="15">
        <v>30</v>
      </c>
      <c r="AL311" s="15">
        <f t="shared" si="127"/>
        <v>130</v>
      </c>
      <c r="AM311" s="29">
        <f t="shared" si="122"/>
        <v>712.5</v>
      </c>
      <c r="AN311" s="19">
        <v>650</v>
      </c>
      <c r="AO311" s="21">
        <v>0</v>
      </c>
      <c r="AP311" s="22">
        <v>3</v>
      </c>
      <c r="AQ311" s="26">
        <f t="shared" si="112"/>
        <v>647</v>
      </c>
      <c r="AR311" s="37">
        <f t="shared" si="118"/>
        <v>1</v>
      </c>
      <c r="AS311" s="38">
        <f t="shared" si="119"/>
        <v>0.91228070175438591</v>
      </c>
      <c r="AT311" s="38">
        <f t="shared" si="120"/>
        <v>0.99538461538461542</v>
      </c>
      <c r="AU311" s="27">
        <f t="shared" si="121"/>
        <v>0.90807017543859647</v>
      </c>
    </row>
    <row r="312" spans="1:47" s="1" customFormat="1" ht="21" customHeight="1" x14ac:dyDescent="0.25">
      <c r="A312" s="109">
        <v>46043</v>
      </c>
      <c r="B312" s="47" t="s">
        <v>49</v>
      </c>
      <c r="C312" s="78" t="s">
        <v>51</v>
      </c>
      <c r="D312" s="47" t="s">
        <v>122</v>
      </c>
      <c r="E312" s="48">
        <v>98992</v>
      </c>
      <c r="F312" s="48" t="s">
        <v>169</v>
      </c>
      <c r="G312" s="48" t="s">
        <v>125</v>
      </c>
      <c r="H312" s="30">
        <v>15676</v>
      </c>
      <c r="I312" s="30">
        <v>32</v>
      </c>
      <c r="J312" s="28">
        <f t="shared" si="130"/>
        <v>112.5</v>
      </c>
      <c r="K312" s="31">
        <v>0.58333333333333337</v>
      </c>
      <c r="L312" s="31">
        <v>0.9375</v>
      </c>
      <c r="M312" s="32">
        <f t="shared" si="125"/>
        <v>0.35416666666666663</v>
      </c>
      <c r="N312" s="36">
        <v>510</v>
      </c>
      <c r="O312" s="36">
        <f t="shared" si="123"/>
        <v>380</v>
      </c>
      <c r="P312" s="36">
        <f t="shared" si="124"/>
        <v>380</v>
      </c>
      <c r="Q312" s="15">
        <v>0</v>
      </c>
      <c r="R312" s="20">
        <v>0</v>
      </c>
      <c r="S312" s="16">
        <v>0</v>
      </c>
      <c r="T312" s="16">
        <v>0</v>
      </c>
      <c r="U312" s="20">
        <v>0</v>
      </c>
      <c r="V312" s="20">
        <v>0</v>
      </c>
      <c r="W312" s="20">
        <v>0</v>
      </c>
      <c r="X312" s="20">
        <v>0</v>
      </c>
      <c r="Y312" s="20">
        <v>0</v>
      </c>
      <c r="Z312" s="20">
        <v>0</v>
      </c>
      <c r="AA312" s="20">
        <v>0</v>
      </c>
      <c r="AB312" s="20">
        <v>0</v>
      </c>
      <c r="AC312" s="15">
        <f t="shared" si="131"/>
        <v>0</v>
      </c>
      <c r="AD312" s="15">
        <v>0</v>
      </c>
      <c r="AE312" s="15">
        <v>0</v>
      </c>
      <c r="AF312" s="15">
        <v>0</v>
      </c>
      <c r="AG312" s="15">
        <v>60</v>
      </c>
      <c r="AH312" s="15">
        <v>0</v>
      </c>
      <c r="AI312" s="15">
        <v>30</v>
      </c>
      <c r="AJ312" s="15">
        <v>10</v>
      </c>
      <c r="AK312" s="15">
        <v>30</v>
      </c>
      <c r="AL312" s="15">
        <f t="shared" si="127"/>
        <v>130</v>
      </c>
      <c r="AM312" s="29">
        <f t="shared" si="122"/>
        <v>712.5</v>
      </c>
      <c r="AN312" s="19">
        <v>551</v>
      </c>
      <c r="AO312" s="21">
        <v>0</v>
      </c>
      <c r="AP312" s="22">
        <v>4</v>
      </c>
      <c r="AQ312" s="26">
        <f t="shared" si="112"/>
        <v>547</v>
      </c>
      <c r="AR312" s="37">
        <f t="shared" si="118"/>
        <v>1</v>
      </c>
      <c r="AS312" s="38">
        <f t="shared" si="119"/>
        <v>0.77333333333333332</v>
      </c>
      <c r="AT312" s="38">
        <f t="shared" si="120"/>
        <v>0.99274047186932846</v>
      </c>
      <c r="AU312" s="27">
        <f t="shared" si="121"/>
        <v>0.76771929824561402</v>
      </c>
    </row>
    <row r="313" spans="1:47" s="1" customFormat="1" ht="21" customHeight="1" x14ac:dyDescent="0.25">
      <c r="A313" s="109">
        <v>46043</v>
      </c>
      <c r="B313" s="47" t="s">
        <v>49</v>
      </c>
      <c r="C313" s="78" t="s">
        <v>51</v>
      </c>
      <c r="D313" s="47" t="s">
        <v>128</v>
      </c>
      <c r="E313" s="48">
        <v>98992</v>
      </c>
      <c r="F313" s="48" t="s">
        <v>53</v>
      </c>
      <c r="G313" s="48" t="s">
        <v>125</v>
      </c>
      <c r="H313" s="30">
        <v>15632</v>
      </c>
      <c r="I313" s="30">
        <v>32</v>
      </c>
      <c r="J313" s="28">
        <f t="shared" si="130"/>
        <v>112.5</v>
      </c>
      <c r="K313" s="31">
        <v>0.58333333333333337</v>
      </c>
      <c r="L313" s="31">
        <v>0.9375</v>
      </c>
      <c r="M313" s="32">
        <f t="shared" si="125"/>
        <v>0.35416666666666663</v>
      </c>
      <c r="N313" s="36">
        <v>510</v>
      </c>
      <c r="O313" s="36">
        <f t="shared" si="123"/>
        <v>440</v>
      </c>
      <c r="P313" s="36">
        <f t="shared" si="124"/>
        <v>440</v>
      </c>
      <c r="Q313" s="15">
        <v>0</v>
      </c>
      <c r="R313" s="20">
        <v>0</v>
      </c>
      <c r="S313" s="16">
        <v>0</v>
      </c>
      <c r="T313" s="16">
        <v>0</v>
      </c>
      <c r="U313" s="20">
        <v>0</v>
      </c>
      <c r="V313" s="20">
        <v>0</v>
      </c>
      <c r="W313" s="20">
        <v>0</v>
      </c>
      <c r="X313" s="20">
        <v>0</v>
      </c>
      <c r="Y313" s="20">
        <v>0</v>
      </c>
      <c r="Z313" s="20">
        <v>0</v>
      </c>
      <c r="AA313" s="20">
        <v>0</v>
      </c>
      <c r="AB313" s="20">
        <v>0</v>
      </c>
      <c r="AC313" s="15">
        <f t="shared" si="131"/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30</v>
      </c>
      <c r="AJ313" s="15">
        <v>10</v>
      </c>
      <c r="AK313" s="15">
        <v>30</v>
      </c>
      <c r="AL313" s="15">
        <f t="shared" si="127"/>
        <v>70</v>
      </c>
      <c r="AM313" s="29">
        <f t="shared" si="122"/>
        <v>825</v>
      </c>
      <c r="AN313" s="19">
        <f>120+580</f>
        <v>700</v>
      </c>
      <c r="AO313" s="21">
        <v>0</v>
      </c>
      <c r="AP313" s="22">
        <v>0</v>
      </c>
      <c r="AQ313" s="26">
        <f t="shared" si="112"/>
        <v>700</v>
      </c>
      <c r="AR313" s="37">
        <f t="shared" si="118"/>
        <v>1</v>
      </c>
      <c r="AS313" s="38">
        <f t="shared" si="119"/>
        <v>0.84848484848484851</v>
      </c>
      <c r="AT313" s="38">
        <f t="shared" si="120"/>
        <v>1</v>
      </c>
      <c r="AU313" s="27">
        <f t="shared" si="121"/>
        <v>0.84848484848484851</v>
      </c>
    </row>
    <row r="314" spans="1:47" s="1" customFormat="1" ht="21" customHeight="1" x14ac:dyDescent="0.25">
      <c r="A314" s="109">
        <v>46043</v>
      </c>
      <c r="B314" s="47" t="s">
        <v>49</v>
      </c>
      <c r="C314" s="78" t="s">
        <v>51</v>
      </c>
      <c r="D314" s="47" t="s">
        <v>170</v>
      </c>
      <c r="E314" s="48">
        <v>98992</v>
      </c>
      <c r="F314" s="48" t="s">
        <v>176</v>
      </c>
      <c r="G314" s="48" t="s">
        <v>125</v>
      </c>
      <c r="H314" s="30">
        <v>15773</v>
      </c>
      <c r="I314" s="30">
        <v>20</v>
      </c>
      <c r="J314" s="28">
        <f t="shared" si="130"/>
        <v>180</v>
      </c>
      <c r="K314" s="31">
        <v>0.58333333333333337</v>
      </c>
      <c r="L314" s="31">
        <v>0.9375</v>
      </c>
      <c r="M314" s="32">
        <f t="shared" si="125"/>
        <v>0.35416666666666663</v>
      </c>
      <c r="N314" s="36">
        <v>510</v>
      </c>
      <c r="O314" s="36">
        <f t="shared" si="123"/>
        <v>260</v>
      </c>
      <c r="P314" s="36">
        <f t="shared" si="124"/>
        <v>260</v>
      </c>
      <c r="Q314" s="15">
        <v>0</v>
      </c>
      <c r="R314" s="20">
        <v>0</v>
      </c>
      <c r="S314" s="16">
        <v>0</v>
      </c>
      <c r="T314" s="16">
        <v>0</v>
      </c>
      <c r="U314" s="20">
        <v>0</v>
      </c>
      <c r="V314" s="20">
        <v>0</v>
      </c>
      <c r="W314" s="20">
        <v>0</v>
      </c>
      <c r="X314" s="20">
        <v>0</v>
      </c>
      <c r="Y314" s="20">
        <v>0</v>
      </c>
      <c r="Z314" s="20">
        <v>0</v>
      </c>
      <c r="AA314" s="20">
        <v>0</v>
      </c>
      <c r="AB314" s="20">
        <v>0</v>
      </c>
      <c r="AC314" s="15">
        <f t="shared" si="131"/>
        <v>0</v>
      </c>
      <c r="AD314" s="15">
        <v>0</v>
      </c>
      <c r="AE314" s="15">
        <v>0</v>
      </c>
      <c r="AF314" s="15">
        <v>0</v>
      </c>
      <c r="AG314" s="15">
        <v>180</v>
      </c>
      <c r="AH314" s="15">
        <v>0</v>
      </c>
      <c r="AI314" s="15">
        <v>30</v>
      </c>
      <c r="AJ314" s="15">
        <v>10</v>
      </c>
      <c r="AK314" s="15">
        <v>30</v>
      </c>
      <c r="AL314" s="15">
        <f t="shared" si="127"/>
        <v>250</v>
      </c>
      <c r="AM314" s="29">
        <f t="shared" si="122"/>
        <v>780</v>
      </c>
      <c r="AN314" s="19">
        <f>300+300</f>
        <v>600</v>
      </c>
      <c r="AO314" s="21">
        <v>0</v>
      </c>
      <c r="AP314" s="22">
        <v>0</v>
      </c>
      <c r="AQ314" s="26">
        <f t="shared" si="112"/>
        <v>600</v>
      </c>
      <c r="AR314" s="37">
        <f t="shared" si="118"/>
        <v>1</v>
      </c>
      <c r="AS314" s="38">
        <f t="shared" si="119"/>
        <v>0.76923076923076927</v>
      </c>
      <c r="AT314" s="38">
        <f t="shared" si="120"/>
        <v>1</v>
      </c>
      <c r="AU314" s="27">
        <f t="shared" si="121"/>
        <v>0.76923076923076927</v>
      </c>
    </row>
    <row r="315" spans="1:47" s="1" customFormat="1" ht="21" customHeight="1" x14ac:dyDescent="0.25">
      <c r="A315" s="109">
        <v>46043</v>
      </c>
      <c r="B315" s="47" t="s">
        <v>49</v>
      </c>
      <c r="C315" s="79" t="s">
        <v>51</v>
      </c>
      <c r="D315" s="47" t="s">
        <v>127</v>
      </c>
      <c r="E315" s="48">
        <v>98992</v>
      </c>
      <c r="F315" s="48" t="s">
        <v>175</v>
      </c>
      <c r="G315" s="48" t="s">
        <v>125</v>
      </c>
      <c r="H315" s="30">
        <v>15851</v>
      </c>
      <c r="I315" s="30">
        <v>20</v>
      </c>
      <c r="J315" s="28">
        <f t="shared" si="130"/>
        <v>180</v>
      </c>
      <c r="K315" s="31">
        <v>0.58333333333333337</v>
      </c>
      <c r="L315" s="31">
        <v>0.9375</v>
      </c>
      <c r="M315" s="32">
        <f t="shared" si="125"/>
        <v>0.35416666666666663</v>
      </c>
      <c r="N315" s="36">
        <v>510</v>
      </c>
      <c r="O315" s="36">
        <f t="shared" si="123"/>
        <v>200</v>
      </c>
      <c r="P315" s="36">
        <f t="shared" si="124"/>
        <v>200</v>
      </c>
      <c r="Q315" s="15">
        <v>0</v>
      </c>
      <c r="R315" s="20">
        <v>0</v>
      </c>
      <c r="S315" s="16">
        <v>0</v>
      </c>
      <c r="T315" s="16">
        <v>0</v>
      </c>
      <c r="U315" s="20">
        <v>0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15">
        <f t="shared" si="131"/>
        <v>0</v>
      </c>
      <c r="AD315" s="15">
        <v>0</v>
      </c>
      <c r="AE315" s="15">
        <v>0</v>
      </c>
      <c r="AF315" s="15">
        <v>0</v>
      </c>
      <c r="AG315" s="15">
        <v>240</v>
      </c>
      <c r="AH315" s="15">
        <v>0</v>
      </c>
      <c r="AI315" s="15">
        <v>30</v>
      </c>
      <c r="AJ315" s="15">
        <v>10</v>
      </c>
      <c r="AK315" s="15">
        <v>30</v>
      </c>
      <c r="AL315" s="15">
        <f t="shared" si="127"/>
        <v>310</v>
      </c>
      <c r="AM315" s="29">
        <f t="shared" si="122"/>
        <v>600</v>
      </c>
      <c r="AN315" s="19">
        <v>348</v>
      </c>
      <c r="AO315" s="21">
        <v>0</v>
      </c>
      <c r="AP315" s="22">
        <v>0</v>
      </c>
      <c r="AQ315" s="26">
        <f t="shared" si="112"/>
        <v>348</v>
      </c>
      <c r="AR315" s="37">
        <f t="shared" si="118"/>
        <v>1</v>
      </c>
      <c r="AS315" s="38">
        <f t="shared" si="119"/>
        <v>0.57999999999999996</v>
      </c>
      <c r="AT315" s="38">
        <f t="shared" si="120"/>
        <v>1</v>
      </c>
      <c r="AU315" s="27">
        <f t="shared" si="121"/>
        <v>0.57999999999999996</v>
      </c>
    </row>
    <row r="316" spans="1:47" s="1" customFormat="1" ht="21" customHeight="1" x14ac:dyDescent="0.25">
      <c r="A316" s="109">
        <v>46044</v>
      </c>
      <c r="B316" s="47" t="s">
        <v>49</v>
      </c>
      <c r="C316" s="79" t="s">
        <v>21</v>
      </c>
      <c r="D316" s="47" t="s">
        <v>94</v>
      </c>
      <c r="E316" s="48">
        <v>98992</v>
      </c>
      <c r="F316" s="48" t="s">
        <v>67</v>
      </c>
      <c r="G316" s="48" t="s">
        <v>174</v>
      </c>
      <c r="H316" s="30">
        <v>15728</v>
      </c>
      <c r="I316" s="30">
        <v>24</v>
      </c>
      <c r="J316" s="28">
        <f t="shared" ref="J316:J335" si="132">3600/I316</f>
        <v>150</v>
      </c>
      <c r="K316" s="31">
        <v>0.25</v>
      </c>
      <c r="L316" s="31">
        <v>0.60416666666666696</v>
      </c>
      <c r="M316" s="32">
        <f t="shared" si="125"/>
        <v>0.35416666666666696</v>
      </c>
      <c r="N316" s="36">
        <v>510</v>
      </c>
      <c r="O316" s="36">
        <f t="shared" si="123"/>
        <v>440</v>
      </c>
      <c r="P316" s="36">
        <f t="shared" si="124"/>
        <v>440</v>
      </c>
      <c r="Q316" s="15">
        <v>0</v>
      </c>
      <c r="R316" s="20">
        <v>0</v>
      </c>
      <c r="S316" s="16">
        <v>0</v>
      </c>
      <c r="T316" s="16">
        <v>0</v>
      </c>
      <c r="U316" s="20">
        <v>0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15">
        <f t="shared" si="131"/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30</v>
      </c>
      <c r="AJ316" s="15">
        <v>10</v>
      </c>
      <c r="AK316" s="15">
        <v>30</v>
      </c>
      <c r="AL316" s="15">
        <f t="shared" si="127"/>
        <v>70</v>
      </c>
      <c r="AM316" s="29">
        <f t="shared" si="122"/>
        <v>1100</v>
      </c>
      <c r="AN316" s="19">
        <v>938</v>
      </c>
      <c r="AO316" s="21">
        <v>0</v>
      </c>
      <c r="AP316" s="22">
        <v>2</v>
      </c>
      <c r="AQ316" s="26">
        <f t="shared" si="112"/>
        <v>936</v>
      </c>
      <c r="AR316" s="37">
        <f t="shared" si="118"/>
        <v>1</v>
      </c>
      <c r="AS316" s="38">
        <f t="shared" si="119"/>
        <v>0.85272727272727278</v>
      </c>
      <c r="AT316" s="38">
        <f t="shared" si="120"/>
        <v>0.99786780383795304</v>
      </c>
      <c r="AU316" s="27">
        <f t="shared" si="121"/>
        <v>0.85090909090909095</v>
      </c>
    </row>
    <row r="317" spans="1:47" s="1" customFormat="1" ht="21" customHeight="1" x14ac:dyDescent="0.25">
      <c r="A317" s="109">
        <v>46044</v>
      </c>
      <c r="B317" s="47" t="s">
        <v>49</v>
      </c>
      <c r="C317" s="79" t="s">
        <v>21</v>
      </c>
      <c r="D317" s="47" t="s">
        <v>124</v>
      </c>
      <c r="E317" s="48">
        <v>98992</v>
      </c>
      <c r="F317" s="48" t="s">
        <v>215</v>
      </c>
      <c r="G317" s="48" t="s">
        <v>125</v>
      </c>
      <c r="H317" s="30">
        <v>13105</v>
      </c>
      <c r="I317" s="30">
        <v>32</v>
      </c>
      <c r="J317" s="28">
        <f t="shared" si="132"/>
        <v>112.5</v>
      </c>
      <c r="K317" s="31">
        <v>0.25</v>
      </c>
      <c r="L317" s="31">
        <v>0.60416666666666696</v>
      </c>
      <c r="M317" s="32">
        <f t="shared" si="125"/>
        <v>0.35416666666666696</v>
      </c>
      <c r="N317" s="36">
        <v>510</v>
      </c>
      <c r="O317" s="36">
        <f t="shared" si="123"/>
        <v>440</v>
      </c>
      <c r="P317" s="36">
        <f t="shared" si="124"/>
        <v>440</v>
      </c>
      <c r="Q317" s="15">
        <v>0</v>
      </c>
      <c r="R317" s="20">
        <v>0</v>
      </c>
      <c r="S317" s="16">
        <v>0</v>
      </c>
      <c r="T317" s="16">
        <v>0</v>
      </c>
      <c r="U317" s="20">
        <v>0</v>
      </c>
      <c r="V317" s="20">
        <v>0</v>
      </c>
      <c r="W317" s="20">
        <v>0</v>
      </c>
      <c r="X317" s="20">
        <v>0</v>
      </c>
      <c r="Y317" s="20">
        <v>0</v>
      </c>
      <c r="Z317" s="20">
        <v>0</v>
      </c>
      <c r="AA317" s="20">
        <v>0</v>
      </c>
      <c r="AB317" s="20">
        <v>0</v>
      </c>
      <c r="AC317" s="15">
        <f t="shared" si="131"/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  <c r="AI317" s="15">
        <v>30</v>
      </c>
      <c r="AJ317" s="15">
        <v>10</v>
      </c>
      <c r="AK317" s="15">
        <v>30</v>
      </c>
      <c r="AL317" s="15">
        <f t="shared" si="127"/>
        <v>70</v>
      </c>
      <c r="AM317" s="29">
        <f t="shared" si="122"/>
        <v>825</v>
      </c>
      <c r="AN317" s="19">
        <v>800</v>
      </c>
      <c r="AO317" s="21">
        <v>0</v>
      </c>
      <c r="AP317" s="22">
        <v>1</v>
      </c>
      <c r="AQ317" s="26">
        <f t="shared" si="112"/>
        <v>799</v>
      </c>
      <c r="AR317" s="37">
        <f t="shared" si="118"/>
        <v>1</v>
      </c>
      <c r="AS317" s="38">
        <f t="shared" si="119"/>
        <v>0.96969696969696972</v>
      </c>
      <c r="AT317" s="38">
        <f t="shared" si="120"/>
        <v>0.99875000000000003</v>
      </c>
      <c r="AU317" s="27">
        <f t="shared" si="121"/>
        <v>0.9684848484848485</v>
      </c>
    </row>
    <row r="318" spans="1:47" s="1" customFormat="1" ht="21" customHeight="1" x14ac:dyDescent="0.25">
      <c r="A318" s="109">
        <v>46044</v>
      </c>
      <c r="B318" s="47" t="s">
        <v>49</v>
      </c>
      <c r="C318" s="79" t="s">
        <v>21</v>
      </c>
      <c r="D318" s="47" t="s">
        <v>128</v>
      </c>
      <c r="E318" s="48">
        <v>98992</v>
      </c>
      <c r="F318" s="48" t="s">
        <v>53</v>
      </c>
      <c r="G318" s="48" t="s">
        <v>125</v>
      </c>
      <c r="H318" s="30">
        <v>15710</v>
      </c>
      <c r="I318" s="30">
        <v>32</v>
      </c>
      <c r="J318" s="28">
        <f t="shared" si="132"/>
        <v>112.5</v>
      </c>
      <c r="K318" s="31">
        <v>0.25</v>
      </c>
      <c r="L318" s="31">
        <v>0.60416666666666696</v>
      </c>
      <c r="M318" s="32">
        <f t="shared" si="125"/>
        <v>0.35416666666666696</v>
      </c>
      <c r="N318" s="36">
        <v>510</v>
      </c>
      <c r="O318" s="36">
        <f t="shared" si="123"/>
        <v>380</v>
      </c>
      <c r="P318" s="36">
        <f t="shared" si="124"/>
        <v>380</v>
      </c>
      <c r="Q318" s="15">
        <v>0</v>
      </c>
      <c r="R318" s="20">
        <v>0</v>
      </c>
      <c r="S318" s="16">
        <v>0</v>
      </c>
      <c r="T318" s="16">
        <v>0</v>
      </c>
      <c r="U318" s="20">
        <v>0</v>
      </c>
      <c r="V318" s="20">
        <v>0</v>
      </c>
      <c r="W318" s="20">
        <v>0</v>
      </c>
      <c r="X318" s="20">
        <v>0</v>
      </c>
      <c r="Y318" s="20">
        <v>0</v>
      </c>
      <c r="Z318" s="20">
        <v>0</v>
      </c>
      <c r="AA318" s="20">
        <v>0</v>
      </c>
      <c r="AB318" s="20">
        <v>0</v>
      </c>
      <c r="AC318" s="15">
        <f t="shared" si="131"/>
        <v>0</v>
      </c>
      <c r="AD318" s="15">
        <v>0</v>
      </c>
      <c r="AE318" s="15">
        <v>0</v>
      </c>
      <c r="AF318" s="15">
        <v>0</v>
      </c>
      <c r="AG318" s="15">
        <v>60</v>
      </c>
      <c r="AH318" s="15">
        <v>0</v>
      </c>
      <c r="AI318" s="15">
        <v>30</v>
      </c>
      <c r="AJ318" s="15">
        <v>10</v>
      </c>
      <c r="AK318" s="15">
        <v>30</v>
      </c>
      <c r="AL318" s="15">
        <f t="shared" si="127"/>
        <v>130</v>
      </c>
      <c r="AM318" s="29">
        <f t="shared" si="122"/>
        <v>712.5</v>
      </c>
      <c r="AN318" s="19">
        <v>579</v>
      </c>
      <c r="AO318" s="21">
        <v>0</v>
      </c>
      <c r="AP318" s="22">
        <v>1</v>
      </c>
      <c r="AQ318" s="26">
        <f t="shared" si="112"/>
        <v>578</v>
      </c>
      <c r="AR318" s="37">
        <f t="shared" si="118"/>
        <v>1</v>
      </c>
      <c r="AS318" s="38">
        <f t="shared" si="119"/>
        <v>0.81263157894736837</v>
      </c>
      <c r="AT318" s="38">
        <f t="shared" si="120"/>
        <v>0.99827288428324701</v>
      </c>
      <c r="AU318" s="27">
        <f t="shared" si="121"/>
        <v>0.81122807017543852</v>
      </c>
    </row>
    <row r="319" spans="1:47" s="1" customFormat="1" ht="21" customHeight="1" x14ac:dyDescent="0.25">
      <c r="A319" s="109">
        <v>46044</v>
      </c>
      <c r="B319" s="47" t="s">
        <v>49</v>
      </c>
      <c r="C319" s="79" t="s">
        <v>21</v>
      </c>
      <c r="D319" s="47" t="s">
        <v>170</v>
      </c>
      <c r="E319" s="48">
        <v>98992</v>
      </c>
      <c r="F319" s="48" t="s">
        <v>176</v>
      </c>
      <c r="G319" s="48" t="s">
        <v>125</v>
      </c>
      <c r="H319" s="30">
        <v>15859</v>
      </c>
      <c r="I319" s="30">
        <v>20</v>
      </c>
      <c r="J319" s="28">
        <f t="shared" si="132"/>
        <v>180</v>
      </c>
      <c r="K319" s="31">
        <v>0.25</v>
      </c>
      <c r="L319" s="31">
        <v>0.60416666666666696</v>
      </c>
      <c r="M319" s="32">
        <f t="shared" si="125"/>
        <v>0.35416666666666696</v>
      </c>
      <c r="N319" s="36">
        <v>510</v>
      </c>
      <c r="O319" s="36">
        <f t="shared" si="123"/>
        <v>320</v>
      </c>
      <c r="P319" s="36">
        <f t="shared" si="124"/>
        <v>320</v>
      </c>
      <c r="Q319" s="15">
        <v>0</v>
      </c>
      <c r="R319" s="20">
        <v>0</v>
      </c>
      <c r="S319" s="16">
        <v>0</v>
      </c>
      <c r="T319" s="16">
        <v>0</v>
      </c>
      <c r="U319" s="20">
        <v>0</v>
      </c>
      <c r="V319" s="20">
        <v>0</v>
      </c>
      <c r="W319" s="20">
        <v>0</v>
      </c>
      <c r="X319" s="20">
        <v>0</v>
      </c>
      <c r="Y319" s="20">
        <v>0</v>
      </c>
      <c r="Z319" s="20">
        <v>0</v>
      </c>
      <c r="AA319" s="20">
        <v>0</v>
      </c>
      <c r="AB319" s="20">
        <v>0</v>
      </c>
      <c r="AC319" s="15">
        <f t="shared" ref="AC319:AC342" si="133">SUM(Q319:AB319)</f>
        <v>0</v>
      </c>
      <c r="AD319" s="15">
        <v>0</v>
      </c>
      <c r="AE319" s="15">
        <v>0</v>
      </c>
      <c r="AF319" s="15">
        <v>0</v>
      </c>
      <c r="AG319" s="15">
        <v>120</v>
      </c>
      <c r="AH319" s="15">
        <v>0</v>
      </c>
      <c r="AI319" s="15">
        <v>30</v>
      </c>
      <c r="AJ319" s="15">
        <v>10</v>
      </c>
      <c r="AK319" s="15">
        <v>30</v>
      </c>
      <c r="AL319" s="15">
        <f t="shared" si="127"/>
        <v>190</v>
      </c>
      <c r="AM319" s="29">
        <f t="shared" si="122"/>
        <v>960</v>
      </c>
      <c r="AN319" s="19">
        <v>700</v>
      </c>
      <c r="AO319" s="21">
        <v>0</v>
      </c>
      <c r="AP319" s="22">
        <v>0</v>
      </c>
      <c r="AQ319" s="26">
        <v>700</v>
      </c>
      <c r="AR319" s="37">
        <f t="shared" ref="AR319:AR372" si="134">O319/P319</f>
        <v>1</v>
      </c>
      <c r="AS319" s="38">
        <f t="shared" ref="AS319:AS372" si="135">AN319/AM319</f>
        <v>0.72916666666666663</v>
      </c>
      <c r="AT319" s="38">
        <f t="shared" ref="AT319:AT372" si="136">AQ319/AN319</f>
        <v>1</v>
      </c>
      <c r="AU319" s="27">
        <f t="shared" ref="AU319:AU372" si="137">AR319*AS319*AT319</f>
        <v>0.72916666666666663</v>
      </c>
    </row>
    <row r="320" spans="1:47" s="1" customFormat="1" ht="21" customHeight="1" x14ac:dyDescent="0.25">
      <c r="A320" s="109">
        <v>46044</v>
      </c>
      <c r="B320" s="47" t="s">
        <v>49</v>
      </c>
      <c r="C320" s="79" t="s">
        <v>21</v>
      </c>
      <c r="D320" s="47" t="s">
        <v>52</v>
      </c>
      <c r="E320" s="48">
        <v>98992</v>
      </c>
      <c r="F320" s="48" t="s">
        <v>53</v>
      </c>
      <c r="G320" s="48" t="s">
        <v>87</v>
      </c>
      <c r="H320" s="30">
        <v>15830</v>
      </c>
      <c r="I320" s="30">
        <v>32</v>
      </c>
      <c r="J320" s="28">
        <f t="shared" si="132"/>
        <v>112.5</v>
      </c>
      <c r="K320" s="31">
        <v>0.25</v>
      </c>
      <c r="L320" s="31">
        <v>0.60416666666666696</v>
      </c>
      <c r="M320" s="32">
        <f t="shared" si="125"/>
        <v>0.35416666666666696</v>
      </c>
      <c r="N320" s="36">
        <v>510</v>
      </c>
      <c r="O320" s="36">
        <f t="shared" si="123"/>
        <v>380</v>
      </c>
      <c r="P320" s="36">
        <f t="shared" si="124"/>
        <v>380</v>
      </c>
      <c r="Q320" s="15">
        <v>0</v>
      </c>
      <c r="R320" s="20">
        <v>0</v>
      </c>
      <c r="S320" s="16">
        <v>0</v>
      </c>
      <c r="T320" s="16">
        <v>0</v>
      </c>
      <c r="U320" s="20">
        <v>0</v>
      </c>
      <c r="V320" s="20">
        <v>0</v>
      </c>
      <c r="W320" s="20">
        <v>0</v>
      </c>
      <c r="X320" s="20">
        <v>0</v>
      </c>
      <c r="Y320" s="20">
        <v>0</v>
      </c>
      <c r="Z320" s="20">
        <v>0</v>
      </c>
      <c r="AA320" s="20">
        <v>0</v>
      </c>
      <c r="AB320" s="20">
        <v>0</v>
      </c>
      <c r="AC320" s="15">
        <f t="shared" si="133"/>
        <v>0</v>
      </c>
      <c r="AD320" s="15">
        <v>0</v>
      </c>
      <c r="AE320" s="15">
        <v>0</v>
      </c>
      <c r="AF320" s="15">
        <v>0</v>
      </c>
      <c r="AG320" s="15">
        <v>60</v>
      </c>
      <c r="AH320" s="15">
        <v>0</v>
      </c>
      <c r="AI320" s="15">
        <v>30</v>
      </c>
      <c r="AJ320" s="15">
        <v>10</v>
      </c>
      <c r="AK320" s="15">
        <v>30</v>
      </c>
      <c r="AL320" s="15">
        <f t="shared" si="127"/>
        <v>130</v>
      </c>
      <c r="AM320" s="29">
        <f t="shared" si="122"/>
        <v>712.5</v>
      </c>
      <c r="AN320" s="19">
        <v>502</v>
      </c>
      <c r="AO320" s="21">
        <v>0</v>
      </c>
      <c r="AP320" s="22">
        <v>0</v>
      </c>
      <c r="AQ320" s="26">
        <f t="shared" si="112"/>
        <v>502</v>
      </c>
      <c r="AR320" s="37">
        <f t="shared" si="134"/>
        <v>1</v>
      </c>
      <c r="AS320" s="38">
        <f t="shared" si="135"/>
        <v>0.70456140350877194</v>
      </c>
      <c r="AT320" s="38">
        <f t="shared" si="136"/>
        <v>1</v>
      </c>
      <c r="AU320" s="27">
        <f t="shared" si="137"/>
        <v>0.70456140350877194</v>
      </c>
    </row>
    <row r="321" spans="1:47" s="1" customFormat="1" ht="21" customHeight="1" x14ac:dyDescent="0.25">
      <c r="A321" s="109">
        <v>46044</v>
      </c>
      <c r="B321" s="47" t="s">
        <v>49</v>
      </c>
      <c r="C321" s="79" t="s">
        <v>21</v>
      </c>
      <c r="D321" s="47" t="s">
        <v>88</v>
      </c>
      <c r="E321" s="48">
        <v>98992</v>
      </c>
      <c r="F321" s="48" t="s">
        <v>126</v>
      </c>
      <c r="G321" s="48" t="s">
        <v>87</v>
      </c>
      <c r="H321" s="30">
        <v>13106</v>
      </c>
      <c r="I321" s="30">
        <v>32</v>
      </c>
      <c r="J321" s="28">
        <f t="shared" si="132"/>
        <v>112.5</v>
      </c>
      <c r="K321" s="31">
        <v>0.25</v>
      </c>
      <c r="L321" s="31">
        <v>0.60416666666666696</v>
      </c>
      <c r="M321" s="32">
        <f t="shared" si="125"/>
        <v>0.35416666666666696</v>
      </c>
      <c r="N321" s="36">
        <v>510</v>
      </c>
      <c r="O321" s="36">
        <f t="shared" si="123"/>
        <v>440</v>
      </c>
      <c r="P321" s="36">
        <f t="shared" si="124"/>
        <v>440</v>
      </c>
      <c r="Q321" s="15">
        <v>0</v>
      </c>
      <c r="R321" s="20">
        <v>0</v>
      </c>
      <c r="S321" s="16">
        <v>0</v>
      </c>
      <c r="T321" s="16">
        <v>0</v>
      </c>
      <c r="U321" s="20">
        <v>0</v>
      </c>
      <c r="V321" s="20">
        <v>0</v>
      </c>
      <c r="W321" s="20">
        <v>0</v>
      </c>
      <c r="X321" s="20">
        <v>0</v>
      </c>
      <c r="Y321" s="20">
        <v>0</v>
      </c>
      <c r="Z321" s="20">
        <v>0</v>
      </c>
      <c r="AA321" s="20">
        <v>0</v>
      </c>
      <c r="AB321" s="20">
        <v>0</v>
      </c>
      <c r="AC321" s="15">
        <f t="shared" si="133"/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30</v>
      </c>
      <c r="AJ321" s="15">
        <v>10</v>
      </c>
      <c r="AK321" s="15">
        <v>30</v>
      </c>
      <c r="AL321" s="15">
        <f t="shared" si="127"/>
        <v>70</v>
      </c>
      <c r="AM321" s="29">
        <f t="shared" si="122"/>
        <v>825</v>
      </c>
      <c r="AN321" s="19">
        <v>701</v>
      </c>
      <c r="AO321" s="21">
        <v>0</v>
      </c>
      <c r="AP321" s="22">
        <v>4</v>
      </c>
      <c r="AQ321" s="26">
        <f t="shared" si="112"/>
        <v>697</v>
      </c>
      <c r="AR321" s="37">
        <f t="shared" si="134"/>
        <v>1</v>
      </c>
      <c r="AS321" s="38">
        <f t="shared" si="135"/>
        <v>0.84969696969696973</v>
      </c>
      <c r="AT321" s="38">
        <f t="shared" si="136"/>
        <v>0.99429386590584878</v>
      </c>
      <c r="AU321" s="27">
        <f t="shared" si="137"/>
        <v>0.84484848484848485</v>
      </c>
    </row>
    <row r="322" spans="1:47" s="1" customFormat="1" ht="21" customHeight="1" x14ac:dyDescent="0.25">
      <c r="A322" s="109">
        <v>46044</v>
      </c>
      <c r="B322" s="47" t="s">
        <v>49</v>
      </c>
      <c r="C322" s="79" t="s">
        <v>21</v>
      </c>
      <c r="D322" s="47" t="s">
        <v>89</v>
      </c>
      <c r="E322" s="48">
        <v>98992</v>
      </c>
      <c r="F322" s="48" t="s">
        <v>169</v>
      </c>
      <c r="G322" s="48" t="s">
        <v>87</v>
      </c>
      <c r="H322" s="30">
        <v>14957</v>
      </c>
      <c r="I322" s="30">
        <v>32</v>
      </c>
      <c r="J322" s="28">
        <f t="shared" si="132"/>
        <v>112.5</v>
      </c>
      <c r="K322" s="31">
        <v>0.25</v>
      </c>
      <c r="L322" s="31">
        <v>0.60416666666666696</v>
      </c>
      <c r="M322" s="32">
        <f t="shared" si="125"/>
        <v>0.35416666666666696</v>
      </c>
      <c r="N322" s="36">
        <v>510</v>
      </c>
      <c r="O322" s="36">
        <f t="shared" si="123"/>
        <v>320</v>
      </c>
      <c r="P322" s="36">
        <f t="shared" si="124"/>
        <v>320</v>
      </c>
      <c r="Q322" s="15">
        <v>0</v>
      </c>
      <c r="R322" s="20">
        <v>0</v>
      </c>
      <c r="S322" s="16">
        <v>0</v>
      </c>
      <c r="T322" s="16">
        <v>0</v>
      </c>
      <c r="U322" s="20">
        <v>0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15">
        <f t="shared" si="133"/>
        <v>0</v>
      </c>
      <c r="AD322" s="15">
        <v>0</v>
      </c>
      <c r="AE322" s="15">
        <v>0</v>
      </c>
      <c r="AF322" s="15">
        <v>0</v>
      </c>
      <c r="AG322" s="15">
        <v>120</v>
      </c>
      <c r="AH322" s="15">
        <v>0</v>
      </c>
      <c r="AI322" s="15">
        <v>30</v>
      </c>
      <c r="AJ322" s="15">
        <v>10</v>
      </c>
      <c r="AK322" s="15">
        <v>30</v>
      </c>
      <c r="AL322" s="15">
        <f t="shared" si="127"/>
        <v>190</v>
      </c>
      <c r="AM322" s="29">
        <f t="shared" si="122"/>
        <v>600</v>
      </c>
      <c r="AN322" s="19">
        <v>551</v>
      </c>
      <c r="AO322" s="21">
        <v>0</v>
      </c>
      <c r="AP322" s="22">
        <v>2</v>
      </c>
      <c r="AQ322" s="26">
        <f t="shared" si="112"/>
        <v>549</v>
      </c>
      <c r="AR322" s="37">
        <f t="shared" si="134"/>
        <v>1</v>
      </c>
      <c r="AS322" s="38">
        <f t="shared" si="135"/>
        <v>0.91833333333333333</v>
      </c>
      <c r="AT322" s="38">
        <f t="shared" si="136"/>
        <v>0.99637023593466423</v>
      </c>
      <c r="AU322" s="27">
        <f t="shared" si="137"/>
        <v>0.91500000000000004</v>
      </c>
    </row>
    <row r="323" spans="1:47" s="1" customFormat="1" ht="21" customHeight="1" x14ac:dyDescent="0.25">
      <c r="A323" s="109">
        <v>46044</v>
      </c>
      <c r="B323" s="47" t="s">
        <v>49</v>
      </c>
      <c r="C323" s="79" t="s">
        <v>21</v>
      </c>
      <c r="D323" s="47" t="s">
        <v>86</v>
      </c>
      <c r="E323" s="48">
        <v>98992</v>
      </c>
      <c r="F323" s="48" t="s">
        <v>176</v>
      </c>
      <c r="G323" s="48" t="s">
        <v>87</v>
      </c>
      <c r="H323" s="30">
        <v>15679</v>
      </c>
      <c r="I323" s="30">
        <v>20</v>
      </c>
      <c r="J323" s="28">
        <f t="shared" si="132"/>
        <v>180</v>
      </c>
      <c r="K323" s="31">
        <v>0.25</v>
      </c>
      <c r="L323" s="31">
        <v>0.60416666666666696</v>
      </c>
      <c r="M323" s="32">
        <f t="shared" si="125"/>
        <v>0.35416666666666696</v>
      </c>
      <c r="N323" s="36">
        <v>510</v>
      </c>
      <c r="O323" s="36">
        <f t="shared" si="123"/>
        <v>200</v>
      </c>
      <c r="P323" s="36">
        <f t="shared" si="124"/>
        <v>200</v>
      </c>
      <c r="Q323" s="15">
        <v>0</v>
      </c>
      <c r="R323" s="20">
        <v>0</v>
      </c>
      <c r="S323" s="16">
        <v>0</v>
      </c>
      <c r="T323" s="16">
        <v>0</v>
      </c>
      <c r="U323" s="20">
        <v>0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15">
        <f t="shared" si="133"/>
        <v>0</v>
      </c>
      <c r="AD323" s="15">
        <v>0</v>
      </c>
      <c r="AE323" s="15">
        <v>0</v>
      </c>
      <c r="AF323" s="15">
        <v>0</v>
      </c>
      <c r="AG323" s="15">
        <v>240</v>
      </c>
      <c r="AH323" s="15">
        <v>0</v>
      </c>
      <c r="AI323" s="15">
        <v>30</v>
      </c>
      <c r="AJ323" s="15">
        <v>10</v>
      </c>
      <c r="AK323" s="15">
        <v>30</v>
      </c>
      <c r="AL323" s="15">
        <f t="shared" si="127"/>
        <v>310</v>
      </c>
      <c r="AM323" s="29">
        <f t="shared" si="122"/>
        <v>600</v>
      </c>
      <c r="AN323" s="19">
        <v>444</v>
      </c>
      <c r="AO323" s="21">
        <v>0</v>
      </c>
      <c r="AP323" s="22">
        <v>0</v>
      </c>
      <c r="AQ323" s="26">
        <f t="shared" si="112"/>
        <v>444</v>
      </c>
      <c r="AR323" s="37">
        <f t="shared" si="134"/>
        <v>1</v>
      </c>
      <c r="AS323" s="38">
        <f t="shared" si="135"/>
        <v>0.74</v>
      </c>
      <c r="AT323" s="38">
        <f t="shared" si="136"/>
        <v>1</v>
      </c>
      <c r="AU323" s="27">
        <f t="shared" si="137"/>
        <v>0.74</v>
      </c>
    </row>
    <row r="324" spans="1:47" s="1" customFormat="1" ht="21" customHeight="1" x14ac:dyDescent="0.25">
      <c r="A324" s="109">
        <v>46044</v>
      </c>
      <c r="B324" s="47" t="s">
        <v>49</v>
      </c>
      <c r="C324" s="79" t="s">
        <v>21</v>
      </c>
      <c r="D324" s="47" t="s">
        <v>122</v>
      </c>
      <c r="E324" s="48">
        <v>98992</v>
      </c>
      <c r="F324" s="48" t="s">
        <v>169</v>
      </c>
      <c r="G324" s="48" t="s">
        <v>125</v>
      </c>
      <c r="H324" s="30">
        <v>15689</v>
      </c>
      <c r="I324" s="30">
        <v>32</v>
      </c>
      <c r="J324" s="28">
        <f t="shared" si="132"/>
        <v>112.5</v>
      </c>
      <c r="K324" s="31">
        <v>0.25</v>
      </c>
      <c r="L324" s="31">
        <v>0.60416666666666696</v>
      </c>
      <c r="M324" s="32">
        <f t="shared" si="125"/>
        <v>0.35416666666666696</v>
      </c>
      <c r="N324" s="36">
        <v>510</v>
      </c>
      <c r="O324" s="36">
        <f t="shared" si="123"/>
        <v>380</v>
      </c>
      <c r="P324" s="36">
        <f t="shared" si="124"/>
        <v>380</v>
      </c>
      <c r="Q324" s="15">
        <v>0</v>
      </c>
      <c r="R324" s="20">
        <v>0</v>
      </c>
      <c r="S324" s="16">
        <v>0</v>
      </c>
      <c r="T324" s="16">
        <v>0</v>
      </c>
      <c r="U324" s="20">
        <v>0</v>
      </c>
      <c r="V324" s="20">
        <v>0</v>
      </c>
      <c r="W324" s="20">
        <v>0</v>
      </c>
      <c r="X324" s="20">
        <v>0</v>
      </c>
      <c r="Y324" s="20">
        <v>0</v>
      </c>
      <c r="Z324" s="20">
        <v>0</v>
      </c>
      <c r="AA324" s="20">
        <v>0</v>
      </c>
      <c r="AB324" s="20">
        <v>0</v>
      </c>
      <c r="AC324" s="15">
        <f t="shared" si="133"/>
        <v>0</v>
      </c>
      <c r="AD324" s="15">
        <v>0</v>
      </c>
      <c r="AE324" s="15">
        <v>0</v>
      </c>
      <c r="AF324" s="15">
        <v>0</v>
      </c>
      <c r="AG324" s="15">
        <v>60</v>
      </c>
      <c r="AH324" s="15">
        <v>0</v>
      </c>
      <c r="AI324" s="15">
        <v>30</v>
      </c>
      <c r="AJ324" s="15">
        <v>10</v>
      </c>
      <c r="AK324" s="15">
        <v>30</v>
      </c>
      <c r="AL324" s="15">
        <f t="shared" si="127"/>
        <v>130</v>
      </c>
      <c r="AM324" s="29">
        <f t="shared" si="122"/>
        <v>712.5</v>
      </c>
      <c r="AN324" s="19">
        <v>544</v>
      </c>
      <c r="AO324" s="21">
        <v>0</v>
      </c>
      <c r="AP324" s="22">
        <v>0</v>
      </c>
      <c r="AQ324" s="26">
        <f t="shared" si="112"/>
        <v>544</v>
      </c>
      <c r="AR324" s="37">
        <f t="shared" si="134"/>
        <v>1</v>
      </c>
      <c r="AS324" s="38">
        <f t="shared" si="135"/>
        <v>0.76350877192982458</v>
      </c>
      <c r="AT324" s="38">
        <f t="shared" si="136"/>
        <v>1</v>
      </c>
      <c r="AU324" s="27">
        <f t="shared" si="137"/>
        <v>0.76350877192982458</v>
      </c>
    </row>
    <row r="325" spans="1:47" s="1" customFormat="1" ht="21" customHeight="1" x14ac:dyDescent="0.25">
      <c r="A325" s="109">
        <v>46044</v>
      </c>
      <c r="B325" s="47" t="s">
        <v>49</v>
      </c>
      <c r="C325" s="79" t="s">
        <v>21</v>
      </c>
      <c r="D325" s="47" t="s">
        <v>127</v>
      </c>
      <c r="E325" s="48">
        <v>98992</v>
      </c>
      <c r="F325" s="48" t="s">
        <v>175</v>
      </c>
      <c r="G325" s="48" t="s">
        <v>125</v>
      </c>
      <c r="H325" s="30">
        <v>15882</v>
      </c>
      <c r="I325" s="30">
        <v>20</v>
      </c>
      <c r="J325" s="28">
        <f t="shared" si="132"/>
        <v>180</v>
      </c>
      <c r="K325" s="31">
        <v>0.25</v>
      </c>
      <c r="L325" s="31">
        <v>0.60416666666666696</v>
      </c>
      <c r="M325" s="32">
        <f t="shared" si="125"/>
        <v>0.35416666666666696</v>
      </c>
      <c r="N325" s="36">
        <v>510</v>
      </c>
      <c r="O325" s="36">
        <f t="shared" si="123"/>
        <v>320</v>
      </c>
      <c r="P325" s="36">
        <f t="shared" si="124"/>
        <v>320</v>
      </c>
      <c r="Q325" s="15">
        <v>0</v>
      </c>
      <c r="R325" s="20">
        <v>0</v>
      </c>
      <c r="S325" s="16">
        <v>0</v>
      </c>
      <c r="T325" s="16">
        <v>0</v>
      </c>
      <c r="U325" s="20">
        <v>0</v>
      </c>
      <c r="V325" s="20">
        <v>0</v>
      </c>
      <c r="W325" s="20">
        <v>0</v>
      </c>
      <c r="X325" s="20">
        <v>0</v>
      </c>
      <c r="Y325" s="20">
        <v>0</v>
      </c>
      <c r="Z325" s="20">
        <v>0</v>
      </c>
      <c r="AA325" s="20">
        <v>0</v>
      </c>
      <c r="AB325" s="20">
        <v>0</v>
      </c>
      <c r="AC325" s="15">
        <f t="shared" si="133"/>
        <v>0</v>
      </c>
      <c r="AD325" s="15">
        <v>0</v>
      </c>
      <c r="AE325" s="15">
        <v>0</v>
      </c>
      <c r="AF325" s="15">
        <v>0</v>
      </c>
      <c r="AG325" s="15">
        <v>120</v>
      </c>
      <c r="AH325" s="15">
        <v>0</v>
      </c>
      <c r="AI325" s="15">
        <v>30</v>
      </c>
      <c r="AJ325" s="15">
        <v>10</v>
      </c>
      <c r="AK325" s="15">
        <v>30</v>
      </c>
      <c r="AL325" s="15">
        <f t="shared" si="127"/>
        <v>190</v>
      </c>
      <c r="AM325" s="29">
        <f t="shared" ref="AM325:AM372" si="138">P325*(J325/60)</f>
        <v>960</v>
      </c>
      <c r="AN325" s="19">
        <v>600</v>
      </c>
      <c r="AO325" s="21">
        <v>0</v>
      </c>
      <c r="AP325" s="22">
        <v>0</v>
      </c>
      <c r="AQ325" s="26">
        <f t="shared" si="112"/>
        <v>600</v>
      </c>
      <c r="AR325" s="37">
        <f t="shared" si="134"/>
        <v>1</v>
      </c>
      <c r="AS325" s="38">
        <f t="shared" si="135"/>
        <v>0.625</v>
      </c>
      <c r="AT325" s="38">
        <f t="shared" si="136"/>
        <v>1</v>
      </c>
      <c r="AU325" s="27">
        <f t="shared" si="137"/>
        <v>0.625</v>
      </c>
    </row>
    <row r="326" spans="1:47" s="1" customFormat="1" ht="21" customHeight="1" x14ac:dyDescent="0.25">
      <c r="A326" s="109">
        <v>46044</v>
      </c>
      <c r="B326" s="47" t="s">
        <v>49</v>
      </c>
      <c r="C326" s="79" t="s">
        <v>51</v>
      </c>
      <c r="D326" s="47" t="s">
        <v>88</v>
      </c>
      <c r="E326" s="48">
        <v>98992</v>
      </c>
      <c r="F326" s="48" t="s">
        <v>126</v>
      </c>
      <c r="G326" s="48" t="s">
        <v>87</v>
      </c>
      <c r="H326" s="30">
        <v>15036</v>
      </c>
      <c r="I326" s="30">
        <v>32</v>
      </c>
      <c r="J326" s="28">
        <f t="shared" si="132"/>
        <v>112.5</v>
      </c>
      <c r="K326" s="31">
        <v>0.58333333333333337</v>
      </c>
      <c r="L326" s="31">
        <v>0.9375</v>
      </c>
      <c r="M326" s="32">
        <f t="shared" si="125"/>
        <v>0.35416666666666663</v>
      </c>
      <c r="N326" s="36">
        <v>510</v>
      </c>
      <c r="O326" s="36">
        <f t="shared" si="123"/>
        <v>440</v>
      </c>
      <c r="P326" s="36">
        <f t="shared" ref="P326:P372" si="139">N326-AL326</f>
        <v>440</v>
      </c>
      <c r="Q326" s="15">
        <v>0</v>
      </c>
      <c r="R326" s="20">
        <v>0</v>
      </c>
      <c r="S326" s="16">
        <v>0</v>
      </c>
      <c r="T326" s="16">
        <v>0</v>
      </c>
      <c r="U326" s="20">
        <v>0</v>
      </c>
      <c r="V326" s="20">
        <v>0</v>
      </c>
      <c r="W326" s="20">
        <v>0</v>
      </c>
      <c r="X326" s="20">
        <v>0</v>
      </c>
      <c r="Y326" s="20">
        <v>0</v>
      </c>
      <c r="Z326" s="20">
        <v>0</v>
      </c>
      <c r="AA326" s="20">
        <v>0</v>
      </c>
      <c r="AB326" s="20">
        <v>0</v>
      </c>
      <c r="AC326" s="15">
        <f t="shared" si="133"/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30</v>
      </c>
      <c r="AJ326" s="15">
        <v>10</v>
      </c>
      <c r="AK326" s="15">
        <v>30</v>
      </c>
      <c r="AL326" s="15">
        <f t="shared" si="127"/>
        <v>70</v>
      </c>
      <c r="AM326" s="29">
        <f t="shared" si="138"/>
        <v>825</v>
      </c>
      <c r="AN326" s="19">
        <v>705</v>
      </c>
      <c r="AO326" s="21">
        <v>0</v>
      </c>
      <c r="AP326" s="22">
        <v>3</v>
      </c>
      <c r="AQ326" s="26">
        <f t="shared" si="112"/>
        <v>702</v>
      </c>
      <c r="AR326" s="37">
        <f t="shared" si="134"/>
        <v>1</v>
      </c>
      <c r="AS326" s="38">
        <f t="shared" si="135"/>
        <v>0.8545454545454545</v>
      </c>
      <c r="AT326" s="38">
        <f t="shared" si="136"/>
        <v>0.99574468085106382</v>
      </c>
      <c r="AU326" s="27">
        <f t="shared" si="137"/>
        <v>0.85090909090909084</v>
      </c>
    </row>
    <row r="327" spans="1:47" s="1" customFormat="1" ht="21" customHeight="1" x14ac:dyDescent="0.25">
      <c r="A327" s="109">
        <v>46044</v>
      </c>
      <c r="B327" s="47" t="s">
        <v>49</v>
      </c>
      <c r="C327" s="79" t="s">
        <v>51</v>
      </c>
      <c r="D327" s="47" t="s">
        <v>89</v>
      </c>
      <c r="E327" s="48">
        <v>98992</v>
      </c>
      <c r="F327" s="48" t="s">
        <v>169</v>
      </c>
      <c r="G327" s="48" t="s">
        <v>87</v>
      </c>
      <c r="H327" s="30">
        <v>11682</v>
      </c>
      <c r="I327" s="30">
        <v>32</v>
      </c>
      <c r="J327" s="28">
        <f t="shared" si="132"/>
        <v>112.5</v>
      </c>
      <c r="K327" s="31">
        <v>0.58333333333333337</v>
      </c>
      <c r="L327" s="31">
        <v>0.9375</v>
      </c>
      <c r="M327" s="32">
        <f t="shared" ref="M327:M372" si="140">IF(L327&gt;K327,L327-K327,1+L327-K327)</f>
        <v>0.35416666666666663</v>
      </c>
      <c r="N327" s="36">
        <v>510</v>
      </c>
      <c r="O327" s="36">
        <f t="shared" ref="O327:O372" si="141">P327-AC327</f>
        <v>380</v>
      </c>
      <c r="P327" s="36">
        <f t="shared" si="139"/>
        <v>380</v>
      </c>
      <c r="Q327" s="15">
        <v>0</v>
      </c>
      <c r="R327" s="20">
        <v>0</v>
      </c>
      <c r="S327" s="16">
        <v>0</v>
      </c>
      <c r="T327" s="16">
        <v>0</v>
      </c>
      <c r="U327" s="20">
        <v>0</v>
      </c>
      <c r="V327" s="20">
        <v>0</v>
      </c>
      <c r="W327" s="20">
        <v>0</v>
      </c>
      <c r="X327" s="20">
        <v>0</v>
      </c>
      <c r="Y327" s="20">
        <v>0</v>
      </c>
      <c r="Z327" s="20">
        <v>0</v>
      </c>
      <c r="AA327" s="20">
        <v>0</v>
      </c>
      <c r="AB327" s="20">
        <v>0</v>
      </c>
      <c r="AC327" s="15">
        <f t="shared" si="133"/>
        <v>0</v>
      </c>
      <c r="AD327" s="15">
        <v>0</v>
      </c>
      <c r="AE327" s="15">
        <v>0</v>
      </c>
      <c r="AF327" s="15">
        <v>0</v>
      </c>
      <c r="AG327" s="15">
        <v>60</v>
      </c>
      <c r="AH327" s="15">
        <v>0</v>
      </c>
      <c r="AI327" s="15">
        <v>30</v>
      </c>
      <c r="AJ327" s="15">
        <v>10</v>
      </c>
      <c r="AK327" s="15">
        <v>30</v>
      </c>
      <c r="AL327" s="15">
        <f t="shared" si="127"/>
        <v>130</v>
      </c>
      <c r="AM327" s="29">
        <f t="shared" si="138"/>
        <v>712.5</v>
      </c>
      <c r="AN327" s="19">
        <v>676</v>
      </c>
      <c r="AO327" s="21">
        <v>0</v>
      </c>
      <c r="AP327" s="22">
        <v>3</v>
      </c>
      <c r="AQ327" s="26">
        <f t="shared" si="112"/>
        <v>673</v>
      </c>
      <c r="AR327" s="37">
        <f t="shared" si="134"/>
        <v>1</v>
      </c>
      <c r="AS327" s="38">
        <f t="shared" si="135"/>
        <v>0.94877192982456138</v>
      </c>
      <c r="AT327" s="38">
        <f t="shared" si="136"/>
        <v>0.99556213017751483</v>
      </c>
      <c r="AU327" s="27">
        <f t="shared" si="137"/>
        <v>0.94456140350877194</v>
      </c>
    </row>
    <row r="328" spans="1:47" s="1" customFormat="1" ht="21" customHeight="1" x14ac:dyDescent="0.25">
      <c r="A328" s="109">
        <v>46044</v>
      </c>
      <c r="B328" s="47" t="s">
        <v>49</v>
      </c>
      <c r="C328" s="79" t="s">
        <v>51</v>
      </c>
      <c r="D328" s="47" t="s">
        <v>52</v>
      </c>
      <c r="E328" s="48">
        <v>98992</v>
      </c>
      <c r="F328" s="48" t="s">
        <v>53</v>
      </c>
      <c r="G328" s="48" t="s">
        <v>87</v>
      </c>
      <c r="H328" s="30">
        <v>16146</v>
      </c>
      <c r="I328" s="30">
        <v>32</v>
      </c>
      <c r="J328" s="28">
        <f t="shared" si="132"/>
        <v>112.5</v>
      </c>
      <c r="K328" s="31">
        <v>0.58333333333333337</v>
      </c>
      <c r="L328" s="31">
        <v>0.9375</v>
      </c>
      <c r="M328" s="32">
        <f t="shared" si="140"/>
        <v>0.35416666666666663</v>
      </c>
      <c r="N328" s="36">
        <v>510</v>
      </c>
      <c r="O328" s="36">
        <f t="shared" si="141"/>
        <v>320</v>
      </c>
      <c r="P328" s="36">
        <f t="shared" si="139"/>
        <v>320</v>
      </c>
      <c r="Q328" s="15">
        <v>0</v>
      </c>
      <c r="R328" s="20">
        <v>0</v>
      </c>
      <c r="S328" s="16">
        <v>0</v>
      </c>
      <c r="T328" s="16">
        <v>0</v>
      </c>
      <c r="U328" s="20">
        <v>0</v>
      </c>
      <c r="V328" s="20">
        <v>0</v>
      </c>
      <c r="W328" s="20">
        <v>0</v>
      </c>
      <c r="X328" s="20">
        <v>0</v>
      </c>
      <c r="Y328" s="20">
        <v>0</v>
      </c>
      <c r="Z328" s="20">
        <v>0</v>
      </c>
      <c r="AA328" s="20">
        <v>0</v>
      </c>
      <c r="AB328" s="20">
        <v>0</v>
      </c>
      <c r="AC328" s="15">
        <f t="shared" si="133"/>
        <v>0</v>
      </c>
      <c r="AD328" s="15">
        <v>0</v>
      </c>
      <c r="AE328" s="15">
        <v>0</v>
      </c>
      <c r="AF328" s="15">
        <v>0</v>
      </c>
      <c r="AG328" s="15">
        <v>120</v>
      </c>
      <c r="AH328" s="15">
        <v>0</v>
      </c>
      <c r="AI328" s="15">
        <v>30</v>
      </c>
      <c r="AJ328" s="15">
        <v>10</v>
      </c>
      <c r="AK328" s="15">
        <v>30</v>
      </c>
      <c r="AL328" s="15">
        <f t="shared" si="127"/>
        <v>190</v>
      </c>
      <c r="AM328" s="29">
        <f t="shared" si="138"/>
        <v>600</v>
      </c>
      <c r="AN328" s="19">
        <v>516</v>
      </c>
      <c r="AO328" s="21">
        <v>0</v>
      </c>
      <c r="AP328" s="22">
        <v>1</v>
      </c>
      <c r="AQ328" s="26">
        <f t="shared" si="112"/>
        <v>515</v>
      </c>
      <c r="AR328" s="37">
        <f t="shared" si="134"/>
        <v>1</v>
      </c>
      <c r="AS328" s="38">
        <f t="shared" si="135"/>
        <v>0.86</v>
      </c>
      <c r="AT328" s="38">
        <f t="shared" si="136"/>
        <v>0.99806201550387597</v>
      </c>
      <c r="AU328" s="27">
        <f t="shared" si="137"/>
        <v>0.85833333333333328</v>
      </c>
    </row>
    <row r="329" spans="1:47" s="1" customFormat="1" ht="21" customHeight="1" x14ac:dyDescent="0.25">
      <c r="A329" s="109">
        <v>46044</v>
      </c>
      <c r="B329" s="47" t="s">
        <v>49</v>
      </c>
      <c r="C329" s="79" t="s">
        <v>51</v>
      </c>
      <c r="D329" s="47" t="s">
        <v>86</v>
      </c>
      <c r="E329" s="48">
        <v>98992</v>
      </c>
      <c r="F329" s="48" t="s">
        <v>176</v>
      </c>
      <c r="G329" s="48" t="s">
        <v>87</v>
      </c>
      <c r="H329" s="30">
        <v>16146</v>
      </c>
      <c r="I329" s="30">
        <v>20</v>
      </c>
      <c r="J329" s="28">
        <f t="shared" si="132"/>
        <v>180</v>
      </c>
      <c r="K329" s="31">
        <v>0.58333333333333337</v>
      </c>
      <c r="L329" s="31">
        <v>0.9375</v>
      </c>
      <c r="M329" s="32">
        <f t="shared" si="140"/>
        <v>0.35416666666666663</v>
      </c>
      <c r="N329" s="36">
        <v>510</v>
      </c>
      <c r="O329" s="36">
        <f t="shared" si="141"/>
        <v>140</v>
      </c>
      <c r="P329" s="36">
        <f t="shared" si="139"/>
        <v>140</v>
      </c>
      <c r="Q329" s="15">
        <v>0</v>
      </c>
      <c r="R329" s="20">
        <v>0</v>
      </c>
      <c r="S329" s="16">
        <v>0</v>
      </c>
      <c r="T329" s="16">
        <v>0</v>
      </c>
      <c r="U329" s="20">
        <v>0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15">
        <f t="shared" si="133"/>
        <v>0</v>
      </c>
      <c r="AD329" s="15">
        <v>0</v>
      </c>
      <c r="AE329" s="15">
        <v>0</v>
      </c>
      <c r="AF329" s="15">
        <v>0</v>
      </c>
      <c r="AG329" s="15">
        <v>300</v>
      </c>
      <c r="AH329" s="15">
        <v>0</v>
      </c>
      <c r="AI329" s="15">
        <v>30</v>
      </c>
      <c r="AJ329" s="15">
        <v>10</v>
      </c>
      <c r="AK329" s="15">
        <v>30</v>
      </c>
      <c r="AL329" s="15">
        <f t="shared" si="127"/>
        <v>370</v>
      </c>
      <c r="AM329" s="29">
        <f t="shared" si="138"/>
        <v>420</v>
      </c>
      <c r="AN329" s="19">
        <v>192</v>
      </c>
      <c r="AO329" s="21">
        <v>0</v>
      </c>
      <c r="AP329" s="22">
        <v>0</v>
      </c>
      <c r="AQ329" s="26">
        <f t="shared" si="112"/>
        <v>192</v>
      </c>
      <c r="AR329" s="37">
        <f t="shared" si="134"/>
        <v>1</v>
      </c>
      <c r="AS329" s="38">
        <f t="shared" si="135"/>
        <v>0.45714285714285713</v>
      </c>
      <c r="AT329" s="38">
        <f t="shared" si="136"/>
        <v>1</v>
      </c>
      <c r="AU329" s="27">
        <f t="shared" si="137"/>
        <v>0.45714285714285713</v>
      </c>
    </row>
    <row r="330" spans="1:47" s="1" customFormat="1" ht="21" customHeight="1" x14ac:dyDescent="0.25">
      <c r="A330" s="109">
        <v>46044</v>
      </c>
      <c r="B330" s="47" t="s">
        <v>49</v>
      </c>
      <c r="C330" s="79" t="s">
        <v>51</v>
      </c>
      <c r="D330" s="47" t="s">
        <v>172</v>
      </c>
      <c r="E330" s="48">
        <v>98992</v>
      </c>
      <c r="F330" s="48" t="s">
        <v>175</v>
      </c>
      <c r="G330" s="48" t="s">
        <v>87</v>
      </c>
      <c r="H330" s="30">
        <v>15838</v>
      </c>
      <c r="I330" s="30">
        <v>20</v>
      </c>
      <c r="J330" s="28">
        <f t="shared" si="132"/>
        <v>180</v>
      </c>
      <c r="K330" s="31">
        <v>0.58333333333333337</v>
      </c>
      <c r="L330" s="31">
        <v>0.9375</v>
      </c>
      <c r="M330" s="32">
        <f t="shared" si="140"/>
        <v>0.35416666666666663</v>
      </c>
      <c r="N330" s="36">
        <v>510</v>
      </c>
      <c r="O330" s="36">
        <f t="shared" si="141"/>
        <v>260</v>
      </c>
      <c r="P330" s="36">
        <f t="shared" si="139"/>
        <v>260</v>
      </c>
      <c r="Q330" s="15">
        <v>0</v>
      </c>
      <c r="R330" s="20">
        <v>0</v>
      </c>
      <c r="S330" s="16">
        <v>0</v>
      </c>
      <c r="T330" s="16">
        <v>0</v>
      </c>
      <c r="U330" s="20">
        <v>0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15">
        <f t="shared" si="133"/>
        <v>0</v>
      </c>
      <c r="AD330" s="15">
        <v>0</v>
      </c>
      <c r="AE330" s="15">
        <v>0</v>
      </c>
      <c r="AF330" s="15">
        <v>0</v>
      </c>
      <c r="AG330" s="15">
        <v>180</v>
      </c>
      <c r="AH330" s="15">
        <v>0</v>
      </c>
      <c r="AI330" s="15">
        <v>30</v>
      </c>
      <c r="AJ330" s="15">
        <v>10</v>
      </c>
      <c r="AK330" s="15">
        <v>30</v>
      </c>
      <c r="AL330" s="15">
        <f t="shared" si="127"/>
        <v>250</v>
      </c>
      <c r="AM330" s="29">
        <f t="shared" si="138"/>
        <v>780</v>
      </c>
      <c r="AN330" s="19">
        <v>600</v>
      </c>
      <c r="AO330" s="21">
        <v>0</v>
      </c>
      <c r="AP330" s="22">
        <v>0</v>
      </c>
      <c r="AQ330" s="26">
        <f t="shared" si="112"/>
        <v>600</v>
      </c>
      <c r="AR330" s="37">
        <f t="shared" si="134"/>
        <v>1</v>
      </c>
      <c r="AS330" s="38">
        <f t="shared" si="135"/>
        <v>0.76923076923076927</v>
      </c>
      <c r="AT330" s="38">
        <f t="shared" si="136"/>
        <v>1</v>
      </c>
      <c r="AU330" s="27">
        <f t="shared" si="137"/>
        <v>0.76923076923076927</v>
      </c>
    </row>
    <row r="331" spans="1:47" s="1" customFormat="1" ht="21" customHeight="1" x14ac:dyDescent="0.25">
      <c r="A331" s="109">
        <v>46044</v>
      </c>
      <c r="B331" s="47" t="s">
        <v>49</v>
      </c>
      <c r="C331" s="79" t="s">
        <v>51</v>
      </c>
      <c r="D331" s="47" t="s">
        <v>124</v>
      </c>
      <c r="E331" s="48">
        <v>98992</v>
      </c>
      <c r="F331" s="48" t="s">
        <v>215</v>
      </c>
      <c r="G331" s="48" t="s">
        <v>125</v>
      </c>
      <c r="H331" s="30">
        <v>14972</v>
      </c>
      <c r="I331" s="30">
        <v>32</v>
      </c>
      <c r="J331" s="28">
        <f t="shared" si="132"/>
        <v>112.5</v>
      </c>
      <c r="K331" s="31">
        <v>0.58333333333333337</v>
      </c>
      <c r="L331" s="31">
        <v>0.9375</v>
      </c>
      <c r="M331" s="32">
        <f t="shared" si="140"/>
        <v>0.35416666666666663</v>
      </c>
      <c r="N331" s="36">
        <v>510</v>
      </c>
      <c r="O331" s="36">
        <f t="shared" si="141"/>
        <v>440</v>
      </c>
      <c r="P331" s="36">
        <f t="shared" si="139"/>
        <v>440</v>
      </c>
      <c r="Q331" s="15">
        <v>0</v>
      </c>
      <c r="R331" s="20">
        <v>0</v>
      </c>
      <c r="S331" s="16">
        <v>0</v>
      </c>
      <c r="T331" s="16">
        <v>0</v>
      </c>
      <c r="U331" s="20">
        <v>0</v>
      </c>
      <c r="V331" s="20">
        <v>0</v>
      </c>
      <c r="W331" s="20">
        <v>0</v>
      </c>
      <c r="X331" s="20">
        <v>0</v>
      </c>
      <c r="Y331" s="20">
        <v>0</v>
      </c>
      <c r="Z331" s="20">
        <v>0</v>
      </c>
      <c r="AA331" s="20">
        <v>0</v>
      </c>
      <c r="AB331" s="20">
        <v>0</v>
      </c>
      <c r="AC331" s="15">
        <f t="shared" si="133"/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30</v>
      </c>
      <c r="AJ331" s="15">
        <v>10</v>
      </c>
      <c r="AK331" s="15">
        <v>30</v>
      </c>
      <c r="AL331" s="15">
        <f t="shared" si="127"/>
        <v>70</v>
      </c>
      <c r="AM331" s="29">
        <f t="shared" si="138"/>
        <v>825</v>
      </c>
      <c r="AN331" s="19">
        <v>800</v>
      </c>
      <c r="AO331" s="21">
        <v>0</v>
      </c>
      <c r="AP331" s="22">
        <v>4</v>
      </c>
      <c r="AQ331" s="26">
        <f t="shared" si="112"/>
        <v>796</v>
      </c>
      <c r="AR331" s="37">
        <f t="shared" si="134"/>
        <v>1</v>
      </c>
      <c r="AS331" s="38">
        <f t="shared" si="135"/>
        <v>0.96969696969696972</v>
      </c>
      <c r="AT331" s="38">
        <f t="shared" si="136"/>
        <v>0.995</v>
      </c>
      <c r="AU331" s="27">
        <f t="shared" si="137"/>
        <v>0.96484848484848484</v>
      </c>
    </row>
    <row r="332" spans="1:47" s="1" customFormat="1" ht="21" customHeight="1" x14ac:dyDescent="0.25">
      <c r="A332" s="109">
        <v>46044</v>
      </c>
      <c r="B332" s="47" t="s">
        <v>49</v>
      </c>
      <c r="C332" s="79" t="s">
        <v>51</v>
      </c>
      <c r="D332" s="47" t="s">
        <v>122</v>
      </c>
      <c r="E332" s="48">
        <v>98992</v>
      </c>
      <c r="F332" s="48" t="s">
        <v>169</v>
      </c>
      <c r="G332" s="48" t="s">
        <v>125</v>
      </c>
      <c r="H332" s="30">
        <v>15676</v>
      </c>
      <c r="I332" s="30">
        <v>32</v>
      </c>
      <c r="J332" s="28">
        <f t="shared" si="132"/>
        <v>112.5</v>
      </c>
      <c r="K332" s="31">
        <v>0.58333333333333337</v>
      </c>
      <c r="L332" s="31">
        <v>0.9375</v>
      </c>
      <c r="M332" s="32">
        <f t="shared" si="140"/>
        <v>0.35416666666666663</v>
      </c>
      <c r="N332" s="36">
        <v>510</v>
      </c>
      <c r="O332" s="36">
        <f t="shared" si="141"/>
        <v>380</v>
      </c>
      <c r="P332" s="36">
        <f t="shared" si="139"/>
        <v>380</v>
      </c>
      <c r="Q332" s="15">
        <v>0</v>
      </c>
      <c r="R332" s="20">
        <v>0</v>
      </c>
      <c r="S332" s="16">
        <v>0</v>
      </c>
      <c r="T332" s="16">
        <v>0</v>
      </c>
      <c r="U332" s="20">
        <v>0</v>
      </c>
      <c r="V332" s="20">
        <v>0</v>
      </c>
      <c r="W332" s="20">
        <v>0</v>
      </c>
      <c r="X332" s="20">
        <v>0</v>
      </c>
      <c r="Y332" s="20">
        <v>0</v>
      </c>
      <c r="Z332" s="20">
        <v>0</v>
      </c>
      <c r="AA332" s="20">
        <v>0</v>
      </c>
      <c r="AB332" s="20">
        <v>0</v>
      </c>
      <c r="AC332" s="15">
        <f t="shared" si="133"/>
        <v>0</v>
      </c>
      <c r="AD332" s="15">
        <v>0</v>
      </c>
      <c r="AE332" s="15">
        <v>0</v>
      </c>
      <c r="AF332" s="15">
        <v>0</v>
      </c>
      <c r="AG332" s="15">
        <v>60</v>
      </c>
      <c r="AH332" s="15">
        <v>0</v>
      </c>
      <c r="AI332" s="15">
        <v>30</v>
      </c>
      <c r="AJ332" s="15">
        <v>10</v>
      </c>
      <c r="AK332" s="15">
        <v>30</v>
      </c>
      <c r="AL332" s="15">
        <f t="shared" si="127"/>
        <v>130</v>
      </c>
      <c r="AM332" s="29">
        <f t="shared" si="138"/>
        <v>712.5</v>
      </c>
      <c r="AN332" s="19">
        <v>601</v>
      </c>
      <c r="AO332" s="21">
        <v>0</v>
      </c>
      <c r="AP332" s="22">
        <v>3</v>
      </c>
      <c r="AQ332" s="26">
        <f t="shared" si="112"/>
        <v>598</v>
      </c>
      <c r="AR332" s="37">
        <f t="shared" si="134"/>
        <v>1</v>
      </c>
      <c r="AS332" s="38">
        <f t="shared" si="135"/>
        <v>0.84350877192982454</v>
      </c>
      <c r="AT332" s="38">
        <f t="shared" si="136"/>
        <v>0.99500831946755408</v>
      </c>
      <c r="AU332" s="27">
        <f t="shared" si="137"/>
        <v>0.8392982456140351</v>
      </c>
    </row>
    <row r="333" spans="1:47" s="1" customFormat="1" ht="21" customHeight="1" x14ac:dyDescent="0.25">
      <c r="A333" s="109">
        <v>46044</v>
      </c>
      <c r="B333" s="47" t="s">
        <v>49</v>
      </c>
      <c r="C333" s="79" t="s">
        <v>51</v>
      </c>
      <c r="D333" s="47" t="s">
        <v>128</v>
      </c>
      <c r="E333" s="48">
        <v>98992</v>
      </c>
      <c r="F333" s="48" t="s">
        <v>53</v>
      </c>
      <c r="G333" s="48" t="s">
        <v>125</v>
      </c>
      <c r="H333" s="30">
        <v>15632</v>
      </c>
      <c r="I333" s="30">
        <v>32</v>
      </c>
      <c r="J333" s="28">
        <f t="shared" si="132"/>
        <v>112.5</v>
      </c>
      <c r="K333" s="31">
        <v>0.58333333333333337</v>
      </c>
      <c r="L333" s="31">
        <v>0.9375</v>
      </c>
      <c r="M333" s="32">
        <f t="shared" si="140"/>
        <v>0.35416666666666663</v>
      </c>
      <c r="N333" s="36">
        <v>510</v>
      </c>
      <c r="O333" s="36">
        <f t="shared" si="141"/>
        <v>260</v>
      </c>
      <c r="P333" s="36">
        <f t="shared" si="139"/>
        <v>260</v>
      </c>
      <c r="Q333" s="15">
        <v>0</v>
      </c>
      <c r="R333" s="20">
        <v>0</v>
      </c>
      <c r="S333" s="16">
        <v>0</v>
      </c>
      <c r="T333" s="16">
        <v>0</v>
      </c>
      <c r="U333" s="20">
        <v>0</v>
      </c>
      <c r="V333" s="20">
        <v>0</v>
      </c>
      <c r="W333" s="20">
        <v>0</v>
      </c>
      <c r="X333" s="20">
        <v>0</v>
      </c>
      <c r="Y333" s="20">
        <v>0</v>
      </c>
      <c r="Z333" s="20">
        <v>0</v>
      </c>
      <c r="AA333" s="20">
        <v>0</v>
      </c>
      <c r="AB333" s="20">
        <v>0</v>
      </c>
      <c r="AC333" s="15">
        <f t="shared" si="133"/>
        <v>0</v>
      </c>
      <c r="AD333" s="15">
        <v>0</v>
      </c>
      <c r="AE333" s="15">
        <v>0</v>
      </c>
      <c r="AF333" s="15">
        <v>0</v>
      </c>
      <c r="AG333" s="15">
        <v>180</v>
      </c>
      <c r="AH333" s="15">
        <v>0</v>
      </c>
      <c r="AI333" s="15">
        <v>30</v>
      </c>
      <c r="AJ333" s="15">
        <v>10</v>
      </c>
      <c r="AK333" s="15">
        <v>30</v>
      </c>
      <c r="AL333" s="15">
        <f t="shared" si="127"/>
        <v>250</v>
      </c>
      <c r="AM333" s="29">
        <f t="shared" si="138"/>
        <v>487.5</v>
      </c>
      <c r="AN333" s="19">
        <v>300</v>
      </c>
      <c r="AO333" s="21">
        <v>0</v>
      </c>
      <c r="AP333" s="22">
        <v>0</v>
      </c>
      <c r="AQ333" s="26">
        <f t="shared" si="112"/>
        <v>300</v>
      </c>
      <c r="AR333" s="37">
        <f t="shared" si="134"/>
        <v>1</v>
      </c>
      <c r="AS333" s="38">
        <f t="shared" si="135"/>
        <v>0.61538461538461542</v>
      </c>
      <c r="AT333" s="38">
        <f t="shared" si="136"/>
        <v>1</v>
      </c>
      <c r="AU333" s="27">
        <f t="shared" si="137"/>
        <v>0.61538461538461542</v>
      </c>
    </row>
    <row r="334" spans="1:47" s="1" customFormat="1" ht="21" customHeight="1" x14ac:dyDescent="0.25">
      <c r="A334" s="109">
        <v>46044</v>
      </c>
      <c r="B334" s="47" t="s">
        <v>49</v>
      </c>
      <c r="C334" s="79" t="s">
        <v>51</v>
      </c>
      <c r="D334" s="47" t="s">
        <v>170</v>
      </c>
      <c r="E334" s="48">
        <v>98992</v>
      </c>
      <c r="F334" s="48" t="s">
        <v>176</v>
      </c>
      <c r="G334" s="48" t="s">
        <v>125</v>
      </c>
      <c r="H334" s="30">
        <v>11662</v>
      </c>
      <c r="I334" s="30">
        <v>20</v>
      </c>
      <c r="J334" s="28">
        <f t="shared" si="132"/>
        <v>180</v>
      </c>
      <c r="K334" s="31">
        <v>0.58333333333333337</v>
      </c>
      <c r="L334" s="31">
        <v>0.9375</v>
      </c>
      <c r="M334" s="32">
        <f t="shared" si="140"/>
        <v>0.35416666666666663</v>
      </c>
      <c r="N334" s="36">
        <v>510</v>
      </c>
      <c r="O334" s="36">
        <f t="shared" si="141"/>
        <v>140</v>
      </c>
      <c r="P334" s="36">
        <f t="shared" si="139"/>
        <v>140</v>
      </c>
      <c r="Q334" s="15">
        <v>0</v>
      </c>
      <c r="R334" s="20">
        <v>0</v>
      </c>
      <c r="S334" s="16">
        <v>0</v>
      </c>
      <c r="T334" s="16">
        <v>0</v>
      </c>
      <c r="U334" s="20">
        <v>0</v>
      </c>
      <c r="V334" s="20">
        <v>0</v>
      </c>
      <c r="W334" s="20">
        <v>0</v>
      </c>
      <c r="X334" s="20">
        <v>0</v>
      </c>
      <c r="Y334" s="20">
        <v>0</v>
      </c>
      <c r="Z334" s="20">
        <v>0</v>
      </c>
      <c r="AA334" s="20">
        <v>0</v>
      </c>
      <c r="AB334" s="20">
        <v>0</v>
      </c>
      <c r="AC334" s="15">
        <f t="shared" si="133"/>
        <v>0</v>
      </c>
      <c r="AD334" s="15">
        <v>0</v>
      </c>
      <c r="AE334" s="15">
        <v>0</v>
      </c>
      <c r="AF334" s="15">
        <v>0</v>
      </c>
      <c r="AG334" s="15">
        <v>300</v>
      </c>
      <c r="AH334" s="15">
        <v>0</v>
      </c>
      <c r="AI334" s="15">
        <v>30</v>
      </c>
      <c r="AJ334" s="15">
        <v>10</v>
      </c>
      <c r="AK334" s="15">
        <v>30</v>
      </c>
      <c r="AL334" s="15">
        <f t="shared" si="127"/>
        <v>370</v>
      </c>
      <c r="AM334" s="29">
        <f t="shared" si="138"/>
        <v>420</v>
      </c>
      <c r="AN334" s="19">
        <v>390</v>
      </c>
      <c r="AO334" s="21">
        <v>0</v>
      </c>
      <c r="AP334" s="22">
        <v>0</v>
      </c>
      <c r="AQ334" s="26">
        <f t="shared" si="112"/>
        <v>390</v>
      </c>
      <c r="AR334" s="37">
        <f t="shared" si="134"/>
        <v>1</v>
      </c>
      <c r="AS334" s="38">
        <f t="shared" si="135"/>
        <v>0.9285714285714286</v>
      </c>
      <c r="AT334" s="38">
        <f t="shared" si="136"/>
        <v>1</v>
      </c>
      <c r="AU334" s="27">
        <f t="shared" si="137"/>
        <v>0.9285714285714286</v>
      </c>
    </row>
    <row r="335" spans="1:47" s="1" customFormat="1" ht="21" customHeight="1" x14ac:dyDescent="0.25">
      <c r="A335" s="109">
        <v>46044</v>
      </c>
      <c r="B335" s="47" t="s">
        <v>49</v>
      </c>
      <c r="C335" s="79" t="s">
        <v>51</v>
      </c>
      <c r="D335" s="47" t="s">
        <v>127</v>
      </c>
      <c r="E335" s="48">
        <v>98992</v>
      </c>
      <c r="F335" s="48" t="s">
        <v>175</v>
      </c>
      <c r="G335" s="48" t="s">
        <v>125</v>
      </c>
      <c r="H335" s="30">
        <v>16037</v>
      </c>
      <c r="I335" s="30">
        <v>20</v>
      </c>
      <c r="J335" s="28">
        <f t="shared" si="132"/>
        <v>180</v>
      </c>
      <c r="K335" s="31">
        <v>0.58333333333333337</v>
      </c>
      <c r="L335" s="31">
        <v>0.9375</v>
      </c>
      <c r="M335" s="32">
        <f t="shared" si="140"/>
        <v>0.35416666666666663</v>
      </c>
      <c r="N335" s="36">
        <v>510</v>
      </c>
      <c r="O335" s="36">
        <f t="shared" si="141"/>
        <v>140</v>
      </c>
      <c r="P335" s="36">
        <f t="shared" si="139"/>
        <v>140</v>
      </c>
      <c r="Q335" s="15">
        <v>0</v>
      </c>
      <c r="R335" s="20">
        <v>0</v>
      </c>
      <c r="S335" s="16">
        <v>0</v>
      </c>
      <c r="T335" s="16">
        <v>0</v>
      </c>
      <c r="U335" s="20">
        <v>0</v>
      </c>
      <c r="V335" s="20">
        <v>0</v>
      </c>
      <c r="W335" s="20">
        <v>0</v>
      </c>
      <c r="X335" s="20">
        <v>0</v>
      </c>
      <c r="Y335" s="20">
        <v>0</v>
      </c>
      <c r="Z335" s="20">
        <v>0</v>
      </c>
      <c r="AA335" s="20">
        <v>0</v>
      </c>
      <c r="AB335" s="20">
        <v>0</v>
      </c>
      <c r="AC335" s="15">
        <f t="shared" si="133"/>
        <v>0</v>
      </c>
      <c r="AD335" s="15">
        <v>0</v>
      </c>
      <c r="AE335" s="15">
        <v>0</v>
      </c>
      <c r="AF335" s="15">
        <v>0</v>
      </c>
      <c r="AG335" s="15">
        <v>300</v>
      </c>
      <c r="AH335" s="15">
        <v>0</v>
      </c>
      <c r="AI335" s="15">
        <v>30</v>
      </c>
      <c r="AJ335" s="15">
        <v>10</v>
      </c>
      <c r="AK335" s="15">
        <v>30</v>
      </c>
      <c r="AL335" s="15">
        <f t="shared" si="127"/>
        <v>370</v>
      </c>
      <c r="AM335" s="29">
        <f t="shared" si="138"/>
        <v>420</v>
      </c>
      <c r="AN335" s="19">
        <v>390</v>
      </c>
      <c r="AO335" s="21">
        <v>0</v>
      </c>
      <c r="AP335" s="22">
        <v>9</v>
      </c>
      <c r="AQ335" s="26">
        <f t="shared" si="112"/>
        <v>381</v>
      </c>
      <c r="AR335" s="37">
        <f t="shared" si="134"/>
        <v>1</v>
      </c>
      <c r="AS335" s="38">
        <f t="shared" si="135"/>
        <v>0.9285714285714286</v>
      </c>
      <c r="AT335" s="38">
        <f t="shared" si="136"/>
        <v>0.97692307692307689</v>
      </c>
      <c r="AU335" s="27">
        <f t="shared" si="137"/>
        <v>0.90714285714285714</v>
      </c>
    </row>
    <row r="336" spans="1:47" s="1" customFormat="1" ht="21" customHeight="1" x14ac:dyDescent="0.25">
      <c r="A336" s="109">
        <v>46045</v>
      </c>
      <c r="B336" s="47" t="s">
        <v>49</v>
      </c>
      <c r="C336" s="79" t="s">
        <v>21</v>
      </c>
      <c r="D336" s="47" t="s">
        <v>124</v>
      </c>
      <c r="E336" s="48">
        <v>98992</v>
      </c>
      <c r="F336" s="48" t="s">
        <v>215</v>
      </c>
      <c r="G336" s="48" t="s">
        <v>125</v>
      </c>
      <c r="H336" s="30">
        <v>13105</v>
      </c>
      <c r="I336" s="30">
        <v>32</v>
      </c>
      <c r="J336" s="28">
        <f t="shared" ref="J336:J357" si="142">3600/I336</f>
        <v>112.5</v>
      </c>
      <c r="K336" s="31">
        <v>0.25</v>
      </c>
      <c r="L336" s="31">
        <v>0.60416666666666696</v>
      </c>
      <c r="M336" s="32">
        <f t="shared" si="140"/>
        <v>0.35416666666666696</v>
      </c>
      <c r="N336" s="36">
        <v>510</v>
      </c>
      <c r="O336" s="36">
        <f t="shared" si="141"/>
        <v>440</v>
      </c>
      <c r="P336" s="36">
        <f t="shared" si="139"/>
        <v>440</v>
      </c>
      <c r="Q336" s="15">
        <v>0</v>
      </c>
      <c r="R336" s="20">
        <v>0</v>
      </c>
      <c r="S336" s="16">
        <v>0</v>
      </c>
      <c r="T336" s="16">
        <v>0</v>
      </c>
      <c r="U336" s="20">
        <v>0</v>
      </c>
      <c r="V336" s="20">
        <v>0</v>
      </c>
      <c r="W336" s="20">
        <v>0</v>
      </c>
      <c r="X336" s="20">
        <v>0</v>
      </c>
      <c r="Y336" s="20">
        <v>0</v>
      </c>
      <c r="Z336" s="20">
        <v>0</v>
      </c>
      <c r="AA336" s="20">
        <v>0</v>
      </c>
      <c r="AB336" s="20">
        <v>0</v>
      </c>
      <c r="AC336" s="15">
        <f t="shared" si="133"/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30</v>
      </c>
      <c r="AJ336" s="15">
        <v>10</v>
      </c>
      <c r="AK336" s="15">
        <v>30</v>
      </c>
      <c r="AL336" s="15">
        <f t="shared" si="127"/>
        <v>70</v>
      </c>
      <c r="AM336" s="29">
        <f t="shared" si="138"/>
        <v>825</v>
      </c>
      <c r="AN336" s="19">
        <v>700</v>
      </c>
      <c r="AO336" s="21">
        <v>0</v>
      </c>
      <c r="AP336" s="22">
        <v>32</v>
      </c>
      <c r="AQ336" s="26">
        <f t="shared" si="112"/>
        <v>668</v>
      </c>
      <c r="AR336" s="37">
        <f t="shared" si="134"/>
        <v>1</v>
      </c>
      <c r="AS336" s="38">
        <f t="shared" si="135"/>
        <v>0.84848484848484851</v>
      </c>
      <c r="AT336" s="38">
        <f t="shared" si="136"/>
        <v>0.95428571428571429</v>
      </c>
      <c r="AU336" s="27">
        <f t="shared" si="137"/>
        <v>0.80969696969696969</v>
      </c>
    </row>
    <row r="337" spans="1:47" s="1" customFormat="1" ht="21" customHeight="1" x14ac:dyDescent="0.25">
      <c r="A337" s="109">
        <v>46045</v>
      </c>
      <c r="B337" s="47" t="s">
        <v>49</v>
      </c>
      <c r="C337" s="79" t="s">
        <v>21</v>
      </c>
      <c r="D337" s="47" t="s">
        <v>122</v>
      </c>
      <c r="E337" s="48">
        <v>98992</v>
      </c>
      <c r="F337" s="48" t="s">
        <v>169</v>
      </c>
      <c r="G337" s="48" t="s">
        <v>125</v>
      </c>
      <c r="H337" s="30">
        <v>14957</v>
      </c>
      <c r="I337" s="30">
        <v>32</v>
      </c>
      <c r="J337" s="28">
        <f t="shared" si="142"/>
        <v>112.5</v>
      </c>
      <c r="K337" s="31">
        <v>0.25</v>
      </c>
      <c r="L337" s="31">
        <v>0.60416666666666696</v>
      </c>
      <c r="M337" s="32">
        <f t="shared" si="140"/>
        <v>0.35416666666666696</v>
      </c>
      <c r="N337" s="36">
        <v>510</v>
      </c>
      <c r="O337" s="36">
        <f t="shared" si="141"/>
        <v>320</v>
      </c>
      <c r="P337" s="36">
        <f t="shared" si="139"/>
        <v>320</v>
      </c>
      <c r="Q337" s="15">
        <v>0</v>
      </c>
      <c r="R337" s="20">
        <v>0</v>
      </c>
      <c r="S337" s="16">
        <v>0</v>
      </c>
      <c r="T337" s="16">
        <v>0</v>
      </c>
      <c r="U337" s="20">
        <v>0</v>
      </c>
      <c r="V337" s="20">
        <v>0</v>
      </c>
      <c r="W337" s="20">
        <v>0</v>
      </c>
      <c r="X337" s="20">
        <v>0</v>
      </c>
      <c r="Y337" s="20">
        <v>0</v>
      </c>
      <c r="Z337" s="20">
        <v>0</v>
      </c>
      <c r="AA337" s="20">
        <v>0</v>
      </c>
      <c r="AB337" s="20">
        <v>0</v>
      </c>
      <c r="AC337" s="15">
        <f t="shared" si="133"/>
        <v>0</v>
      </c>
      <c r="AD337" s="15">
        <v>0</v>
      </c>
      <c r="AE337" s="15">
        <v>0</v>
      </c>
      <c r="AF337" s="15">
        <v>0</v>
      </c>
      <c r="AG337" s="15">
        <v>120</v>
      </c>
      <c r="AH337" s="15">
        <v>0</v>
      </c>
      <c r="AI337" s="15">
        <v>30</v>
      </c>
      <c r="AJ337" s="15">
        <v>10</v>
      </c>
      <c r="AK337" s="15">
        <v>30</v>
      </c>
      <c r="AL337" s="15">
        <f t="shared" si="127"/>
        <v>190</v>
      </c>
      <c r="AM337" s="29">
        <f t="shared" si="138"/>
        <v>600</v>
      </c>
      <c r="AN337" s="19">
        <v>501</v>
      </c>
      <c r="AO337" s="21">
        <v>0</v>
      </c>
      <c r="AP337" s="22">
        <v>2</v>
      </c>
      <c r="AQ337" s="26">
        <f t="shared" si="112"/>
        <v>499</v>
      </c>
      <c r="AR337" s="37">
        <f t="shared" si="134"/>
        <v>1</v>
      </c>
      <c r="AS337" s="38">
        <f t="shared" si="135"/>
        <v>0.83499999999999996</v>
      </c>
      <c r="AT337" s="38">
        <f t="shared" si="136"/>
        <v>0.99600798403193613</v>
      </c>
      <c r="AU337" s="27">
        <f t="shared" si="137"/>
        <v>0.83166666666666667</v>
      </c>
    </row>
    <row r="338" spans="1:47" s="1" customFormat="1" ht="21" customHeight="1" x14ac:dyDescent="0.25">
      <c r="A338" s="109">
        <v>46045</v>
      </c>
      <c r="B338" s="47" t="s">
        <v>49</v>
      </c>
      <c r="C338" s="79" t="s">
        <v>21</v>
      </c>
      <c r="D338" s="47" t="s">
        <v>128</v>
      </c>
      <c r="E338" s="48">
        <v>98992</v>
      </c>
      <c r="F338" s="48" t="s">
        <v>53</v>
      </c>
      <c r="G338" s="48" t="s">
        <v>125</v>
      </c>
      <c r="H338" s="30">
        <v>16146</v>
      </c>
      <c r="I338" s="30">
        <v>32</v>
      </c>
      <c r="J338" s="28">
        <f t="shared" si="142"/>
        <v>112.5</v>
      </c>
      <c r="K338" s="31">
        <v>0.25</v>
      </c>
      <c r="L338" s="31">
        <v>0.60416666666666696</v>
      </c>
      <c r="M338" s="32">
        <f t="shared" si="140"/>
        <v>0.35416666666666696</v>
      </c>
      <c r="N338" s="36">
        <v>510</v>
      </c>
      <c r="O338" s="36">
        <f t="shared" si="141"/>
        <v>320</v>
      </c>
      <c r="P338" s="36">
        <f t="shared" si="139"/>
        <v>320</v>
      </c>
      <c r="Q338" s="15">
        <v>0</v>
      </c>
      <c r="R338" s="20">
        <v>0</v>
      </c>
      <c r="S338" s="16">
        <v>0</v>
      </c>
      <c r="T338" s="16">
        <v>0</v>
      </c>
      <c r="U338" s="20">
        <v>0</v>
      </c>
      <c r="V338" s="20">
        <v>0</v>
      </c>
      <c r="W338" s="20">
        <v>0</v>
      </c>
      <c r="X338" s="20">
        <v>0</v>
      </c>
      <c r="Y338" s="20">
        <v>0</v>
      </c>
      <c r="Z338" s="20">
        <v>0</v>
      </c>
      <c r="AA338" s="20">
        <v>0</v>
      </c>
      <c r="AB338" s="20">
        <v>0</v>
      </c>
      <c r="AC338" s="15">
        <f t="shared" si="133"/>
        <v>0</v>
      </c>
      <c r="AD338" s="15">
        <v>0</v>
      </c>
      <c r="AE338" s="15">
        <v>0</v>
      </c>
      <c r="AF338" s="15">
        <v>0</v>
      </c>
      <c r="AG338" s="15">
        <v>120</v>
      </c>
      <c r="AH338" s="15">
        <v>0</v>
      </c>
      <c r="AI338" s="15">
        <v>30</v>
      </c>
      <c r="AJ338" s="15">
        <v>10</v>
      </c>
      <c r="AK338" s="15">
        <v>30</v>
      </c>
      <c r="AL338" s="15">
        <f t="shared" si="127"/>
        <v>190</v>
      </c>
      <c r="AM338" s="29">
        <f t="shared" si="138"/>
        <v>600</v>
      </c>
      <c r="AN338" s="19">
        <v>420</v>
      </c>
      <c r="AO338" s="21">
        <v>0</v>
      </c>
      <c r="AP338" s="22">
        <v>0</v>
      </c>
      <c r="AQ338" s="26">
        <f t="shared" si="112"/>
        <v>420</v>
      </c>
      <c r="AR338" s="37">
        <f t="shared" si="134"/>
        <v>1</v>
      </c>
      <c r="AS338" s="38">
        <f t="shared" si="135"/>
        <v>0.7</v>
      </c>
      <c r="AT338" s="38">
        <f t="shared" si="136"/>
        <v>1</v>
      </c>
      <c r="AU338" s="27">
        <f t="shared" si="137"/>
        <v>0.7</v>
      </c>
    </row>
    <row r="339" spans="1:47" s="1" customFormat="1" ht="21" customHeight="1" x14ac:dyDescent="0.25">
      <c r="A339" s="109">
        <v>46045</v>
      </c>
      <c r="B339" s="47" t="s">
        <v>49</v>
      </c>
      <c r="C339" s="79" t="s">
        <v>21</v>
      </c>
      <c r="D339" s="47" t="s">
        <v>88</v>
      </c>
      <c r="E339" s="48">
        <v>98992</v>
      </c>
      <c r="F339" s="48" t="s">
        <v>126</v>
      </c>
      <c r="G339" s="48" t="s">
        <v>87</v>
      </c>
      <c r="H339" s="30">
        <v>13106</v>
      </c>
      <c r="I339" s="30">
        <v>32</v>
      </c>
      <c r="J339" s="28">
        <f t="shared" si="142"/>
        <v>112.5</v>
      </c>
      <c r="K339" s="31">
        <v>0.25</v>
      </c>
      <c r="L339" s="31">
        <v>0.60416666666666696</v>
      </c>
      <c r="M339" s="32">
        <f t="shared" si="140"/>
        <v>0.35416666666666696</v>
      </c>
      <c r="N339" s="36">
        <v>510</v>
      </c>
      <c r="O339" s="36">
        <f t="shared" si="141"/>
        <v>380</v>
      </c>
      <c r="P339" s="36">
        <f t="shared" si="139"/>
        <v>380</v>
      </c>
      <c r="Q339" s="15">
        <v>0</v>
      </c>
      <c r="R339" s="20">
        <v>0</v>
      </c>
      <c r="S339" s="16">
        <v>0</v>
      </c>
      <c r="T339" s="16">
        <v>0</v>
      </c>
      <c r="U339" s="20">
        <v>0</v>
      </c>
      <c r="V339" s="20">
        <v>0</v>
      </c>
      <c r="W339" s="20">
        <v>0</v>
      </c>
      <c r="X339" s="20">
        <v>0</v>
      </c>
      <c r="Y339" s="20">
        <v>0</v>
      </c>
      <c r="Z339" s="20">
        <v>0</v>
      </c>
      <c r="AA339" s="20">
        <v>0</v>
      </c>
      <c r="AB339" s="20">
        <v>0</v>
      </c>
      <c r="AC339" s="15">
        <f t="shared" si="133"/>
        <v>0</v>
      </c>
      <c r="AD339" s="15">
        <v>0</v>
      </c>
      <c r="AE339" s="15">
        <v>0</v>
      </c>
      <c r="AF339" s="15">
        <v>0</v>
      </c>
      <c r="AG339" s="15">
        <v>60</v>
      </c>
      <c r="AH339" s="15">
        <v>0</v>
      </c>
      <c r="AI339" s="15">
        <v>30</v>
      </c>
      <c r="AJ339" s="15">
        <v>10</v>
      </c>
      <c r="AK339" s="15">
        <v>30</v>
      </c>
      <c r="AL339" s="15">
        <f t="shared" si="127"/>
        <v>130</v>
      </c>
      <c r="AM339" s="29">
        <f t="shared" si="138"/>
        <v>712.5</v>
      </c>
      <c r="AN339" s="19">
        <v>640</v>
      </c>
      <c r="AO339" s="21">
        <v>0</v>
      </c>
      <c r="AP339" s="22">
        <v>6</v>
      </c>
      <c r="AQ339" s="26">
        <f t="shared" si="112"/>
        <v>634</v>
      </c>
      <c r="AR339" s="37">
        <f t="shared" si="134"/>
        <v>1</v>
      </c>
      <c r="AS339" s="38">
        <f t="shared" si="135"/>
        <v>0.89824561403508774</v>
      </c>
      <c r="AT339" s="38">
        <f t="shared" si="136"/>
        <v>0.99062499999999998</v>
      </c>
      <c r="AU339" s="27">
        <f t="shared" si="137"/>
        <v>0.88982456140350874</v>
      </c>
    </row>
    <row r="340" spans="1:47" s="1" customFormat="1" ht="21" customHeight="1" x14ac:dyDescent="0.25">
      <c r="A340" s="109">
        <v>46045</v>
      </c>
      <c r="B340" s="47" t="s">
        <v>49</v>
      </c>
      <c r="C340" s="79" t="s">
        <v>21</v>
      </c>
      <c r="D340" s="47" t="s">
        <v>89</v>
      </c>
      <c r="E340" s="48">
        <v>98992</v>
      </c>
      <c r="F340" s="48" t="s">
        <v>169</v>
      </c>
      <c r="G340" s="48" t="s">
        <v>87</v>
      </c>
      <c r="H340" s="30">
        <v>16219</v>
      </c>
      <c r="I340" s="30">
        <v>32</v>
      </c>
      <c r="J340" s="28">
        <f t="shared" si="142"/>
        <v>112.5</v>
      </c>
      <c r="K340" s="31">
        <v>0.25</v>
      </c>
      <c r="L340" s="31">
        <v>0.60416666666666696</v>
      </c>
      <c r="M340" s="32">
        <f t="shared" si="140"/>
        <v>0.35416666666666696</v>
      </c>
      <c r="N340" s="36">
        <v>510</v>
      </c>
      <c r="O340" s="36">
        <f t="shared" si="141"/>
        <v>380</v>
      </c>
      <c r="P340" s="36">
        <f t="shared" si="139"/>
        <v>380</v>
      </c>
      <c r="Q340" s="15">
        <v>0</v>
      </c>
      <c r="R340" s="20">
        <v>0</v>
      </c>
      <c r="S340" s="16">
        <v>0</v>
      </c>
      <c r="T340" s="16">
        <v>0</v>
      </c>
      <c r="U340" s="20">
        <v>0</v>
      </c>
      <c r="V340" s="20">
        <v>0</v>
      </c>
      <c r="W340" s="20">
        <v>0</v>
      </c>
      <c r="X340" s="20">
        <v>0</v>
      </c>
      <c r="Y340" s="20">
        <v>0</v>
      </c>
      <c r="Z340" s="20">
        <v>0</v>
      </c>
      <c r="AA340" s="20">
        <v>0</v>
      </c>
      <c r="AB340" s="20">
        <v>0</v>
      </c>
      <c r="AC340" s="15">
        <f t="shared" si="133"/>
        <v>0</v>
      </c>
      <c r="AD340" s="15">
        <v>0</v>
      </c>
      <c r="AE340" s="15">
        <v>0</v>
      </c>
      <c r="AF340" s="15">
        <v>0</v>
      </c>
      <c r="AG340" s="15">
        <v>60</v>
      </c>
      <c r="AH340" s="15">
        <v>0</v>
      </c>
      <c r="AI340" s="15">
        <v>30</v>
      </c>
      <c r="AJ340" s="15">
        <v>10</v>
      </c>
      <c r="AK340" s="15">
        <v>30</v>
      </c>
      <c r="AL340" s="15">
        <f t="shared" si="127"/>
        <v>130</v>
      </c>
      <c r="AM340" s="29">
        <f t="shared" si="138"/>
        <v>712.5</v>
      </c>
      <c r="AN340" s="19">
        <v>623</v>
      </c>
      <c r="AO340" s="21">
        <v>0</v>
      </c>
      <c r="AP340" s="22">
        <v>0</v>
      </c>
      <c r="AQ340" s="26">
        <f t="shared" si="112"/>
        <v>623</v>
      </c>
      <c r="AR340" s="37">
        <f t="shared" si="134"/>
        <v>1</v>
      </c>
      <c r="AS340" s="38">
        <f t="shared" si="135"/>
        <v>0.87438596491228071</v>
      </c>
      <c r="AT340" s="38">
        <f t="shared" si="136"/>
        <v>1</v>
      </c>
      <c r="AU340" s="27">
        <f t="shared" si="137"/>
        <v>0.87438596491228071</v>
      </c>
    </row>
    <row r="341" spans="1:47" s="1" customFormat="1" ht="21" customHeight="1" x14ac:dyDescent="0.25">
      <c r="A341" s="109">
        <v>46045</v>
      </c>
      <c r="B341" s="47" t="s">
        <v>49</v>
      </c>
      <c r="C341" s="79" t="s">
        <v>21</v>
      </c>
      <c r="D341" s="47" t="s">
        <v>94</v>
      </c>
      <c r="E341" s="48">
        <v>98992</v>
      </c>
      <c r="F341" s="48" t="s">
        <v>67</v>
      </c>
      <c r="G341" s="48" t="s">
        <v>174</v>
      </c>
      <c r="H341" s="30">
        <v>15726</v>
      </c>
      <c r="I341" s="30">
        <v>24</v>
      </c>
      <c r="J341" s="28">
        <f t="shared" si="142"/>
        <v>150</v>
      </c>
      <c r="K341" s="31">
        <v>0.25</v>
      </c>
      <c r="L341" s="31">
        <v>0.60416666666666696</v>
      </c>
      <c r="M341" s="32">
        <f t="shared" si="140"/>
        <v>0.35416666666666696</v>
      </c>
      <c r="N341" s="36">
        <v>510</v>
      </c>
      <c r="O341" s="36">
        <f t="shared" si="141"/>
        <v>260</v>
      </c>
      <c r="P341" s="36">
        <f t="shared" si="139"/>
        <v>260</v>
      </c>
      <c r="Q341" s="15">
        <v>0</v>
      </c>
      <c r="R341" s="20">
        <v>0</v>
      </c>
      <c r="S341" s="16">
        <v>0</v>
      </c>
      <c r="T341" s="16">
        <v>0</v>
      </c>
      <c r="U341" s="20">
        <v>0</v>
      </c>
      <c r="V341" s="20">
        <v>0</v>
      </c>
      <c r="W341" s="20">
        <v>0</v>
      </c>
      <c r="X341" s="20">
        <v>0</v>
      </c>
      <c r="Y341" s="20">
        <v>0</v>
      </c>
      <c r="Z341" s="20">
        <v>0</v>
      </c>
      <c r="AA341" s="20">
        <v>0</v>
      </c>
      <c r="AB341" s="20">
        <v>0</v>
      </c>
      <c r="AC341" s="15">
        <f t="shared" si="133"/>
        <v>0</v>
      </c>
      <c r="AD341" s="15">
        <v>0</v>
      </c>
      <c r="AE341" s="15">
        <v>0</v>
      </c>
      <c r="AF341" s="15">
        <v>0</v>
      </c>
      <c r="AG341" s="15">
        <v>180</v>
      </c>
      <c r="AH341" s="15">
        <v>0</v>
      </c>
      <c r="AI341" s="15">
        <v>30</v>
      </c>
      <c r="AJ341" s="15">
        <v>10</v>
      </c>
      <c r="AK341" s="15">
        <v>30</v>
      </c>
      <c r="AL341" s="15">
        <f t="shared" si="127"/>
        <v>250</v>
      </c>
      <c r="AM341" s="29">
        <f t="shared" si="138"/>
        <v>650</v>
      </c>
      <c r="AN341" s="19">
        <v>434</v>
      </c>
      <c r="AO341" s="21">
        <v>0</v>
      </c>
      <c r="AP341" s="22">
        <v>13</v>
      </c>
      <c r="AQ341" s="26">
        <f t="shared" si="112"/>
        <v>421</v>
      </c>
      <c r="AR341" s="37">
        <f t="shared" si="134"/>
        <v>1</v>
      </c>
      <c r="AS341" s="38">
        <f t="shared" si="135"/>
        <v>0.6676923076923077</v>
      </c>
      <c r="AT341" s="38">
        <f t="shared" si="136"/>
        <v>0.97004608294930872</v>
      </c>
      <c r="AU341" s="27">
        <f t="shared" si="137"/>
        <v>0.64769230769230768</v>
      </c>
    </row>
    <row r="342" spans="1:47" s="1" customFormat="1" ht="21" customHeight="1" x14ac:dyDescent="0.25">
      <c r="A342" s="109">
        <v>46045</v>
      </c>
      <c r="B342" s="47" t="s">
        <v>49</v>
      </c>
      <c r="C342" s="79" t="s">
        <v>51</v>
      </c>
      <c r="D342" s="47" t="s">
        <v>94</v>
      </c>
      <c r="E342" s="48">
        <v>98992</v>
      </c>
      <c r="F342" s="48" t="s">
        <v>67</v>
      </c>
      <c r="G342" s="48" t="s">
        <v>174</v>
      </c>
      <c r="H342" s="30">
        <v>13562</v>
      </c>
      <c r="I342" s="30">
        <v>24</v>
      </c>
      <c r="J342" s="28">
        <f t="shared" si="142"/>
        <v>150</v>
      </c>
      <c r="K342" s="31">
        <v>0.58333333333333337</v>
      </c>
      <c r="L342" s="31">
        <v>0.9375</v>
      </c>
      <c r="M342" s="32">
        <f t="shared" si="140"/>
        <v>0.35416666666666663</v>
      </c>
      <c r="N342" s="36">
        <v>510</v>
      </c>
      <c r="O342" s="36">
        <f t="shared" si="141"/>
        <v>440</v>
      </c>
      <c r="P342" s="36">
        <f t="shared" si="139"/>
        <v>440</v>
      </c>
      <c r="Q342" s="15">
        <v>0</v>
      </c>
      <c r="R342" s="20">
        <v>0</v>
      </c>
      <c r="S342" s="16">
        <v>0</v>
      </c>
      <c r="T342" s="16">
        <v>0</v>
      </c>
      <c r="U342" s="20">
        <v>0</v>
      </c>
      <c r="V342" s="20">
        <v>0</v>
      </c>
      <c r="W342" s="20">
        <v>0</v>
      </c>
      <c r="X342" s="20">
        <v>0</v>
      </c>
      <c r="Y342" s="20">
        <v>0</v>
      </c>
      <c r="Z342" s="20">
        <v>0</v>
      </c>
      <c r="AA342" s="20">
        <v>0</v>
      </c>
      <c r="AB342" s="20">
        <v>0</v>
      </c>
      <c r="AC342" s="15">
        <f t="shared" si="133"/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30</v>
      </c>
      <c r="AJ342" s="15">
        <v>10</v>
      </c>
      <c r="AK342" s="15">
        <v>30</v>
      </c>
      <c r="AL342" s="15">
        <f t="shared" ref="AL342:AL372" si="143">SUM(AD342:AK342)</f>
        <v>70</v>
      </c>
      <c r="AM342" s="29">
        <f t="shared" si="138"/>
        <v>1100</v>
      </c>
      <c r="AN342" s="19">
        <v>1016</v>
      </c>
      <c r="AO342" s="21">
        <v>0</v>
      </c>
      <c r="AP342" s="22">
        <v>225</v>
      </c>
      <c r="AQ342" s="26">
        <f t="shared" si="112"/>
        <v>791</v>
      </c>
      <c r="AR342" s="37">
        <f t="shared" si="134"/>
        <v>1</v>
      </c>
      <c r="AS342" s="38">
        <f t="shared" si="135"/>
        <v>0.92363636363636359</v>
      </c>
      <c r="AT342" s="38">
        <f t="shared" si="136"/>
        <v>0.77854330708661412</v>
      </c>
      <c r="AU342" s="27">
        <f t="shared" si="137"/>
        <v>0.719090909090909</v>
      </c>
    </row>
    <row r="343" spans="1:47" s="1" customFormat="1" ht="21" customHeight="1" x14ac:dyDescent="0.25">
      <c r="A343" s="109">
        <v>46045</v>
      </c>
      <c r="B343" s="47" t="s">
        <v>49</v>
      </c>
      <c r="C343" s="79" t="s">
        <v>51</v>
      </c>
      <c r="D343" s="47" t="s">
        <v>88</v>
      </c>
      <c r="E343" s="48">
        <v>98992</v>
      </c>
      <c r="F343" s="48" t="s">
        <v>126</v>
      </c>
      <c r="G343" s="48" t="s">
        <v>87</v>
      </c>
      <c r="H343" s="30">
        <v>15036</v>
      </c>
      <c r="I343" s="30">
        <v>32</v>
      </c>
      <c r="J343" s="28">
        <f t="shared" si="142"/>
        <v>112.5</v>
      </c>
      <c r="K343" s="31">
        <v>0.58333333333333337</v>
      </c>
      <c r="L343" s="31">
        <v>0.9375</v>
      </c>
      <c r="M343" s="32">
        <f t="shared" si="140"/>
        <v>0.35416666666666663</v>
      </c>
      <c r="N343" s="36">
        <v>510</v>
      </c>
      <c r="O343" s="36">
        <f t="shared" si="141"/>
        <v>380</v>
      </c>
      <c r="P343" s="36">
        <f t="shared" si="139"/>
        <v>380</v>
      </c>
      <c r="Q343" s="15">
        <v>0</v>
      </c>
      <c r="R343" s="20">
        <v>0</v>
      </c>
      <c r="S343" s="16">
        <v>0</v>
      </c>
      <c r="T343" s="16">
        <v>0</v>
      </c>
      <c r="U343" s="20">
        <v>0</v>
      </c>
      <c r="V343" s="20">
        <v>0</v>
      </c>
      <c r="W343" s="20">
        <v>0</v>
      </c>
      <c r="X343" s="20">
        <v>0</v>
      </c>
      <c r="Y343" s="20">
        <v>0</v>
      </c>
      <c r="Z343" s="20">
        <v>0</v>
      </c>
      <c r="AA343" s="20">
        <v>0</v>
      </c>
      <c r="AB343" s="20">
        <v>0</v>
      </c>
      <c r="AC343" s="15">
        <f t="shared" ref="AC343:AC372" si="144">SUM(Q343:AB343)</f>
        <v>0</v>
      </c>
      <c r="AD343" s="15">
        <v>0</v>
      </c>
      <c r="AE343" s="15">
        <v>0</v>
      </c>
      <c r="AF343" s="15">
        <v>0</v>
      </c>
      <c r="AG343" s="15">
        <v>60</v>
      </c>
      <c r="AH343" s="15">
        <v>0</v>
      </c>
      <c r="AI343" s="15">
        <v>30</v>
      </c>
      <c r="AJ343" s="15">
        <v>10</v>
      </c>
      <c r="AK343" s="15">
        <v>30</v>
      </c>
      <c r="AL343" s="15">
        <f t="shared" si="143"/>
        <v>130</v>
      </c>
      <c r="AM343" s="29">
        <f t="shared" si="138"/>
        <v>712.5</v>
      </c>
      <c r="AN343" s="19">
        <v>652</v>
      </c>
      <c r="AO343" s="21">
        <v>0</v>
      </c>
      <c r="AP343" s="22">
        <v>2</v>
      </c>
      <c r="AQ343" s="26">
        <f t="shared" si="112"/>
        <v>650</v>
      </c>
      <c r="AR343" s="37">
        <f t="shared" si="134"/>
        <v>1</v>
      </c>
      <c r="AS343" s="38">
        <f t="shared" si="135"/>
        <v>0.91508771929824562</v>
      </c>
      <c r="AT343" s="38">
        <f t="shared" si="136"/>
        <v>0.99693251533742333</v>
      </c>
      <c r="AU343" s="27">
        <f t="shared" si="137"/>
        <v>0.91228070175438603</v>
      </c>
    </row>
    <row r="344" spans="1:47" s="1" customFormat="1" ht="21" customHeight="1" x14ac:dyDescent="0.25">
      <c r="A344" s="109">
        <v>46045</v>
      </c>
      <c r="B344" s="47" t="s">
        <v>49</v>
      </c>
      <c r="C344" s="79" t="s">
        <v>51</v>
      </c>
      <c r="D344" s="47" t="s">
        <v>89</v>
      </c>
      <c r="E344" s="48">
        <v>98992</v>
      </c>
      <c r="F344" s="48" t="s">
        <v>169</v>
      </c>
      <c r="G344" s="48" t="s">
        <v>87</v>
      </c>
      <c r="H344" s="30">
        <v>11682</v>
      </c>
      <c r="I344" s="30">
        <v>32</v>
      </c>
      <c r="J344" s="28">
        <f t="shared" si="142"/>
        <v>112.5</v>
      </c>
      <c r="K344" s="31">
        <v>0.58333333333333337</v>
      </c>
      <c r="L344" s="31">
        <v>0.9375</v>
      </c>
      <c r="M344" s="32">
        <f t="shared" si="140"/>
        <v>0.35416666666666663</v>
      </c>
      <c r="N344" s="36">
        <v>510</v>
      </c>
      <c r="O344" s="36">
        <f t="shared" si="141"/>
        <v>320</v>
      </c>
      <c r="P344" s="36">
        <f t="shared" si="139"/>
        <v>320</v>
      </c>
      <c r="Q344" s="15">
        <v>0</v>
      </c>
      <c r="R344" s="20">
        <v>0</v>
      </c>
      <c r="S344" s="16">
        <v>0</v>
      </c>
      <c r="T344" s="16">
        <v>0</v>
      </c>
      <c r="U344" s="20">
        <v>0</v>
      </c>
      <c r="V344" s="20">
        <v>0</v>
      </c>
      <c r="W344" s="20">
        <v>0</v>
      </c>
      <c r="X344" s="20">
        <v>0</v>
      </c>
      <c r="Y344" s="20">
        <v>0</v>
      </c>
      <c r="Z344" s="20">
        <v>0</v>
      </c>
      <c r="AA344" s="20">
        <v>0</v>
      </c>
      <c r="AB344" s="20">
        <v>0</v>
      </c>
      <c r="AC344" s="15">
        <f t="shared" si="144"/>
        <v>0</v>
      </c>
      <c r="AD344" s="15">
        <v>0</v>
      </c>
      <c r="AE344" s="15">
        <v>0</v>
      </c>
      <c r="AF344" s="15">
        <v>0</v>
      </c>
      <c r="AG344" s="15">
        <v>120</v>
      </c>
      <c r="AH344" s="15">
        <v>0</v>
      </c>
      <c r="AI344" s="15">
        <v>30</v>
      </c>
      <c r="AJ344" s="15">
        <v>10</v>
      </c>
      <c r="AK344" s="15">
        <v>30</v>
      </c>
      <c r="AL344" s="15">
        <f t="shared" si="143"/>
        <v>190</v>
      </c>
      <c r="AM344" s="29">
        <f t="shared" si="138"/>
        <v>600</v>
      </c>
      <c r="AN344" s="19">
        <v>460</v>
      </c>
      <c r="AO344" s="21">
        <v>0</v>
      </c>
      <c r="AP344" s="22">
        <v>2</v>
      </c>
      <c r="AQ344" s="26">
        <f t="shared" si="112"/>
        <v>458</v>
      </c>
      <c r="AR344" s="37">
        <f t="shared" si="134"/>
        <v>1</v>
      </c>
      <c r="AS344" s="38">
        <f t="shared" si="135"/>
        <v>0.76666666666666672</v>
      </c>
      <c r="AT344" s="38">
        <f t="shared" si="136"/>
        <v>0.9956521739130435</v>
      </c>
      <c r="AU344" s="27">
        <f t="shared" si="137"/>
        <v>0.76333333333333342</v>
      </c>
    </row>
    <row r="345" spans="1:47" s="1" customFormat="1" ht="21" customHeight="1" x14ac:dyDescent="0.25">
      <c r="A345" s="109">
        <v>46045</v>
      </c>
      <c r="B345" s="47" t="s">
        <v>49</v>
      </c>
      <c r="C345" s="79" t="s">
        <v>51</v>
      </c>
      <c r="D345" s="47" t="s">
        <v>52</v>
      </c>
      <c r="E345" s="48">
        <v>98992</v>
      </c>
      <c r="F345" s="48" t="s">
        <v>53</v>
      </c>
      <c r="G345" s="48" t="s">
        <v>87</v>
      </c>
      <c r="H345" s="30">
        <v>16000</v>
      </c>
      <c r="I345" s="30">
        <v>32</v>
      </c>
      <c r="J345" s="28">
        <f t="shared" si="142"/>
        <v>112.5</v>
      </c>
      <c r="K345" s="31">
        <v>0.58333333333333337</v>
      </c>
      <c r="L345" s="31">
        <v>0.9375</v>
      </c>
      <c r="M345" s="32">
        <f t="shared" si="140"/>
        <v>0.35416666666666663</v>
      </c>
      <c r="N345" s="36">
        <v>510</v>
      </c>
      <c r="O345" s="36">
        <f t="shared" si="141"/>
        <v>260</v>
      </c>
      <c r="P345" s="36">
        <f t="shared" si="139"/>
        <v>260</v>
      </c>
      <c r="Q345" s="15">
        <v>0</v>
      </c>
      <c r="R345" s="20">
        <v>0</v>
      </c>
      <c r="S345" s="16">
        <v>0</v>
      </c>
      <c r="T345" s="16">
        <v>0</v>
      </c>
      <c r="U345" s="20">
        <v>0</v>
      </c>
      <c r="V345" s="20">
        <v>0</v>
      </c>
      <c r="W345" s="20">
        <v>0</v>
      </c>
      <c r="X345" s="20">
        <v>0</v>
      </c>
      <c r="Y345" s="20">
        <v>0</v>
      </c>
      <c r="Z345" s="20">
        <v>0</v>
      </c>
      <c r="AA345" s="20">
        <v>0</v>
      </c>
      <c r="AB345" s="20">
        <v>0</v>
      </c>
      <c r="AC345" s="15">
        <f t="shared" si="144"/>
        <v>0</v>
      </c>
      <c r="AD345" s="15">
        <v>0</v>
      </c>
      <c r="AE345" s="15">
        <v>0</v>
      </c>
      <c r="AF345" s="15">
        <v>0</v>
      </c>
      <c r="AG345" s="15">
        <v>180</v>
      </c>
      <c r="AH345" s="15">
        <v>0</v>
      </c>
      <c r="AI345" s="15">
        <v>30</v>
      </c>
      <c r="AJ345" s="15">
        <v>10</v>
      </c>
      <c r="AK345" s="15">
        <v>30</v>
      </c>
      <c r="AL345" s="15">
        <f t="shared" si="143"/>
        <v>250</v>
      </c>
      <c r="AM345" s="29">
        <f t="shared" si="138"/>
        <v>487.5</v>
      </c>
      <c r="AN345" s="19">
        <v>340</v>
      </c>
      <c r="AO345" s="21">
        <v>0</v>
      </c>
      <c r="AP345" s="22">
        <v>1</v>
      </c>
      <c r="AQ345" s="26">
        <f t="shared" si="112"/>
        <v>339</v>
      </c>
      <c r="AR345" s="37">
        <f t="shared" si="134"/>
        <v>1</v>
      </c>
      <c r="AS345" s="38">
        <f t="shared" si="135"/>
        <v>0.6974358974358974</v>
      </c>
      <c r="AT345" s="38">
        <f t="shared" si="136"/>
        <v>0.99705882352941178</v>
      </c>
      <c r="AU345" s="27">
        <f t="shared" si="137"/>
        <v>0.69538461538461538</v>
      </c>
    </row>
    <row r="346" spans="1:47" s="1" customFormat="1" ht="21" customHeight="1" x14ac:dyDescent="0.25">
      <c r="A346" s="109">
        <v>46045</v>
      </c>
      <c r="B346" s="47" t="s">
        <v>49</v>
      </c>
      <c r="C346" s="79" t="s">
        <v>51</v>
      </c>
      <c r="D346" s="47" t="s">
        <v>86</v>
      </c>
      <c r="E346" s="48">
        <v>98992</v>
      </c>
      <c r="F346" s="48" t="s">
        <v>176</v>
      </c>
      <c r="G346" s="48" t="s">
        <v>87</v>
      </c>
      <c r="H346" s="30">
        <v>15688</v>
      </c>
      <c r="I346" s="30">
        <v>20</v>
      </c>
      <c r="J346" s="28">
        <f t="shared" si="142"/>
        <v>180</v>
      </c>
      <c r="K346" s="31">
        <v>0.58333333333333337</v>
      </c>
      <c r="L346" s="31">
        <v>0.9375</v>
      </c>
      <c r="M346" s="32">
        <f t="shared" si="140"/>
        <v>0.35416666666666663</v>
      </c>
      <c r="N346" s="36">
        <v>510</v>
      </c>
      <c r="O346" s="36">
        <f t="shared" si="141"/>
        <v>200</v>
      </c>
      <c r="P346" s="36">
        <f t="shared" si="139"/>
        <v>200</v>
      </c>
      <c r="Q346" s="15">
        <v>0</v>
      </c>
      <c r="R346" s="20">
        <v>0</v>
      </c>
      <c r="S346" s="16">
        <v>0</v>
      </c>
      <c r="T346" s="16">
        <v>0</v>
      </c>
      <c r="U346" s="20">
        <v>0</v>
      </c>
      <c r="V346" s="20">
        <v>0</v>
      </c>
      <c r="W346" s="20">
        <v>0</v>
      </c>
      <c r="X346" s="20">
        <v>0</v>
      </c>
      <c r="Y346" s="20">
        <v>0</v>
      </c>
      <c r="Z346" s="20">
        <v>0</v>
      </c>
      <c r="AA346" s="20">
        <v>0</v>
      </c>
      <c r="AB346" s="20">
        <v>0</v>
      </c>
      <c r="AC346" s="15">
        <f t="shared" si="144"/>
        <v>0</v>
      </c>
      <c r="AD346" s="15">
        <v>0</v>
      </c>
      <c r="AE346" s="15">
        <v>0</v>
      </c>
      <c r="AF346" s="15">
        <v>0</v>
      </c>
      <c r="AG346" s="15">
        <v>240</v>
      </c>
      <c r="AH346" s="15">
        <v>0</v>
      </c>
      <c r="AI346" s="15">
        <v>30</v>
      </c>
      <c r="AJ346" s="15">
        <v>10</v>
      </c>
      <c r="AK346" s="15">
        <v>30</v>
      </c>
      <c r="AL346" s="15">
        <f t="shared" si="143"/>
        <v>310</v>
      </c>
      <c r="AM346" s="29">
        <f t="shared" si="138"/>
        <v>600</v>
      </c>
      <c r="AN346" s="19">
        <v>432</v>
      </c>
      <c r="AO346" s="21">
        <v>0</v>
      </c>
      <c r="AP346" s="22">
        <v>0</v>
      </c>
      <c r="AQ346" s="26">
        <f t="shared" si="112"/>
        <v>432</v>
      </c>
      <c r="AR346" s="37">
        <f t="shared" si="134"/>
        <v>1</v>
      </c>
      <c r="AS346" s="38">
        <f t="shared" si="135"/>
        <v>0.72</v>
      </c>
      <c r="AT346" s="38">
        <f t="shared" si="136"/>
        <v>1</v>
      </c>
      <c r="AU346" s="27">
        <f t="shared" si="137"/>
        <v>0.72</v>
      </c>
    </row>
    <row r="347" spans="1:47" s="1" customFormat="1" ht="21" customHeight="1" x14ac:dyDescent="0.25">
      <c r="A347" s="109">
        <v>46045</v>
      </c>
      <c r="B347" s="47" t="s">
        <v>49</v>
      </c>
      <c r="C347" s="79" t="s">
        <v>51</v>
      </c>
      <c r="D347" s="47" t="s">
        <v>172</v>
      </c>
      <c r="E347" s="48">
        <v>98992</v>
      </c>
      <c r="F347" s="48" t="s">
        <v>175</v>
      </c>
      <c r="G347" s="48" t="s">
        <v>87</v>
      </c>
      <c r="H347" s="30">
        <v>15679</v>
      </c>
      <c r="I347" s="30">
        <v>20</v>
      </c>
      <c r="J347" s="28">
        <f t="shared" si="142"/>
        <v>180</v>
      </c>
      <c r="K347" s="31">
        <v>0.58333333333333337</v>
      </c>
      <c r="L347" s="31">
        <v>0.9375</v>
      </c>
      <c r="M347" s="32">
        <f t="shared" si="140"/>
        <v>0.35416666666666663</v>
      </c>
      <c r="N347" s="36">
        <v>510</v>
      </c>
      <c r="O347" s="36">
        <f t="shared" si="141"/>
        <v>200</v>
      </c>
      <c r="P347" s="36">
        <f t="shared" si="139"/>
        <v>200</v>
      </c>
      <c r="Q347" s="15">
        <v>0</v>
      </c>
      <c r="R347" s="20">
        <v>0</v>
      </c>
      <c r="S347" s="16">
        <v>0</v>
      </c>
      <c r="T347" s="16">
        <v>0</v>
      </c>
      <c r="U347" s="20">
        <v>0</v>
      </c>
      <c r="V347" s="20">
        <v>0</v>
      </c>
      <c r="W347" s="20">
        <v>0</v>
      </c>
      <c r="X347" s="20">
        <v>0</v>
      </c>
      <c r="Y347" s="20">
        <v>0</v>
      </c>
      <c r="Z347" s="20">
        <v>0</v>
      </c>
      <c r="AA347" s="20">
        <v>0</v>
      </c>
      <c r="AB347" s="20">
        <v>0</v>
      </c>
      <c r="AC347" s="15">
        <f t="shared" si="144"/>
        <v>0</v>
      </c>
      <c r="AD347" s="15">
        <v>0</v>
      </c>
      <c r="AE347" s="15">
        <v>0</v>
      </c>
      <c r="AF347" s="15">
        <v>0</v>
      </c>
      <c r="AG347" s="15">
        <v>240</v>
      </c>
      <c r="AH347" s="15">
        <v>0</v>
      </c>
      <c r="AI347" s="15">
        <v>30</v>
      </c>
      <c r="AJ347" s="15">
        <v>10</v>
      </c>
      <c r="AK347" s="15">
        <v>30</v>
      </c>
      <c r="AL347" s="15">
        <f t="shared" si="143"/>
        <v>310</v>
      </c>
      <c r="AM347" s="29">
        <f t="shared" si="138"/>
        <v>600</v>
      </c>
      <c r="AN347" s="19">
        <v>300</v>
      </c>
      <c r="AO347" s="21">
        <v>0</v>
      </c>
      <c r="AP347" s="22">
        <v>0</v>
      </c>
      <c r="AQ347" s="26">
        <f t="shared" si="112"/>
        <v>300</v>
      </c>
      <c r="AR347" s="37">
        <f t="shared" si="134"/>
        <v>1</v>
      </c>
      <c r="AS347" s="38">
        <f t="shared" si="135"/>
        <v>0.5</v>
      </c>
      <c r="AT347" s="38">
        <f t="shared" si="136"/>
        <v>1</v>
      </c>
      <c r="AU347" s="27">
        <f t="shared" si="137"/>
        <v>0.5</v>
      </c>
    </row>
    <row r="348" spans="1:47" s="1" customFormat="1" ht="21" customHeight="1" x14ac:dyDescent="0.25">
      <c r="A348" s="109">
        <v>46045</v>
      </c>
      <c r="B348" s="47" t="s">
        <v>49</v>
      </c>
      <c r="C348" s="79" t="s">
        <v>51</v>
      </c>
      <c r="D348" s="47" t="s">
        <v>124</v>
      </c>
      <c r="E348" s="48">
        <v>98992</v>
      </c>
      <c r="F348" s="48" t="s">
        <v>215</v>
      </c>
      <c r="G348" s="48" t="s">
        <v>125</v>
      </c>
      <c r="H348" s="30">
        <v>14972</v>
      </c>
      <c r="I348" s="30">
        <v>32</v>
      </c>
      <c r="J348" s="28">
        <f t="shared" si="142"/>
        <v>112.5</v>
      </c>
      <c r="K348" s="31">
        <v>0.58333333333333337</v>
      </c>
      <c r="L348" s="31">
        <v>0.9375</v>
      </c>
      <c r="M348" s="32">
        <f t="shared" si="140"/>
        <v>0.35416666666666663</v>
      </c>
      <c r="N348" s="36">
        <v>510</v>
      </c>
      <c r="O348" s="36">
        <f t="shared" si="141"/>
        <v>380</v>
      </c>
      <c r="P348" s="36">
        <f t="shared" si="139"/>
        <v>380</v>
      </c>
      <c r="Q348" s="15">
        <v>0</v>
      </c>
      <c r="R348" s="20">
        <v>0</v>
      </c>
      <c r="S348" s="16">
        <v>0</v>
      </c>
      <c r="T348" s="16">
        <v>0</v>
      </c>
      <c r="U348" s="20">
        <v>0</v>
      </c>
      <c r="V348" s="20">
        <v>0</v>
      </c>
      <c r="W348" s="20">
        <v>0</v>
      </c>
      <c r="X348" s="20">
        <v>0</v>
      </c>
      <c r="Y348" s="20">
        <v>0</v>
      </c>
      <c r="Z348" s="20">
        <v>0</v>
      </c>
      <c r="AA348" s="20">
        <v>0</v>
      </c>
      <c r="AB348" s="20">
        <v>0</v>
      </c>
      <c r="AC348" s="15">
        <f t="shared" si="144"/>
        <v>0</v>
      </c>
      <c r="AD348" s="15">
        <v>0</v>
      </c>
      <c r="AE348" s="15">
        <v>0</v>
      </c>
      <c r="AF348" s="15">
        <v>0</v>
      </c>
      <c r="AG348" s="15">
        <v>60</v>
      </c>
      <c r="AH348" s="15">
        <v>0</v>
      </c>
      <c r="AI348" s="15">
        <v>30</v>
      </c>
      <c r="AJ348" s="15">
        <v>10</v>
      </c>
      <c r="AK348" s="15">
        <v>30</v>
      </c>
      <c r="AL348" s="15">
        <f t="shared" si="143"/>
        <v>130</v>
      </c>
      <c r="AM348" s="29">
        <f t="shared" si="138"/>
        <v>712.5</v>
      </c>
      <c r="AN348" s="19">
        <v>680</v>
      </c>
      <c r="AO348" s="21">
        <v>0</v>
      </c>
      <c r="AP348" s="22">
        <v>5</v>
      </c>
      <c r="AQ348" s="26">
        <f t="shared" si="112"/>
        <v>675</v>
      </c>
      <c r="AR348" s="37">
        <f t="shared" si="134"/>
        <v>1</v>
      </c>
      <c r="AS348" s="38">
        <f t="shared" si="135"/>
        <v>0.95438596491228067</v>
      </c>
      <c r="AT348" s="38">
        <f t="shared" si="136"/>
        <v>0.99264705882352944</v>
      </c>
      <c r="AU348" s="27">
        <f t="shared" si="137"/>
        <v>0.94736842105263153</v>
      </c>
    </row>
    <row r="349" spans="1:47" s="1" customFormat="1" ht="21" customHeight="1" x14ac:dyDescent="0.25">
      <c r="A349" s="109">
        <v>46045</v>
      </c>
      <c r="B349" s="47" t="s">
        <v>49</v>
      </c>
      <c r="C349" s="79" t="s">
        <v>51</v>
      </c>
      <c r="D349" s="47" t="s">
        <v>122</v>
      </c>
      <c r="E349" s="48">
        <v>98992</v>
      </c>
      <c r="F349" s="48" t="s">
        <v>169</v>
      </c>
      <c r="G349" s="48" t="s">
        <v>125</v>
      </c>
      <c r="H349" s="30">
        <v>15672</v>
      </c>
      <c r="I349" s="30">
        <v>32</v>
      </c>
      <c r="J349" s="28">
        <f t="shared" si="142"/>
        <v>112.5</v>
      </c>
      <c r="K349" s="31">
        <v>0.58333333333333337</v>
      </c>
      <c r="L349" s="31">
        <v>0.9375</v>
      </c>
      <c r="M349" s="32">
        <f t="shared" si="140"/>
        <v>0.35416666666666663</v>
      </c>
      <c r="N349" s="36">
        <v>510</v>
      </c>
      <c r="O349" s="36">
        <f t="shared" si="141"/>
        <v>320</v>
      </c>
      <c r="P349" s="36">
        <f t="shared" si="139"/>
        <v>320</v>
      </c>
      <c r="Q349" s="15">
        <v>0</v>
      </c>
      <c r="R349" s="20">
        <v>0</v>
      </c>
      <c r="S349" s="16">
        <v>0</v>
      </c>
      <c r="T349" s="16">
        <v>0</v>
      </c>
      <c r="U349" s="20">
        <v>0</v>
      </c>
      <c r="V349" s="20">
        <v>0</v>
      </c>
      <c r="W349" s="20">
        <v>0</v>
      </c>
      <c r="X349" s="20">
        <v>0</v>
      </c>
      <c r="Y349" s="20">
        <v>0</v>
      </c>
      <c r="Z349" s="20">
        <v>0</v>
      </c>
      <c r="AA349" s="20">
        <v>0</v>
      </c>
      <c r="AB349" s="20">
        <v>0</v>
      </c>
      <c r="AC349" s="15">
        <f t="shared" si="144"/>
        <v>0</v>
      </c>
      <c r="AD349" s="15">
        <v>0</v>
      </c>
      <c r="AE349" s="15">
        <v>0</v>
      </c>
      <c r="AF349" s="15">
        <v>0</v>
      </c>
      <c r="AG349" s="15">
        <v>120</v>
      </c>
      <c r="AH349" s="15">
        <v>0</v>
      </c>
      <c r="AI349" s="15">
        <v>30</v>
      </c>
      <c r="AJ349" s="15">
        <v>10</v>
      </c>
      <c r="AK349" s="15">
        <v>30</v>
      </c>
      <c r="AL349" s="15">
        <f t="shared" si="143"/>
        <v>190</v>
      </c>
      <c r="AM349" s="29">
        <f t="shared" si="138"/>
        <v>600</v>
      </c>
      <c r="AN349" s="19">
        <v>502</v>
      </c>
      <c r="AO349" s="21">
        <v>0</v>
      </c>
      <c r="AP349" s="22">
        <v>3</v>
      </c>
      <c r="AQ349" s="26">
        <f t="shared" si="112"/>
        <v>499</v>
      </c>
      <c r="AR349" s="37">
        <f t="shared" si="134"/>
        <v>1</v>
      </c>
      <c r="AS349" s="38">
        <f t="shared" si="135"/>
        <v>0.83666666666666667</v>
      </c>
      <c r="AT349" s="38">
        <f t="shared" si="136"/>
        <v>0.99402390438247012</v>
      </c>
      <c r="AU349" s="27">
        <f t="shared" si="137"/>
        <v>0.83166666666666667</v>
      </c>
    </row>
    <row r="350" spans="1:47" s="1" customFormat="1" ht="21" customHeight="1" x14ac:dyDescent="0.25">
      <c r="A350" s="109">
        <v>46045</v>
      </c>
      <c r="B350" s="47" t="s">
        <v>49</v>
      </c>
      <c r="C350" s="79" t="s">
        <v>51</v>
      </c>
      <c r="D350" s="47" t="s">
        <v>128</v>
      </c>
      <c r="E350" s="48">
        <v>98992</v>
      </c>
      <c r="F350" s="48" t="s">
        <v>53</v>
      </c>
      <c r="G350" s="48" t="s">
        <v>125</v>
      </c>
      <c r="H350" s="30">
        <v>15632</v>
      </c>
      <c r="I350" s="30">
        <v>32</v>
      </c>
      <c r="J350" s="28">
        <f t="shared" si="142"/>
        <v>112.5</v>
      </c>
      <c r="K350" s="31">
        <v>0.58333333333333337</v>
      </c>
      <c r="L350" s="31">
        <v>0.9375</v>
      </c>
      <c r="M350" s="32">
        <f t="shared" si="140"/>
        <v>0.35416666666666663</v>
      </c>
      <c r="N350" s="36">
        <v>510</v>
      </c>
      <c r="O350" s="36">
        <f t="shared" si="141"/>
        <v>380</v>
      </c>
      <c r="P350" s="36">
        <f t="shared" si="139"/>
        <v>380</v>
      </c>
      <c r="Q350" s="15">
        <v>0</v>
      </c>
      <c r="R350" s="20">
        <v>0</v>
      </c>
      <c r="S350" s="16">
        <v>0</v>
      </c>
      <c r="T350" s="16">
        <v>0</v>
      </c>
      <c r="U350" s="20">
        <v>0</v>
      </c>
      <c r="V350" s="20">
        <v>0</v>
      </c>
      <c r="W350" s="20">
        <v>0</v>
      </c>
      <c r="X350" s="20">
        <v>0</v>
      </c>
      <c r="Y350" s="20">
        <v>0</v>
      </c>
      <c r="Z350" s="20">
        <v>0</v>
      </c>
      <c r="AA350" s="20">
        <v>0</v>
      </c>
      <c r="AB350" s="20">
        <v>0</v>
      </c>
      <c r="AC350" s="15">
        <f t="shared" si="144"/>
        <v>0</v>
      </c>
      <c r="AD350" s="15">
        <v>0</v>
      </c>
      <c r="AE350" s="15">
        <v>0</v>
      </c>
      <c r="AF350" s="15">
        <v>0</v>
      </c>
      <c r="AG350" s="15">
        <v>60</v>
      </c>
      <c r="AH350" s="15">
        <v>0</v>
      </c>
      <c r="AI350" s="15">
        <v>30</v>
      </c>
      <c r="AJ350" s="15">
        <v>10</v>
      </c>
      <c r="AK350" s="15">
        <v>30</v>
      </c>
      <c r="AL350" s="15">
        <f t="shared" si="143"/>
        <v>130</v>
      </c>
      <c r="AM350" s="29">
        <f t="shared" si="138"/>
        <v>712.5</v>
      </c>
      <c r="AN350" s="19">
        <v>550</v>
      </c>
      <c r="AO350" s="21">
        <v>0</v>
      </c>
      <c r="AP350" s="22">
        <v>2</v>
      </c>
      <c r="AQ350" s="26">
        <f t="shared" si="112"/>
        <v>548</v>
      </c>
      <c r="AR350" s="37">
        <f t="shared" si="134"/>
        <v>1</v>
      </c>
      <c r="AS350" s="38">
        <f t="shared" si="135"/>
        <v>0.77192982456140347</v>
      </c>
      <c r="AT350" s="38">
        <f t="shared" si="136"/>
        <v>0.99636363636363634</v>
      </c>
      <c r="AU350" s="27">
        <f t="shared" si="137"/>
        <v>0.76912280701754376</v>
      </c>
    </row>
    <row r="351" spans="1:47" s="1" customFormat="1" ht="21" customHeight="1" x14ac:dyDescent="0.25">
      <c r="A351" s="109">
        <v>46045</v>
      </c>
      <c r="B351" s="47" t="s">
        <v>49</v>
      </c>
      <c r="C351" s="79" t="s">
        <v>51</v>
      </c>
      <c r="D351" s="47" t="s">
        <v>170</v>
      </c>
      <c r="E351" s="48">
        <v>98992</v>
      </c>
      <c r="F351" s="48" t="s">
        <v>176</v>
      </c>
      <c r="G351" s="48" t="s">
        <v>125</v>
      </c>
      <c r="H351" s="30">
        <v>16146</v>
      </c>
      <c r="I351" s="30">
        <v>20</v>
      </c>
      <c r="J351" s="28">
        <f t="shared" si="142"/>
        <v>180</v>
      </c>
      <c r="K351" s="31">
        <v>0.58333333333333337</v>
      </c>
      <c r="L351" s="31">
        <v>0.9375</v>
      </c>
      <c r="M351" s="32">
        <f t="shared" si="140"/>
        <v>0.35416666666666663</v>
      </c>
      <c r="N351" s="36">
        <v>510</v>
      </c>
      <c r="O351" s="36">
        <f t="shared" si="141"/>
        <v>320</v>
      </c>
      <c r="P351" s="36">
        <f t="shared" si="139"/>
        <v>320</v>
      </c>
      <c r="Q351" s="15">
        <v>0</v>
      </c>
      <c r="R351" s="20">
        <v>0</v>
      </c>
      <c r="S351" s="16">
        <v>0</v>
      </c>
      <c r="T351" s="16">
        <v>0</v>
      </c>
      <c r="U351" s="20">
        <v>0</v>
      </c>
      <c r="V351" s="20">
        <v>0</v>
      </c>
      <c r="W351" s="20">
        <v>0</v>
      </c>
      <c r="X351" s="20">
        <v>0</v>
      </c>
      <c r="Y351" s="20">
        <v>0</v>
      </c>
      <c r="Z351" s="20">
        <v>0</v>
      </c>
      <c r="AA351" s="20">
        <v>0</v>
      </c>
      <c r="AB351" s="20">
        <v>0</v>
      </c>
      <c r="AC351" s="15">
        <f t="shared" si="144"/>
        <v>0</v>
      </c>
      <c r="AD351" s="15">
        <v>0</v>
      </c>
      <c r="AE351" s="15">
        <v>0</v>
      </c>
      <c r="AF351" s="15">
        <v>0</v>
      </c>
      <c r="AG351" s="15">
        <v>120</v>
      </c>
      <c r="AH351" s="15">
        <v>0</v>
      </c>
      <c r="AI351" s="15">
        <v>30</v>
      </c>
      <c r="AJ351" s="15">
        <v>10</v>
      </c>
      <c r="AK351" s="15">
        <v>30</v>
      </c>
      <c r="AL351" s="15">
        <f t="shared" si="143"/>
        <v>190</v>
      </c>
      <c r="AM351" s="29">
        <f t="shared" si="138"/>
        <v>960</v>
      </c>
      <c r="AN351" s="19">
        <v>792</v>
      </c>
      <c r="AO351" s="21">
        <v>0</v>
      </c>
      <c r="AP351" s="22">
        <v>0</v>
      </c>
      <c r="AQ351" s="26">
        <f t="shared" si="112"/>
        <v>792</v>
      </c>
      <c r="AR351" s="37">
        <f t="shared" si="134"/>
        <v>1</v>
      </c>
      <c r="AS351" s="38">
        <f t="shared" si="135"/>
        <v>0.82499999999999996</v>
      </c>
      <c r="AT351" s="38">
        <f t="shared" si="136"/>
        <v>1</v>
      </c>
      <c r="AU351" s="27">
        <f t="shared" si="137"/>
        <v>0.82499999999999996</v>
      </c>
    </row>
    <row r="352" spans="1:47" s="1" customFormat="1" ht="21" customHeight="1" x14ac:dyDescent="0.25">
      <c r="A352" s="109">
        <v>46045</v>
      </c>
      <c r="B352" s="47" t="s">
        <v>49</v>
      </c>
      <c r="C352" s="79" t="s">
        <v>51</v>
      </c>
      <c r="D352" s="47" t="s">
        <v>127</v>
      </c>
      <c r="E352" s="48">
        <v>98992</v>
      </c>
      <c r="F352" s="48" t="s">
        <v>175</v>
      </c>
      <c r="G352" s="48" t="s">
        <v>125</v>
      </c>
      <c r="H352" s="30">
        <v>16000</v>
      </c>
      <c r="I352" s="30">
        <v>20</v>
      </c>
      <c r="J352" s="28">
        <f t="shared" si="142"/>
        <v>180</v>
      </c>
      <c r="K352" s="31">
        <v>0.58333333333333337</v>
      </c>
      <c r="L352" s="31">
        <v>0.9375</v>
      </c>
      <c r="M352" s="32">
        <f t="shared" si="140"/>
        <v>0.35416666666666663</v>
      </c>
      <c r="N352" s="36">
        <v>510</v>
      </c>
      <c r="O352" s="36">
        <f t="shared" si="141"/>
        <v>260</v>
      </c>
      <c r="P352" s="36">
        <f t="shared" si="139"/>
        <v>260</v>
      </c>
      <c r="Q352" s="15">
        <v>0</v>
      </c>
      <c r="R352" s="20">
        <v>0</v>
      </c>
      <c r="S352" s="16">
        <v>0</v>
      </c>
      <c r="T352" s="16">
        <v>0</v>
      </c>
      <c r="U352" s="20">
        <v>0</v>
      </c>
      <c r="V352" s="20">
        <v>0</v>
      </c>
      <c r="W352" s="20">
        <v>0</v>
      </c>
      <c r="X352" s="20">
        <v>0</v>
      </c>
      <c r="Y352" s="20">
        <v>0</v>
      </c>
      <c r="Z352" s="20">
        <v>0</v>
      </c>
      <c r="AA352" s="20">
        <v>0</v>
      </c>
      <c r="AB352" s="20">
        <v>0</v>
      </c>
      <c r="AC352" s="15">
        <f t="shared" si="144"/>
        <v>0</v>
      </c>
      <c r="AD352" s="15">
        <v>0</v>
      </c>
      <c r="AE352" s="15">
        <v>0</v>
      </c>
      <c r="AF352" s="15">
        <v>0</v>
      </c>
      <c r="AG352" s="15">
        <v>180</v>
      </c>
      <c r="AH352" s="15">
        <v>0</v>
      </c>
      <c r="AI352" s="15">
        <v>30</v>
      </c>
      <c r="AJ352" s="15">
        <v>10</v>
      </c>
      <c r="AK352" s="15">
        <v>30</v>
      </c>
      <c r="AL352" s="15">
        <f t="shared" si="143"/>
        <v>250</v>
      </c>
      <c r="AM352" s="29">
        <f t="shared" si="138"/>
        <v>780</v>
      </c>
      <c r="AN352" s="19">
        <v>408</v>
      </c>
      <c r="AO352" s="21">
        <v>0</v>
      </c>
      <c r="AP352" s="22">
        <v>0</v>
      </c>
      <c r="AQ352" s="26">
        <f t="shared" si="112"/>
        <v>408</v>
      </c>
      <c r="AR352" s="37">
        <f t="shared" si="134"/>
        <v>1</v>
      </c>
      <c r="AS352" s="38">
        <f t="shared" si="135"/>
        <v>0.52307692307692311</v>
      </c>
      <c r="AT352" s="38">
        <f t="shared" si="136"/>
        <v>1</v>
      </c>
      <c r="AU352" s="27">
        <f t="shared" si="137"/>
        <v>0.52307692307692311</v>
      </c>
    </row>
    <row r="353" spans="1:47" s="1" customFormat="1" ht="21" customHeight="1" x14ac:dyDescent="0.25">
      <c r="A353" s="109">
        <v>46046</v>
      </c>
      <c r="B353" s="47" t="s">
        <v>49</v>
      </c>
      <c r="C353" s="79" t="s">
        <v>21</v>
      </c>
      <c r="D353" s="47" t="s">
        <v>94</v>
      </c>
      <c r="E353" s="48">
        <v>98992</v>
      </c>
      <c r="F353" s="48" t="s">
        <v>67</v>
      </c>
      <c r="G353" s="48" t="s">
        <v>174</v>
      </c>
      <c r="H353" s="30">
        <v>15726</v>
      </c>
      <c r="I353" s="30">
        <v>24</v>
      </c>
      <c r="J353" s="28">
        <f t="shared" si="142"/>
        <v>150</v>
      </c>
      <c r="K353" s="31">
        <v>0.25</v>
      </c>
      <c r="L353" s="31">
        <v>0.60416666666666696</v>
      </c>
      <c r="M353" s="32">
        <f t="shared" si="140"/>
        <v>0.35416666666666696</v>
      </c>
      <c r="N353" s="36">
        <v>510</v>
      </c>
      <c r="O353" s="36">
        <f t="shared" si="141"/>
        <v>440</v>
      </c>
      <c r="P353" s="36">
        <f t="shared" si="139"/>
        <v>440</v>
      </c>
      <c r="Q353" s="15">
        <v>0</v>
      </c>
      <c r="R353" s="20">
        <v>0</v>
      </c>
      <c r="S353" s="16">
        <v>0</v>
      </c>
      <c r="T353" s="16">
        <v>0</v>
      </c>
      <c r="U353" s="20">
        <v>0</v>
      </c>
      <c r="V353" s="20">
        <v>0</v>
      </c>
      <c r="W353" s="20">
        <v>0</v>
      </c>
      <c r="X353" s="20">
        <v>0</v>
      </c>
      <c r="Y353" s="20">
        <v>0</v>
      </c>
      <c r="Z353" s="20">
        <v>0</v>
      </c>
      <c r="AA353" s="20">
        <v>0</v>
      </c>
      <c r="AB353" s="20">
        <v>0</v>
      </c>
      <c r="AC353" s="15">
        <f t="shared" si="144"/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30</v>
      </c>
      <c r="AJ353" s="15">
        <v>10</v>
      </c>
      <c r="AK353" s="15">
        <v>30</v>
      </c>
      <c r="AL353" s="15">
        <f t="shared" si="143"/>
        <v>70</v>
      </c>
      <c r="AM353" s="29">
        <f t="shared" si="138"/>
        <v>1100</v>
      </c>
      <c r="AN353" s="19">
        <v>931</v>
      </c>
      <c r="AO353" s="21">
        <v>0</v>
      </c>
      <c r="AP353" s="22">
        <v>121</v>
      </c>
      <c r="AQ353" s="26">
        <f t="shared" si="112"/>
        <v>810</v>
      </c>
      <c r="AR353" s="37">
        <f t="shared" si="134"/>
        <v>1</v>
      </c>
      <c r="AS353" s="38">
        <f t="shared" si="135"/>
        <v>0.84636363636363632</v>
      </c>
      <c r="AT353" s="38">
        <f t="shared" si="136"/>
        <v>0.87003222341568209</v>
      </c>
      <c r="AU353" s="27">
        <f t="shared" si="137"/>
        <v>0.73636363636363633</v>
      </c>
    </row>
    <row r="354" spans="1:47" s="1" customFormat="1" ht="21" customHeight="1" x14ac:dyDescent="0.25">
      <c r="A354" s="109">
        <v>46046</v>
      </c>
      <c r="B354" s="47" t="s">
        <v>49</v>
      </c>
      <c r="C354" s="79" t="s">
        <v>21</v>
      </c>
      <c r="D354" s="47" t="s">
        <v>88</v>
      </c>
      <c r="E354" s="48">
        <v>98992</v>
      </c>
      <c r="F354" s="48" t="s">
        <v>126</v>
      </c>
      <c r="G354" s="48" t="s">
        <v>87</v>
      </c>
      <c r="H354" s="30">
        <v>13106</v>
      </c>
      <c r="I354" s="30">
        <v>32</v>
      </c>
      <c r="J354" s="28">
        <f t="shared" si="142"/>
        <v>112.5</v>
      </c>
      <c r="K354" s="31">
        <v>0.25</v>
      </c>
      <c r="L354" s="31">
        <v>0.60416666666666696</v>
      </c>
      <c r="M354" s="32">
        <f t="shared" si="140"/>
        <v>0.35416666666666696</v>
      </c>
      <c r="N354" s="36">
        <v>510</v>
      </c>
      <c r="O354" s="36">
        <f t="shared" si="141"/>
        <v>380</v>
      </c>
      <c r="P354" s="36">
        <f t="shared" si="139"/>
        <v>380</v>
      </c>
      <c r="Q354" s="15">
        <v>0</v>
      </c>
      <c r="R354" s="20">
        <v>0</v>
      </c>
      <c r="S354" s="16">
        <v>0</v>
      </c>
      <c r="T354" s="16">
        <v>0</v>
      </c>
      <c r="U354" s="20">
        <v>0</v>
      </c>
      <c r="V354" s="20">
        <v>0</v>
      </c>
      <c r="W354" s="20">
        <v>0</v>
      </c>
      <c r="X354" s="20">
        <v>0</v>
      </c>
      <c r="Y354" s="20">
        <v>0</v>
      </c>
      <c r="Z354" s="20">
        <v>0</v>
      </c>
      <c r="AA354" s="20">
        <v>0</v>
      </c>
      <c r="AB354" s="20">
        <v>0</v>
      </c>
      <c r="AC354" s="15">
        <f t="shared" si="144"/>
        <v>0</v>
      </c>
      <c r="AD354" s="15">
        <v>0</v>
      </c>
      <c r="AE354" s="15">
        <v>0</v>
      </c>
      <c r="AF354" s="15">
        <v>0</v>
      </c>
      <c r="AG354" s="15">
        <v>60</v>
      </c>
      <c r="AH354" s="15">
        <v>0</v>
      </c>
      <c r="AI354" s="15">
        <v>30</v>
      </c>
      <c r="AJ354" s="15">
        <v>10</v>
      </c>
      <c r="AK354" s="15">
        <v>30</v>
      </c>
      <c r="AL354" s="15">
        <f t="shared" si="143"/>
        <v>130</v>
      </c>
      <c r="AM354" s="29">
        <f t="shared" si="138"/>
        <v>712.5</v>
      </c>
      <c r="AN354" s="19">
        <v>705</v>
      </c>
      <c r="AO354" s="21">
        <v>0</v>
      </c>
      <c r="AP354" s="22">
        <v>5</v>
      </c>
      <c r="AQ354" s="26">
        <f t="shared" si="112"/>
        <v>700</v>
      </c>
      <c r="AR354" s="37">
        <f t="shared" si="134"/>
        <v>1</v>
      </c>
      <c r="AS354" s="38">
        <f t="shared" si="135"/>
        <v>0.98947368421052628</v>
      </c>
      <c r="AT354" s="38">
        <f t="shared" si="136"/>
        <v>0.99290780141843971</v>
      </c>
      <c r="AU354" s="27">
        <f t="shared" si="137"/>
        <v>0.98245614035087714</v>
      </c>
    </row>
    <row r="355" spans="1:47" s="1" customFormat="1" ht="21" customHeight="1" x14ac:dyDescent="0.25">
      <c r="A355" s="109">
        <v>46046</v>
      </c>
      <c r="B355" s="47" t="s">
        <v>49</v>
      </c>
      <c r="C355" s="79" t="s">
        <v>21</v>
      </c>
      <c r="D355" s="47" t="s">
        <v>89</v>
      </c>
      <c r="E355" s="48">
        <v>98992</v>
      </c>
      <c r="F355" s="48" t="s">
        <v>169</v>
      </c>
      <c r="G355" s="48" t="s">
        <v>87</v>
      </c>
      <c r="H355" s="30">
        <v>16219</v>
      </c>
      <c r="I355" s="30">
        <v>32</v>
      </c>
      <c r="J355" s="28">
        <f t="shared" si="142"/>
        <v>112.5</v>
      </c>
      <c r="K355" s="31">
        <v>0.25</v>
      </c>
      <c r="L355" s="31">
        <v>0.60416666666666696</v>
      </c>
      <c r="M355" s="32">
        <f t="shared" si="140"/>
        <v>0.35416666666666696</v>
      </c>
      <c r="N355" s="36">
        <v>510</v>
      </c>
      <c r="O355" s="36">
        <f t="shared" si="141"/>
        <v>380</v>
      </c>
      <c r="P355" s="36">
        <f t="shared" si="139"/>
        <v>380</v>
      </c>
      <c r="Q355" s="15">
        <v>0</v>
      </c>
      <c r="R355" s="20">
        <v>0</v>
      </c>
      <c r="S355" s="16">
        <v>0</v>
      </c>
      <c r="T355" s="16">
        <v>0</v>
      </c>
      <c r="U355" s="20">
        <v>0</v>
      </c>
      <c r="V355" s="20">
        <v>0</v>
      </c>
      <c r="W355" s="20">
        <v>0</v>
      </c>
      <c r="X355" s="20">
        <v>0</v>
      </c>
      <c r="Y355" s="20">
        <v>0</v>
      </c>
      <c r="Z355" s="20">
        <v>0</v>
      </c>
      <c r="AA355" s="20">
        <v>0</v>
      </c>
      <c r="AB355" s="20">
        <v>0</v>
      </c>
      <c r="AC355" s="15">
        <f t="shared" si="144"/>
        <v>0</v>
      </c>
      <c r="AD355" s="15">
        <v>0</v>
      </c>
      <c r="AE355" s="15">
        <v>0</v>
      </c>
      <c r="AF355" s="15">
        <v>0</v>
      </c>
      <c r="AG355" s="15">
        <v>60</v>
      </c>
      <c r="AH355" s="15">
        <v>0</v>
      </c>
      <c r="AI355" s="15">
        <v>30</v>
      </c>
      <c r="AJ355" s="15">
        <v>10</v>
      </c>
      <c r="AK355" s="15">
        <v>30</v>
      </c>
      <c r="AL355" s="15">
        <f t="shared" si="143"/>
        <v>130</v>
      </c>
      <c r="AM355" s="29">
        <f t="shared" si="138"/>
        <v>712.5</v>
      </c>
      <c r="AN355" s="19">
        <v>620</v>
      </c>
      <c r="AO355" s="21">
        <v>0</v>
      </c>
      <c r="AP355" s="22">
        <v>6</v>
      </c>
      <c r="AQ355" s="26">
        <f t="shared" si="112"/>
        <v>614</v>
      </c>
      <c r="AR355" s="37">
        <f t="shared" si="134"/>
        <v>1</v>
      </c>
      <c r="AS355" s="38">
        <f t="shared" si="135"/>
        <v>0.87017543859649127</v>
      </c>
      <c r="AT355" s="38">
        <f t="shared" si="136"/>
        <v>0.99032258064516132</v>
      </c>
      <c r="AU355" s="27">
        <f t="shared" si="137"/>
        <v>0.86175438596491238</v>
      </c>
    </row>
    <row r="356" spans="1:47" s="1" customFormat="1" ht="21" customHeight="1" x14ac:dyDescent="0.25">
      <c r="A356" s="109">
        <v>46046</v>
      </c>
      <c r="B356" s="47" t="s">
        <v>49</v>
      </c>
      <c r="C356" s="79" t="s">
        <v>21</v>
      </c>
      <c r="D356" s="47" t="s">
        <v>52</v>
      </c>
      <c r="E356" s="48">
        <v>98992</v>
      </c>
      <c r="F356" s="48" t="s">
        <v>53</v>
      </c>
      <c r="G356" s="48" t="s">
        <v>87</v>
      </c>
      <c r="H356" s="30">
        <v>15679</v>
      </c>
      <c r="I356" s="30">
        <v>32</v>
      </c>
      <c r="J356" s="28">
        <f t="shared" si="142"/>
        <v>112.5</v>
      </c>
      <c r="K356" s="31">
        <v>0.25</v>
      </c>
      <c r="L356" s="31">
        <v>0.60416666666666696</v>
      </c>
      <c r="M356" s="32">
        <f t="shared" si="140"/>
        <v>0.35416666666666696</v>
      </c>
      <c r="N356" s="36">
        <v>510</v>
      </c>
      <c r="O356" s="36">
        <f t="shared" si="141"/>
        <v>320</v>
      </c>
      <c r="P356" s="36">
        <f t="shared" si="139"/>
        <v>320</v>
      </c>
      <c r="Q356" s="15">
        <v>0</v>
      </c>
      <c r="R356" s="20">
        <v>0</v>
      </c>
      <c r="S356" s="16">
        <v>0</v>
      </c>
      <c r="T356" s="16">
        <v>0</v>
      </c>
      <c r="U356" s="20">
        <v>0</v>
      </c>
      <c r="V356" s="20">
        <v>0</v>
      </c>
      <c r="W356" s="20">
        <v>0</v>
      </c>
      <c r="X356" s="20">
        <v>0</v>
      </c>
      <c r="Y356" s="20">
        <v>0</v>
      </c>
      <c r="Z356" s="20">
        <v>0</v>
      </c>
      <c r="AA356" s="20">
        <v>0</v>
      </c>
      <c r="AB356" s="20">
        <v>0</v>
      </c>
      <c r="AC356" s="15">
        <f t="shared" si="144"/>
        <v>0</v>
      </c>
      <c r="AD356" s="15">
        <v>0</v>
      </c>
      <c r="AE356" s="15">
        <v>0</v>
      </c>
      <c r="AF356" s="15">
        <v>0</v>
      </c>
      <c r="AG356" s="15">
        <v>120</v>
      </c>
      <c r="AH356" s="15">
        <v>0</v>
      </c>
      <c r="AI356" s="15">
        <v>30</v>
      </c>
      <c r="AJ356" s="15">
        <v>10</v>
      </c>
      <c r="AK356" s="15">
        <v>30</v>
      </c>
      <c r="AL356" s="15">
        <f t="shared" si="143"/>
        <v>190</v>
      </c>
      <c r="AM356" s="29">
        <f t="shared" si="138"/>
        <v>600</v>
      </c>
      <c r="AN356" s="19">
        <v>450</v>
      </c>
      <c r="AO356" s="21">
        <v>0</v>
      </c>
      <c r="AP356" s="22">
        <v>2</v>
      </c>
      <c r="AQ356" s="26">
        <f t="shared" si="112"/>
        <v>448</v>
      </c>
      <c r="AR356" s="37">
        <f t="shared" si="134"/>
        <v>1</v>
      </c>
      <c r="AS356" s="38">
        <f t="shared" si="135"/>
        <v>0.75</v>
      </c>
      <c r="AT356" s="38">
        <f t="shared" si="136"/>
        <v>0.99555555555555553</v>
      </c>
      <c r="AU356" s="27">
        <f t="shared" si="137"/>
        <v>0.74666666666666659</v>
      </c>
    </row>
    <row r="357" spans="1:47" s="1" customFormat="1" ht="21" customHeight="1" x14ac:dyDescent="0.25">
      <c r="A357" s="109">
        <v>46046</v>
      </c>
      <c r="B357" s="47" t="s">
        <v>49</v>
      </c>
      <c r="C357" s="79" t="s">
        <v>21</v>
      </c>
      <c r="D357" s="47" t="s">
        <v>86</v>
      </c>
      <c r="E357" s="48">
        <v>98992</v>
      </c>
      <c r="F357" s="48" t="s">
        <v>176</v>
      </c>
      <c r="G357" s="48" t="s">
        <v>87</v>
      </c>
      <c r="H357" s="30">
        <v>15859</v>
      </c>
      <c r="I357" s="30">
        <v>20</v>
      </c>
      <c r="J357" s="28">
        <f t="shared" si="142"/>
        <v>180</v>
      </c>
      <c r="K357" s="31">
        <v>0.25</v>
      </c>
      <c r="L357" s="31">
        <v>0.60416666666666696</v>
      </c>
      <c r="M357" s="32">
        <f t="shared" si="140"/>
        <v>0.35416666666666696</v>
      </c>
      <c r="N357" s="36">
        <v>510</v>
      </c>
      <c r="O357" s="36">
        <f t="shared" si="141"/>
        <v>140</v>
      </c>
      <c r="P357" s="36">
        <f t="shared" si="139"/>
        <v>140</v>
      </c>
      <c r="Q357" s="15">
        <v>0</v>
      </c>
      <c r="R357" s="20">
        <v>0</v>
      </c>
      <c r="S357" s="16">
        <v>0</v>
      </c>
      <c r="T357" s="16">
        <v>0</v>
      </c>
      <c r="U357" s="20">
        <v>0</v>
      </c>
      <c r="V357" s="20">
        <v>0</v>
      </c>
      <c r="W357" s="20">
        <v>0</v>
      </c>
      <c r="X357" s="20">
        <v>0</v>
      </c>
      <c r="Y357" s="20">
        <v>0</v>
      </c>
      <c r="Z357" s="20">
        <v>0</v>
      </c>
      <c r="AA357" s="20">
        <v>0</v>
      </c>
      <c r="AB357" s="20">
        <v>0</v>
      </c>
      <c r="AC357" s="15">
        <f t="shared" si="144"/>
        <v>0</v>
      </c>
      <c r="AD357" s="15">
        <v>0</v>
      </c>
      <c r="AE357" s="15">
        <v>0</v>
      </c>
      <c r="AF357" s="15">
        <v>0</v>
      </c>
      <c r="AG357" s="15">
        <v>300</v>
      </c>
      <c r="AH357" s="15">
        <v>0</v>
      </c>
      <c r="AI357" s="15">
        <v>30</v>
      </c>
      <c r="AJ357" s="15">
        <v>10</v>
      </c>
      <c r="AK357" s="15">
        <v>30</v>
      </c>
      <c r="AL357" s="15">
        <f t="shared" si="143"/>
        <v>370</v>
      </c>
      <c r="AM357" s="29">
        <f t="shared" si="138"/>
        <v>420</v>
      </c>
      <c r="AN357" s="19">
        <v>336</v>
      </c>
      <c r="AO357" s="21">
        <v>0</v>
      </c>
      <c r="AP357" s="22">
        <v>0</v>
      </c>
      <c r="AQ357" s="26">
        <f t="shared" si="112"/>
        <v>336</v>
      </c>
      <c r="AR357" s="37">
        <f t="shared" si="134"/>
        <v>1</v>
      </c>
      <c r="AS357" s="38">
        <f t="shared" si="135"/>
        <v>0.8</v>
      </c>
      <c r="AT357" s="38">
        <f t="shared" si="136"/>
        <v>1</v>
      </c>
      <c r="AU357" s="27">
        <f t="shared" si="137"/>
        <v>0.8</v>
      </c>
    </row>
    <row r="358" spans="1:47" s="1" customFormat="1" ht="21" customHeight="1" x14ac:dyDescent="0.25">
      <c r="A358" s="109">
        <v>46046</v>
      </c>
      <c r="B358" s="47" t="s">
        <v>49</v>
      </c>
      <c r="C358" s="79" t="s">
        <v>21</v>
      </c>
      <c r="D358" s="47" t="s">
        <v>124</v>
      </c>
      <c r="E358" s="48">
        <v>98992</v>
      </c>
      <c r="F358" s="48" t="s">
        <v>215</v>
      </c>
      <c r="G358" s="48" t="s">
        <v>125</v>
      </c>
      <c r="H358" s="30">
        <v>13105</v>
      </c>
      <c r="I358" s="30">
        <v>32</v>
      </c>
      <c r="J358" s="28">
        <f t="shared" ref="J358:J372" si="145">3600/I358</f>
        <v>112.5</v>
      </c>
      <c r="K358" s="31">
        <v>0.25</v>
      </c>
      <c r="L358" s="31">
        <v>0.60416666666666696</v>
      </c>
      <c r="M358" s="32">
        <f t="shared" si="140"/>
        <v>0.35416666666666696</v>
      </c>
      <c r="N358" s="36">
        <v>510</v>
      </c>
      <c r="O358" s="36">
        <f t="shared" si="141"/>
        <v>440</v>
      </c>
      <c r="P358" s="36">
        <f t="shared" si="139"/>
        <v>440</v>
      </c>
      <c r="Q358" s="15">
        <v>0</v>
      </c>
      <c r="R358" s="20">
        <v>0</v>
      </c>
      <c r="S358" s="16">
        <v>0</v>
      </c>
      <c r="T358" s="16">
        <v>0</v>
      </c>
      <c r="U358" s="20">
        <v>0</v>
      </c>
      <c r="V358" s="20">
        <v>0</v>
      </c>
      <c r="W358" s="20">
        <v>0</v>
      </c>
      <c r="X358" s="20">
        <v>0</v>
      </c>
      <c r="Y358" s="20">
        <v>0</v>
      </c>
      <c r="Z358" s="20">
        <v>0</v>
      </c>
      <c r="AA358" s="20">
        <v>0</v>
      </c>
      <c r="AB358" s="20">
        <v>0</v>
      </c>
      <c r="AC358" s="15">
        <f t="shared" si="144"/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30</v>
      </c>
      <c r="AJ358" s="15">
        <v>10</v>
      </c>
      <c r="AK358" s="15">
        <v>30</v>
      </c>
      <c r="AL358" s="15">
        <f t="shared" si="143"/>
        <v>70</v>
      </c>
      <c r="AM358" s="29">
        <f t="shared" si="138"/>
        <v>825</v>
      </c>
      <c r="AN358" s="19">
        <v>755</v>
      </c>
      <c r="AO358" s="21">
        <v>0</v>
      </c>
      <c r="AP358" s="22">
        <v>8</v>
      </c>
      <c r="AQ358" s="26">
        <f t="shared" si="112"/>
        <v>747</v>
      </c>
      <c r="AR358" s="37">
        <f t="shared" si="134"/>
        <v>1</v>
      </c>
      <c r="AS358" s="38">
        <f t="shared" si="135"/>
        <v>0.91515151515151516</v>
      </c>
      <c r="AT358" s="38">
        <f t="shared" si="136"/>
        <v>0.98940397350993381</v>
      </c>
      <c r="AU358" s="27">
        <f t="shared" si="137"/>
        <v>0.90545454545454551</v>
      </c>
    </row>
    <row r="359" spans="1:47" s="1" customFormat="1" ht="21" customHeight="1" x14ac:dyDescent="0.25">
      <c r="A359" s="109">
        <v>46046</v>
      </c>
      <c r="B359" s="47" t="s">
        <v>49</v>
      </c>
      <c r="C359" s="79" t="s">
        <v>21</v>
      </c>
      <c r="D359" s="47" t="s">
        <v>122</v>
      </c>
      <c r="E359" s="48">
        <v>98992</v>
      </c>
      <c r="F359" s="48" t="s">
        <v>169</v>
      </c>
      <c r="G359" s="48" t="s">
        <v>125</v>
      </c>
      <c r="H359" s="30">
        <v>14957</v>
      </c>
      <c r="I359" s="30">
        <v>32</v>
      </c>
      <c r="J359" s="28">
        <f t="shared" si="145"/>
        <v>112.5</v>
      </c>
      <c r="K359" s="31">
        <v>0.25</v>
      </c>
      <c r="L359" s="31">
        <v>0.60416666666666696</v>
      </c>
      <c r="M359" s="32">
        <f t="shared" si="140"/>
        <v>0.35416666666666696</v>
      </c>
      <c r="N359" s="36">
        <v>510</v>
      </c>
      <c r="O359" s="36">
        <f t="shared" si="141"/>
        <v>380</v>
      </c>
      <c r="P359" s="36">
        <f t="shared" si="139"/>
        <v>380</v>
      </c>
      <c r="Q359" s="15">
        <v>0</v>
      </c>
      <c r="R359" s="20">
        <v>0</v>
      </c>
      <c r="S359" s="16">
        <v>0</v>
      </c>
      <c r="T359" s="16">
        <v>0</v>
      </c>
      <c r="U359" s="20">
        <v>0</v>
      </c>
      <c r="V359" s="20">
        <v>0</v>
      </c>
      <c r="W359" s="20">
        <v>0</v>
      </c>
      <c r="X359" s="20">
        <v>0</v>
      </c>
      <c r="Y359" s="20">
        <v>0</v>
      </c>
      <c r="Z359" s="20">
        <v>0</v>
      </c>
      <c r="AA359" s="20">
        <v>0</v>
      </c>
      <c r="AB359" s="20">
        <v>0</v>
      </c>
      <c r="AC359" s="15">
        <f t="shared" si="144"/>
        <v>0</v>
      </c>
      <c r="AD359" s="15">
        <v>0</v>
      </c>
      <c r="AE359" s="15">
        <v>0</v>
      </c>
      <c r="AF359" s="15">
        <v>0</v>
      </c>
      <c r="AG359" s="15">
        <v>60</v>
      </c>
      <c r="AH359" s="15">
        <v>0</v>
      </c>
      <c r="AI359" s="15">
        <v>30</v>
      </c>
      <c r="AJ359" s="15">
        <v>10</v>
      </c>
      <c r="AK359" s="15">
        <v>30</v>
      </c>
      <c r="AL359" s="15">
        <f t="shared" si="143"/>
        <v>130</v>
      </c>
      <c r="AM359" s="29">
        <f t="shared" si="138"/>
        <v>712.5</v>
      </c>
      <c r="AN359" s="19">
        <v>601</v>
      </c>
      <c r="AO359" s="21">
        <v>0</v>
      </c>
      <c r="AP359" s="22">
        <v>0</v>
      </c>
      <c r="AQ359" s="26">
        <f t="shared" si="112"/>
        <v>601</v>
      </c>
      <c r="AR359" s="37">
        <f t="shared" si="134"/>
        <v>1</v>
      </c>
      <c r="AS359" s="38">
        <f t="shared" si="135"/>
        <v>0.84350877192982454</v>
      </c>
      <c r="AT359" s="38">
        <f t="shared" si="136"/>
        <v>1</v>
      </c>
      <c r="AU359" s="27">
        <f t="shared" si="137"/>
        <v>0.84350877192982454</v>
      </c>
    </row>
    <row r="360" spans="1:47" s="1" customFormat="1" ht="21" customHeight="1" x14ac:dyDescent="0.25">
      <c r="A360" s="109">
        <v>46046</v>
      </c>
      <c r="B360" s="47" t="s">
        <v>49</v>
      </c>
      <c r="C360" s="79" t="s">
        <v>21</v>
      </c>
      <c r="D360" s="47" t="s">
        <v>128</v>
      </c>
      <c r="E360" s="48">
        <v>98992</v>
      </c>
      <c r="F360" s="48" t="s">
        <v>53</v>
      </c>
      <c r="G360" s="48" t="s">
        <v>125</v>
      </c>
      <c r="H360" s="30">
        <v>15731</v>
      </c>
      <c r="I360" s="30">
        <v>32</v>
      </c>
      <c r="J360" s="28">
        <f t="shared" si="145"/>
        <v>112.5</v>
      </c>
      <c r="K360" s="31">
        <v>0.25</v>
      </c>
      <c r="L360" s="31">
        <v>0.60416666666666696</v>
      </c>
      <c r="M360" s="32">
        <f t="shared" si="140"/>
        <v>0.35416666666666696</v>
      </c>
      <c r="N360" s="36">
        <v>510</v>
      </c>
      <c r="O360" s="36">
        <f t="shared" si="141"/>
        <v>380</v>
      </c>
      <c r="P360" s="36">
        <f t="shared" si="139"/>
        <v>380</v>
      </c>
      <c r="Q360" s="15">
        <v>0</v>
      </c>
      <c r="R360" s="20">
        <v>0</v>
      </c>
      <c r="S360" s="16">
        <v>0</v>
      </c>
      <c r="T360" s="16">
        <v>0</v>
      </c>
      <c r="U360" s="20">
        <v>0</v>
      </c>
      <c r="V360" s="20">
        <v>0</v>
      </c>
      <c r="W360" s="20">
        <v>0</v>
      </c>
      <c r="X360" s="20">
        <v>0</v>
      </c>
      <c r="Y360" s="20">
        <v>0</v>
      </c>
      <c r="Z360" s="20">
        <v>0</v>
      </c>
      <c r="AA360" s="20">
        <v>0</v>
      </c>
      <c r="AB360" s="20">
        <v>0</v>
      </c>
      <c r="AC360" s="15">
        <f t="shared" si="144"/>
        <v>0</v>
      </c>
      <c r="AD360" s="15">
        <v>0</v>
      </c>
      <c r="AE360" s="15">
        <v>0</v>
      </c>
      <c r="AF360" s="15">
        <v>0</v>
      </c>
      <c r="AG360" s="15">
        <v>60</v>
      </c>
      <c r="AH360" s="15">
        <v>0</v>
      </c>
      <c r="AI360" s="15">
        <v>30</v>
      </c>
      <c r="AJ360" s="15">
        <v>10</v>
      </c>
      <c r="AK360" s="15">
        <v>30</v>
      </c>
      <c r="AL360" s="15">
        <f t="shared" si="143"/>
        <v>130</v>
      </c>
      <c r="AM360" s="29">
        <f t="shared" si="138"/>
        <v>712.5</v>
      </c>
      <c r="AN360" s="19">
        <v>550</v>
      </c>
      <c r="AO360" s="21">
        <v>0</v>
      </c>
      <c r="AP360" s="22">
        <v>0</v>
      </c>
      <c r="AQ360" s="26">
        <f t="shared" si="112"/>
        <v>550</v>
      </c>
      <c r="AR360" s="37">
        <f t="shared" si="134"/>
        <v>1</v>
      </c>
      <c r="AS360" s="38">
        <f t="shared" si="135"/>
        <v>0.77192982456140347</v>
      </c>
      <c r="AT360" s="38">
        <f t="shared" si="136"/>
        <v>1</v>
      </c>
      <c r="AU360" s="27">
        <f t="shared" si="137"/>
        <v>0.77192982456140347</v>
      </c>
    </row>
    <row r="361" spans="1:47" s="1" customFormat="1" ht="21" customHeight="1" x14ac:dyDescent="0.25">
      <c r="A361" s="109">
        <v>46046</v>
      </c>
      <c r="B361" s="47" t="s">
        <v>49</v>
      </c>
      <c r="C361" s="79" t="s">
        <v>21</v>
      </c>
      <c r="D361" s="47" t="s">
        <v>127</v>
      </c>
      <c r="E361" s="48">
        <v>98992</v>
      </c>
      <c r="F361" s="48" t="s">
        <v>175</v>
      </c>
      <c r="G361" s="48" t="s">
        <v>125</v>
      </c>
      <c r="H361" s="30">
        <v>15857</v>
      </c>
      <c r="I361" s="30">
        <v>20</v>
      </c>
      <c r="J361" s="28">
        <f t="shared" si="145"/>
        <v>180</v>
      </c>
      <c r="K361" s="31">
        <v>0.25</v>
      </c>
      <c r="L361" s="31">
        <v>0.60416666666666696</v>
      </c>
      <c r="M361" s="32">
        <f t="shared" si="140"/>
        <v>0.35416666666666696</v>
      </c>
      <c r="N361" s="36">
        <v>510</v>
      </c>
      <c r="O361" s="36">
        <f t="shared" si="141"/>
        <v>140</v>
      </c>
      <c r="P361" s="36">
        <f t="shared" si="139"/>
        <v>140</v>
      </c>
      <c r="Q361" s="15">
        <v>0</v>
      </c>
      <c r="R361" s="20">
        <v>0</v>
      </c>
      <c r="S361" s="16">
        <v>0</v>
      </c>
      <c r="T361" s="16">
        <v>0</v>
      </c>
      <c r="U361" s="20">
        <v>0</v>
      </c>
      <c r="V361" s="20">
        <v>0</v>
      </c>
      <c r="W361" s="20">
        <v>0</v>
      </c>
      <c r="X361" s="20">
        <v>0</v>
      </c>
      <c r="Y361" s="20">
        <v>0</v>
      </c>
      <c r="Z361" s="20">
        <v>0</v>
      </c>
      <c r="AA361" s="20">
        <v>0</v>
      </c>
      <c r="AB361" s="20">
        <v>0</v>
      </c>
      <c r="AC361" s="15">
        <f t="shared" si="144"/>
        <v>0</v>
      </c>
      <c r="AD361" s="15">
        <v>0</v>
      </c>
      <c r="AE361" s="15">
        <v>0</v>
      </c>
      <c r="AF361" s="15">
        <v>0</v>
      </c>
      <c r="AG361" s="15">
        <v>300</v>
      </c>
      <c r="AH361" s="15">
        <v>0</v>
      </c>
      <c r="AI361" s="15">
        <v>30</v>
      </c>
      <c r="AJ361" s="15">
        <v>10</v>
      </c>
      <c r="AK361" s="15">
        <v>30</v>
      </c>
      <c r="AL361" s="15">
        <f t="shared" si="143"/>
        <v>370</v>
      </c>
      <c r="AM361" s="29">
        <f t="shared" si="138"/>
        <v>420</v>
      </c>
      <c r="AN361" s="19">
        <v>384</v>
      </c>
      <c r="AO361" s="21">
        <v>0</v>
      </c>
      <c r="AP361" s="22">
        <v>0</v>
      </c>
      <c r="AQ361" s="26">
        <f t="shared" si="112"/>
        <v>384</v>
      </c>
      <c r="AR361" s="37">
        <f t="shared" si="134"/>
        <v>1</v>
      </c>
      <c r="AS361" s="38">
        <f t="shared" si="135"/>
        <v>0.91428571428571426</v>
      </c>
      <c r="AT361" s="38">
        <f t="shared" si="136"/>
        <v>1</v>
      </c>
      <c r="AU361" s="27">
        <f t="shared" si="137"/>
        <v>0.91428571428571426</v>
      </c>
    </row>
    <row r="362" spans="1:47" s="1" customFormat="1" ht="21" customHeight="1" x14ac:dyDescent="0.25">
      <c r="A362" s="109">
        <v>46046</v>
      </c>
      <c r="B362" s="47" t="s">
        <v>49</v>
      </c>
      <c r="C362" s="79" t="s">
        <v>21</v>
      </c>
      <c r="D362" s="47" t="s">
        <v>172</v>
      </c>
      <c r="E362" s="48">
        <v>98992</v>
      </c>
      <c r="F362" s="48" t="s">
        <v>175</v>
      </c>
      <c r="G362" s="48" t="s">
        <v>87</v>
      </c>
      <c r="H362" s="30">
        <v>15838</v>
      </c>
      <c r="I362" s="30">
        <v>20</v>
      </c>
      <c r="J362" s="28">
        <f t="shared" si="145"/>
        <v>180</v>
      </c>
      <c r="K362" s="31">
        <v>0.25</v>
      </c>
      <c r="L362" s="31">
        <v>0.60416666666666696</v>
      </c>
      <c r="M362" s="32">
        <f t="shared" si="140"/>
        <v>0.35416666666666696</v>
      </c>
      <c r="N362" s="36">
        <v>510</v>
      </c>
      <c r="O362" s="36">
        <f t="shared" si="141"/>
        <v>320</v>
      </c>
      <c r="P362" s="36">
        <f t="shared" si="139"/>
        <v>320</v>
      </c>
      <c r="Q362" s="15">
        <v>0</v>
      </c>
      <c r="R362" s="20">
        <v>0</v>
      </c>
      <c r="S362" s="16">
        <v>0</v>
      </c>
      <c r="T362" s="16">
        <v>0</v>
      </c>
      <c r="U362" s="20">
        <v>0</v>
      </c>
      <c r="V362" s="20">
        <v>0</v>
      </c>
      <c r="W362" s="20">
        <v>0</v>
      </c>
      <c r="X362" s="20">
        <v>0</v>
      </c>
      <c r="Y362" s="20">
        <v>0</v>
      </c>
      <c r="Z362" s="20">
        <v>0</v>
      </c>
      <c r="AA362" s="20">
        <v>0</v>
      </c>
      <c r="AB362" s="20">
        <v>0</v>
      </c>
      <c r="AC362" s="15">
        <f t="shared" si="144"/>
        <v>0</v>
      </c>
      <c r="AD362" s="15">
        <v>0</v>
      </c>
      <c r="AE362" s="15">
        <v>0</v>
      </c>
      <c r="AF362" s="15">
        <v>0</v>
      </c>
      <c r="AG362" s="15">
        <v>120</v>
      </c>
      <c r="AH362" s="15">
        <v>0</v>
      </c>
      <c r="AI362" s="15">
        <v>30</v>
      </c>
      <c r="AJ362" s="15">
        <v>10</v>
      </c>
      <c r="AK362" s="15">
        <v>30</v>
      </c>
      <c r="AL362" s="15">
        <f t="shared" si="143"/>
        <v>190</v>
      </c>
      <c r="AM362" s="29">
        <f t="shared" si="138"/>
        <v>960</v>
      </c>
      <c r="AN362" s="19">
        <v>600</v>
      </c>
      <c r="AO362" s="21">
        <v>0</v>
      </c>
      <c r="AP362" s="22">
        <v>1</v>
      </c>
      <c r="AQ362" s="26">
        <f t="shared" si="112"/>
        <v>599</v>
      </c>
      <c r="AR362" s="37">
        <f t="shared" si="134"/>
        <v>1</v>
      </c>
      <c r="AS362" s="38">
        <f t="shared" si="135"/>
        <v>0.625</v>
      </c>
      <c r="AT362" s="38">
        <f t="shared" si="136"/>
        <v>0.99833333333333329</v>
      </c>
      <c r="AU362" s="27">
        <f t="shared" si="137"/>
        <v>0.62395833333333328</v>
      </c>
    </row>
    <row r="363" spans="1:47" s="1" customFormat="1" ht="23.1" customHeight="1" x14ac:dyDescent="0.25">
      <c r="A363" s="109">
        <v>46046</v>
      </c>
      <c r="B363" s="47" t="s">
        <v>49</v>
      </c>
      <c r="C363" s="78" t="s">
        <v>51</v>
      </c>
      <c r="D363" s="47" t="s">
        <v>88</v>
      </c>
      <c r="E363" s="48">
        <v>98992</v>
      </c>
      <c r="F363" s="48" t="s">
        <v>126</v>
      </c>
      <c r="G363" s="48" t="s">
        <v>87</v>
      </c>
      <c r="H363" s="30">
        <v>15036</v>
      </c>
      <c r="I363" s="30">
        <v>32</v>
      </c>
      <c r="J363" s="28">
        <f t="shared" si="145"/>
        <v>112.5</v>
      </c>
      <c r="K363" s="31">
        <v>0.58333333333333337</v>
      </c>
      <c r="L363" s="31">
        <v>0.9375</v>
      </c>
      <c r="M363" s="32">
        <f t="shared" si="140"/>
        <v>0.35416666666666663</v>
      </c>
      <c r="N363" s="36">
        <v>510</v>
      </c>
      <c r="O363" s="36">
        <f t="shared" si="141"/>
        <v>200</v>
      </c>
      <c r="P363" s="36">
        <f t="shared" si="139"/>
        <v>200</v>
      </c>
      <c r="Q363" s="15">
        <v>0</v>
      </c>
      <c r="R363" s="20">
        <v>0</v>
      </c>
      <c r="S363" s="16">
        <v>0</v>
      </c>
      <c r="T363" s="16">
        <v>0</v>
      </c>
      <c r="U363" s="20">
        <v>0</v>
      </c>
      <c r="V363" s="20">
        <v>0</v>
      </c>
      <c r="W363" s="20">
        <v>0</v>
      </c>
      <c r="X363" s="20">
        <v>0</v>
      </c>
      <c r="Y363" s="20">
        <v>0</v>
      </c>
      <c r="Z363" s="20">
        <v>0</v>
      </c>
      <c r="AA363" s="20">
        <v>0</v>
      </c>
      <c r="AB363" s="20">
        <v>0</v>
      </c>
      <c r="AC363" s="15">
        <f t="shared" si="144"/>
        <v>0</v>
      </c>
      <c r="AD363" s="15">
        <v>0</v>
      </c>
      <c r="AE363" s="15">
        <v>0</v>
      </c>
      <c r="AF363" s="15">
        <v>0</v>
      </c>
      <c r="AG363" s="15">
        <v>240</v>
      </c>
      <c r="AH363" s="15">
        <v>0</v>
      </c>
      <c r="AI363" s="15">
        <v>30</v>
      </c>
      <c r="AJ363" s="15">
        <v>10</v>
      </c>
      <c r="AK363" s="15">
        <v>30</v>
      </c>
      <c r="AL363" s="15">
        <f t="shared" si="143"/>
        <v>310</v>
      </c>
      <c r="AM363" s="29">
        <f t="shared" si="138"/>
        <v>375</v>
      </c>
      <c r="AN363" s="19">
        <v>224</v>
      </c>
      <c r="AO363" s="21">
        <v>0</v>
      </c>
      <c r="AP363" s="22">
        <v>1</v>
      </c>
      <c r="AQ363" s="26">
        <f t="shared" ref="AQ363:AQ372" si="146">AN363-(AP363+AO363)</f>
        <v>223</v>
      </c>
      <c r="AR363" s="37">
        <f t="shared" si="134"/>
        <v>1</v>
      </c>
      <c r="AS363" s="38">
        <f t="shared" si="135"/>
        <v>0.59733333333333338</v>
      </c>
      <c r="AT363" s="38">
        <f t="shared" si="136"/>
        <v>0.9955357142857143</v>
      </c>
      <c r="AU363" s="27">
        <f t="shared" si="137"/>
        <v>0.59466666666666668</v>
      </c>
    </row>
    <row r="364" spans="1:47" s="1" customFormat="1" ht="23.1" customHeight="1" x14ac:dyDescent="0.25">
      <c r="A364" s="109">
        <v>46046</v>
      </c>
      <c r="B364" s="47" t="s">
        <v>49</v>
      </c>
      <c r="C364" s="78" t="s">
        <v>51</v>
      </c>
      <c r="D364" s="47" t="s">
        <v>89</v>
      </c>
      <c r="E364" s="48">
        <v>98992</v>
      </c>
      <c r="F364" s="48" t="s">
        <v>169</v>
      </c>
      <c r="G364" s="48" t="s">
        <v>87</v>
      </c>
      <c r="H364" s="30">
        <v>11682</v>
      </c>
      <c r="I364" s="30">
        <v>32</v>
      </c>
      <c r="J364" s="28">
        <f t="shared" si="145"/>
        <v>112.5</v>
      </c>
      <c r="K364" s="31">
        <v>0.58333333333333337</v>
      </c>
      <c r="L364" s="31">
        <v>0.9375</v>
      </c>
      <c r="M364" s="32">
        <f t="shared" si="140"/>
        <v>0.35416666666666663</v>
      </c>
      <c r="N364" s="36">
        <v>510</v>
      </c>
      <c r="O364" s="36">
        <f t="shared" si="141"/>
        <v>440</v>
      </c>
      <c r="P364" s="36">
        <f t="shared" si="139"/>
        <v>440</v>
      </c>
      <c r="Q364" s="15">
        <v>0</v>
      </c>
      <c r="R364" s="20">
        <v>0</v>
      </c>
      <c r="S364" s="16">
        <v>0</v>
      </c>
      <c r="T364" s="16">
        <v>0</v>
      </c>
      <c r="U364" s="20">
        <v>0</v>
      </c>
      <c r="V364" s="20">
        <v>0</v>
      </c>
      <c r="W364" s="20">
        <v>0</v>
      </c>
      <c r="X364" s="20">
        <v>0</v>
      </c>
      <c r="Y364" s="20">
        <v>0</v>
      </c>
      <c r="Z364" s="20">
        <v>0</v>
      </c>
      <c r="AA364" s="20">
        <v>0</v>
      </c>
      <c r="AB364" s="20">
        <v>0</v>
      </c>
      <c r="AC364" s="15">
        <f t="shared" si="144"/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30</v>
      </c>
      <c r="AJ364" s="15">
        <v>10</v>
      </c>
      <c r="AK364" s="15">
        <v>30</v>
      </c>
      <c r="AL364" s="15">
        <f t="shared" si="143"/>
        <v>70</v>
      </c>
      <c r="AM364" s="29">
        <f t="shared" si="138"/>
        <v>825</v>
      </c>
      <c r="AN364" s="19">
        <v>670</v>
      </c>
      <c r="AO364" s="21">
        <v>0</v>
      </c>
      <c r="AP364" s="22">
        <v>2</v>
      </c>
      <c r="AQ364" s="26">
        <f t="shared" si="146"/>
        <v>668</v>
      </c>
      <c r="AR364" s="37">
        <f t="shared" si="134"/>
        <v>1</v>
      </c>
      <c r="AS364" s="38">
        <f t="shared" si="135"/>
        <v>0.81212121212121213</v>
      </c>
      <c r="AT364" s="38">
        <f t="shared" si="136"/>
        <v>0.9970149253731343</v>
      </c>
      <c r="AU364" s="27">
        <f t="shared" si="137"/>
        <v>0.80969696969696969</v>
      </c>
    </row>
    <row r="365" spans="1:47" s="1" customFormat="1" ht="23.1" customHeight="1" x14ac:dyDescent="0.25">
      <c r="A365" s="109">
        <v>46046</v>
      </c>
      <c r="B365" s="47" t="s">
        <v>49</v>
      </c>
      <c r="C365" s="78" t="s">
        <v>51</v>
      </c>
      <c r="D365" s="47" t="s">
        <v>52</v>
      </c>
      <c r="E365" s="48">
        <v>98992</v>
      </c>
      <c r="F365" s="48" t="s">
        <v>53</v>
      </c>
      <c r="G365" s="48" t="s">
        <v>87</v>
      </c>
      <c r="H365" s="30">
        <v>16000</v>
      </c>
      <c r="I365" s="30">
        <v>32</v>
      </c>
      <c r="J365" s="28">
        <f t="shared" si="145"/>
        <v>112.5</v>
      </c>
      <c r="K365" s="31">
        <v>0.58333333333333337</v>
      </c>
      <c r="L365" s="31">
        <v>0.9375</v>
      </c>
      <c r="M365" s="32">
        <f t="shared" si="140"/>
        <v>0.35416666666666663</v>
      </c>
      <c r="N365" s="36">
        <v>510</v>
      </c>
      <c r="O365" s="36">
        <f t="shared" si="141"/>
        <v>440</v>
      </c>
      <c r="P365" s="36">
        <f t="shared" si="139"/>
        <v>440</v>
      </c>
      <c r="Q365" s="15">
        <v>0</v>
      </c>
      <c r="R365" s="20">
        <v>0</v>
      </c>
      <c r="S365" s="16">
        <v>0</v>
      </c>
      <c r="T365" s="16">
        <v>0</v>
      </c>
      <c r="U365" s="20">
        <v>0</v>
      </c>
      <c r="V365" s="20">
        <v>0</v>
      </c>
      <c r="W365" s="20">
        <v>0</v>
      </c>
      <c r="X365" s="20">
        <v>0</v>
      </c>
      <c r="Y365" s="20">
        <v>0</v>
      </c>
      <c r="Z365" s="20">
        <v>0</v>
      </c>
      <c r="AA365" s="20">
        <v>0</v>
      </c>
      <c r="AB365" s="20">
        <v>0</v>
      </c>
      <c r="AC365" s="15">
        <f t="shared" si="144"/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30</v>
      </c>
      <c r="AJ365" s="15">
        <v>10</v>
      </c>
      <c r="AK365" s="15">
        <v>30</v>
      </c>
      <c r="AL365" s="15">
        <f t="shared" si="143"/>
        <v>70</v>
      </c>
      <c r="AM365" s="29">
        <f t="shared" si="138"/>
        <v>825</v>
      </c>
      <c r="AN365" s="19">
        <v>630</v>
      </c>
      <c r="AO365" s="21">
        <v>0</v>
      </c>
      <c r="AP365" s="22">
        <v>1</v>
      </c>
      <c r="AQ365" s="26">
        <f t="shared" si="146"/>
        <v>629</v>
      </c>
      <c r="AR365" s="37">
        <f t="shared" si="134"/>
        <v>1</v>
      </c>
      <c r="AS365" s="38">
        <f t="shared" si="135"/>
        <v>0.76363636363636367</v>
      </c>
      <c r="AT365" s="38">
        <f t="shared" si="136"/>
        <v>0.99841269841269842</v>
      </c>
      <c r="AU365" s="27">
        <f t="shared" si="137"/>
        <v>0.76242424242424245</v>
      </c>
    </row>
    <row r="366" spans="1:47" s="1" customFormat="1" ht="23.1" customHeight="1" x14ac:dyDescent="0.25">
      <c r="A366" s="109">
        <v>46046</v>
      </c>
      <c r="B366" s="47" t="s">
        <v>49</v>
      </c>
      <c r="C366" s="78" t="s">
        <v>51</v>
      </c>
      <c r="D366" s="47" t="s">
        <v>86</v>
      </c>
      <c r="E366" s="48">
        <v>98992</v>
      </c>
      <c r="F366" s="48" t="s">
        <v>176</v>
      </c>
      <c r="G366" s="48" t="s">
        <v>87</v>
      </c>
      <c r="H366" s="30">
        <v>15688</v>
      </c>
      <c r="I366" s="30">
        <v>20</v>
      </c>
      <c r="J366" s="28">
        <f t="shared" si="145"/>
        <v>180</v>
      </c>
      <c r="K366" s="31">
        <v>0.58333333333333337</v>
      </c>
      <c r="L366" s="31">
        <v>0.9375</v>
      </c>
      <c r="M366" s="32">
        <f t="shared" si="140"/>
        <v>0.35416666666666663</v>
      </c>
      <c r="N366" s="36">
        <v>510</v>
      </c>
      <c r="O366" s="36">
        <f t="shared" si="141"/>
        <v>440</v>
      </c>
      <c r="P366" s="36">
        <f t="shared" si="139"/>
        <v>440</v>
      </c>
      <c r="Q366" s="15">
        <v>0</v>
      </c>
      <c r="R366" s="20">
        <v>0</v>
      </c>
      <c r="S366" s="16">
        <v>0</v>
      </c>
      <c r="T366" s="16">
        <v>0</v>
      </c>
      <c r="U366" s="20">
        <v>0</v>
      </c>
      <c r="V366" s="20">
        <v>0</v>
      </c>
      <c r="W366" s="20">
        <v>0</v>
      </c>
      <c r="X366" s="20">
        <v>0</v>
      </c>
      <c r="Y366" s="20">
        <v>0</v>
      </c>
      <c r="Z366" s="20">
        <v>0</v>
      </c>
      <c r="AA366" s="20">
        <v>0</v>
      </c>
      <c r="AB366" s="20">
        <v>0</v>
      </c>
      <c r="AC366" s="15">
        <f t="shared" si="144"/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  <c r="AI366" s="15">
        <v>30</v>
      </c>
      <c r="AJ366" s="15">
        <v>10</v>
      </c>
      <c r="AK366" s="15">
        <v>30</v>
      </c>
      <c r="AL366" s="15">
        <f t="shared" si="143"/>
        <v>70</v>
      </c>
      <c r="AM366" s="29">
        <f t="shared" si="138"/>
        <v>1320</v>
      </c>
      <c r="AN366" s="19">
        <v>1010</v>
      </c>
      <c r="AO366" s="21">
        <v>0</v>
      </c>
      <c r="AP366" s="22">
        <v>2</v>
      </c>
      <c r="AQ366" s="26">
        <f t="shared" si="146"/>
        <v>1008</v>
      </c>
      <c r="AR366" s="37">
        <f t="shared" si="134"/>
        <v>1</v>
      </c>
      <c r="AS366" s="38">
        <f t="shared" si="135"/>
        <v>0.76515151515151514</v>
      </c>
      <c r="AT366" s="38">
        <f t="shared" si="136"/>
        <v>0.99801980198019802</v>
      </c>
      <c r="AU366" s="27">
        <f t="shared" si="137"/>
        <v>0.76363636363636367</v>
      </c>
    </row>
    <row r="367" spans="1:47" s="1" customFormat="1" ht="21" customHeight="1" x14ac:dyDescent="0.25">
      <c r="A367" s="109">
        <v>46046</v>
      </c>
      <c r="B367" s="47" t="s">
        <v>49</v>
      </c>
      <c r="C367" s="78" t="s">
        <v>51</v>
      </c>
      <c r="D367" s="47" t="s">
        <v>172</v>
      </c>
      <c r="E367" s="48">
        <v>98992</v>
      </c>
      <c r="F367" s="48" t="s">
        <v>175</v>
      </c>
      <c r="G367" s="48" t="s">
        <v>87</v>
      </c>
      <c r="H367" s="30">
        <v>15882</v>
      </c>
      <c r="I367" s="30">
        <v>20</v>
      </c>
      <c r="J367" s="28">
        <f t="shared" si="145"/>
        <v>180</v>
      </c>
      <c r="K367" s="31">
        <v>0.58333333333333337</v>
      </c>
      <c r="L367" s="31">
        <v>0.9375</v>
      </c>
      <c r="M367" s="32">
        <f t="shared" si="140"/>
        <v>0.35416666666666663</v>
      </c>
      <c r="N367" s="36">
        <v>510</v>
      </c>
      <c r="O367" s="36">
        <f t="shared" si="141"/>
        <v>440</v>
      </c>
      <c r="P367" s="36">
        <f t="shared" si="139"/>
        <v>440</v>
      </c>
      <c r="Q367" s="15">
        <v>0</v>
      </c>
      <c r="R367" s="20">
        <v>0</v>
      </c>
      <c r="S367" s="16">
        <v>0</v>
      </c>
      <c r="T367" s="16">
        <v>0</v>
      </c>
      <c r="U367" s="20">
        <v>0</v>
      </c>
      <c r="V367" s="20">
        <v>0</v>
      </c>
      <c r="W367" s="20">
        <v>0</v>
      </c>
      <c r="X367" s="20">
        <v>0</v>
      </c>
      <c r="Y367" s="20">
        <v>0</v>
      </c>
      <c r="Z367" s="20">
        <v>0</v>
      </c>
      <c r="AA367" s="20">
        <v>0</v>
      </c>
      <c r="AB367" s="20">
        <v>0</v>
      </c>
      <c r="AC367" s="15">
        <f t="shared" si="144"/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30</v>
      </c>
      <c r="AJ367" s="15">
        <v>10</v>
      </c>
      <c r="AK367" s="15">
        <v>30</v>
      </c>
      <c r="AL367" s="15">
        <f t="shared" si="143"/>
        <v>70</v>
      </c>
      <c r="AM367" s="29">
        <f t="shared" si="138"/>
        <v>1320</v>
      </c>
      <c r="AN367" s="19">
        <v>1016</v>
      </c>
      <c r="AO367" s="21">
        <v>0</v>
      </c>
      <c r="AP367" s="22">
        <v>0</v>
      </c>
      <c r="AQ367" s="26">
        <f t="shared" si="146"/>
        <v>1016</v>
      </c>
      <c r="AR367" s="37">
        <f t="shared" si="134"/>
        <v>1</v>
      </c>
      <c r="AS367" s="38">
        <f t="shared" si="135"/>
        <v>0.76969696969696966</v>
      </c>
      <c r="AT367" s="38">
        <f t="shared" si="136"/>
        <v>1</v>
      </c>
      <c r="AU367" s="27">
        <f t="shared" si="137"/>
        <v>0.76969696969696966</v>
      </c>
    </row>
    <row r="368" spans="1:47" s="1" customFormat="1" ht="21" customHeight="1" x14ac:dyDescent="0.25">
      <c r="A368" s="109">
        <v>46046</v>
      </c>
      <c r="B368" s="47" t="s">
        <v>49</v>
      </c>
      <c r="C368" s="78" t="s">
        <v>51</v>
      </c>
      <c r="D368" s="47" t="s">
        <v>124</v>
      </c>
      <c r="E368" s="48">
        <v>98992</v>
      </c>
      <c r="F368" s="48" t="s">
        <v>215</v>
      </c>
      <c r="G368" s="48" t="s">
        <v>125</v>
      </c>
      <c r="H368" s="30">
        <v>14972</v>
      </c>
      <c r="I368" s="30">
        <v>32</v>
      </c>
      <c r="J368" s="28">
        <f t="shared" si="145"/>
        <v>112.5</v>
      </c>
      <c r="K368" s="31">
        <v>0.58333333333333337</v>
      </c>
      <c r="L368" s="31">
        <v>0.9375</v>
      </c>
      <c r="M368" s="32">
        <f t="shared" si="140"/>
        <v>0.35416666666666663</v>
      </c>
      <c r="N368" s="36">
        <v>510</v>
      </c>
      <c r="O368" s="36">
        <f t="shared" si="141"/>
        <v>300</v>
      </c>
      <c r="P368" s="36">
        <f t="shared" si="139"/>
        <v>320</v>
      </c>
      <c r="Q368" s="15">
        <v>0</v>
      </c>
      <c r="R368" s="20">
        <v>0</v>
      </c>
      <c r="S368" s="16">
        <v>0</v>
      </c>
      <c r="T368" s="16">
        <v>0</v>
      </c>
      <c r="U368" s="20">
        <v>0</v>
      </c>
      <c r="V368" s="20">
        <v>0</v>
      </c>
      <c r="W368" s="20">
        <v>0</v>
      </c>
      <c r="X368" s="20">
        <v>0</v>
      </c>
      <c r="Y368" s="20">
        <v>0</v>
      </c>
      <c r="Z368" s="20">
        <v>0</v>
      </c>
      <c r="AA368" s="20">
        <v>20</v>
      </c>
      <c r="AB368" s="20">
        <v>0</v>
      </c>
      <c r="AC368" s="15">
        <f t="shared" si="144"/>
        <v>20</v>
      </c>
      <c r="AD368" s="15">
        <v>0</v>
      </c>
      <c r="AE368" s="15">
        <v>0</v>
      </c>
      <c r="AF368" s="15">
        <v>0</v>
      </c>
      <c r="AG368" s="15">
        <v>120</v>
      </c>
      <c r="AH368" s="15">
        <v>0</v>
      </c>
      <c r="AI368" s="15">
        <v>30</v>
      </c>
      <c r="AJ368" s="15">
        <v>10</v>
      </c>
      <c r="AK368" s="15">
        <v>30</v>
      </c>
      <c r="AL368" s="15">
        <f t="shared" si="143"/>
        <v>190</v>
      </c>
      <c r="AM368" s="29">
        <f t="shared" si="138"/>
        <v>600</v>
      </c>
      <c r="AN368" s="19">
        <v>449</v>
      </c>
      <c r="AO368" s="21">
        <v>0</v>
      </c>
      <c r="AP368" s="22">
        <v>2</v>
      </c>
      <c r="AQ368" s="26">
        <f t="shared" si="146"/>
        <v>447</v>
      </c>
      <c r="AR368" s="37">
        <f t="shared" si="134"/>
        <v>0.9375</v>
      </c>
      <c r="AS368" s="38">
        <f t="shared" si="135"/>
        <v>0.74833333333333329</v>
      </c>
      <c r="AT368" s="38">
        <f t="shared" si="136"/>
        <v>0.99554565701559017</v>
      </c>
      <c r="AU368" s="27">
        <f t="shared" si="137"/>
        <v>0.69843749999999993</v>
      </c>
    </row>
    <row r="369" spans="1:47" s="1" customFormat="1" ht="21" customHeight="1" x14ac:dyDescent="0.25">
      <c r="A369" s="109">
        <v>46046</v>
      </c>
      <c r="B369" s="47" t="s">
        <v>49</v>
      </c>
      <c r="C369" s="78" t="s">
        <v>51</v>
      </c>
      <c r="D369" s="47" t="s">
        <v>122</v>
      </c>
      <c r="E369" s="48">
        <v>98992</v>
      </c>
      <c r="F369" s="48" t="s">
        <v>169</v>
      </c>
      <c r="G369" s="48" t="s">
        <v>125</v>
      </c>
      <c r="H369" s="30">
        <v>15676</v>
      </c>
      <c r="I369" s="30">
        <v>32</v>
      </c>
      <c r="J369" s="28">
        <f t="shared" si="145"/>
        <v>112.5</v>
      </c>
      <c r="K369" s="31">
        <v>0.58333333333333337</v>
      </c>
      <c r="L369" s="31">
        <v>0.9375</v>
      </c>
      <c r="M369" s="32">
        <f t="shared" si="140"/>
        <v>0.35416666666666663</v>
      </c>
      <c r="N369" s="36">
        <v>510</v>
      </c>
      <c r="O369" s="36">
        <f t="shared" si="141"/>
        <v>370</v>
      </c>
      <c r="P369" s="36">
        <f t="shared" si="139"/>
        <v>380</v>
      </c>
      <c r="Q369" s="15">
        <v>0</v>
      </c>
      <c r="R369" s="20">
        <v>0</v>
      </c>
      <c r="S369" s="16">
        <v>0</v>
      </c>
      <c r="T369" s="16">
        <v>0</v>
      </c>
      <c r="U369" s="20">
        <v>0</v>
      </c>
      <c r="V369" s="20">
        <v>0</v>
      </c>
      <c r="W369" s="20">
        <v>0</v>
      </c>
      <c r="X369" s="20">
        <v>0</v>
      </c>
      <c r="Y369" s="20">
        <v>0</v>
      </c>
      <c r="Z369" s="20">
        <v>0</v>
      </c>
      <c r="AA369" s="20">
        <v>10</v>
      </c>
      <c r="AB369" s="20">
        <v>0</v>
      </c>
      <c r="AC369" s="15">
        <f t="shared" si="144"/>
        <v>10</v>
      </c>
      <c r="AD369" s="15">
        <v>0</v>
      </c>
      <c r="AE369" s="15">
        <v>0</v>
      </c>
      <c r="AF369" s="15">
        <v>0</v>
      </c>
      <c r="AG369" s="15">
        <v>60</v>
      </c>
      <c r="AH369" s="15">
        <v>0</v>
      </c>
      <c r="AI369" s="15">
        <v>30</v>
      </c>
      <c r="AJ369" s="15">
        <v>10</v>
      </c>
      <c r="AK369" s="15">
        <v>30</v>
      </c>
      <c r="AL369" s="15">
        <f t="shared" si="143"/>
        <v>130</v>
      </c>
      <c r="AM369" s="29">
        <f t="shared" si="138"/>
        <v>712.5</v>
      </c>
      <c r="AN369" s="19">
        <v>611</v>
      </c>
      <c r="AO369" s="21">
        <v>0</v>
      </c>
      <c r="AP369" s="22">
        <v>2</v>
      </c>
      <c r="AQ369" s="26">
        <f t="shared" si="146"/>
        <v>609</v>
      </c>
      <c r="AR369" s="37">
        <f t="shared" si="134"/>
        <v>0.97368421052631582</v>
      </c>
      <c r="AS369" s="38">
        <f t="shared" si="135"/>
        <v>0.85754385964912283</v>
      </c>
      <c r="AT369" s="38">
        <f t="shared" si="136"/>
        <v>0.99672667757774136</v>
      </c>
      <c r="AU369" s="27">
        <f t="shared" si="137"/>
        <v>0.83224376731301941</v>
      </c>
    </row>
    <row r="370" spans="1:47" s="1" customFormat="1" ht="21" customHeight="1" x14ac:dyDescent="0.25">
      <c r="A370" s="109">
        <v>46046</v>
      </c>
      <c r="B370" s="47" t="s">
        <v>49</v>
      </c>
      <c r="C370" s="78" t="s">
        <v>51</v>
      </c>
      <c r="D370" s="47" t="s">
        <v>128</v>
      </c>
      <c r="E370" s="48">
        <v>98992</v>
      </c>
      <c r="F370" s="48" t="s">
        <v>53</v>
      </c>
      <c r="G370" s="48" t="s">
        <v>125</v>
      </c>
      <c r="H370" s="30">
        <v>15632</v>
      </c>
      <c r="I370" s="30">
        <v>32</v>
      </c>
      <c r="J370" s="28">
        <f t="shared" si="145"/>
        <v>112.5</v>
      </c>
      <c r="K370" s="31">
        <v>0.58333333333333337</v>
      </c>
      <c r="L370" s="31">
        <v>0.9375</v>
      </c>
      <c r="M370" s="32">
        <f t="shared" si="140"/>
        <v>0.35416666666666663</v>
      </c>
      <c r="N370" s="36">
        <v>510</v>
      </c>
      <c r="O370" s="36">
        <f t="shared" si="141"/>
        <v>380</v>
      </c>
      <c r="P370" s="36">
        <f t="shared" si="139"/>
        <v>380</v>
      </c>
      <c r="Q370" s="15">
        <v>0</v>
      </c>
      <c r="R370" s="20">
        <v>0</v>
      </c>
      <c r="S370" s="16">
        <v>0</v>
      </c>
      <c r="T370" s="16">
        <v>0</v>
      </c>
      <c r="U370" s="20">
        <v>0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15">
        <f t="shared" si="144"/>
        <v>0</v>
      </c>
      <c r="AD370" s="15">
        <v>0</v>
      </c>
      <c r="AE370" s="15">
        <v>0</v>
      </c>
      <c r="AF370" s="15">
        <v>0</v>
      </c>
      <c r="AG370" s="15">
        <v>60</v>
      </c>
      <c r="AH370" s="15">
        <v>0</v>
      </c>
      <c r="AI370" s="15">
        <v>30</v>
      </c>
      <c r="AJ370" s="15">
        <v>10</v>
      </c>
      <c r="AK370" s="15">
        <v>30</v>
      </c>
      <c r="AL370" s="15">
        <f t="shared" si="143"/>
        <v>130</v>
      </c>
      <c r="AM370" s="29">
        <f t="shared" si="138"/>
        <v>712.5</v>
      </c>
      <c r="AN370" s="19">
        <v>600</v>
      </c>
      <c r="AO370" s="21">
        <v>0</v>
      </c>
      <c r="AP370" s="22">
        <v>1</v>
      </c>
      <c r="AQ370" s="26">
        <f t="shared" si="146"/>
        <v>599</v>
      </c>
      <c r="AR370" s="37">
        <f t="shared" si="134"/>
        <v>1</v>
      </c>
      <c r="AS370" s="38">
        <f t="shared" si="135"/>
        <v>0.84210526315789469</v>
      </c>
      <c r="AT370" s="38">
        <f t="shared" si="136"/>
        <v>0.99833333333333329</v>
      </c>
      <c r="AU370" s="27">
        <f t="shared" si="137"/>
        <v>0.84070175438596484</v>
      </c>
    </row>
    <row r="371" spans="1:47" s="1" customFormat="1" ht="21" customHeight="1" x14ac:dyDescent="0.25">
      <c r="A371" s="109">
        <v>46046</v>
      </c>
      <c r="B371" s="47" t="s">
        <v>49</v>
      </c>
      <c r="C371" s="78" t="s">
        <v>51</v>
      </c>
      <c r="D371" s="47" t="s">
        <v>170</v>
      </c>
      <c r="E371" s="48">
        <v>98992</v>
      </c>
      <c r="F371" s="48" t="s">
        <v>176</v>
      </c>
      <c r="G371" s="48" t="s">
        <v>125</v>
      </c>
      <c r="H371" s="30">
        <v>14976</v>
      </c>
      <c r="I371" s="30">
        <v>20</v>
      </c>
      <c r="J371" s="28">
        <f t="shared" si="145"/>
        <v>180</v>
      </c>
      <c r="K371" s="31">
        <v>0.58333333333333337</v>
      </c>
      <c r="L371" s="31">
        <v>0.9375</v>
      </c>
      <c r="M371" s="32">
        <f t="shared" si="140"/>
        <v>0.35416666666666663</v>
      </c>
      <c r="N371" s="36">
        <v>510</v>
      </c>
      <c r="O371" s="36">
        <f t="shared" si="141"/>
        <v>300</v>
      </c>
      <c r="P371" s="36">
        <f t="shared" si="139"/>
        <v>320</v>
      </c>
      <c r="Q371" s="15">
        <v>0</v>
      </c>
      <c r="R371" s="20">
        <v>0</v>
      </c>
      <c r="S371" s="16">
        <v>0</v>
      </c>
      <c r="T371" s="16">
        <v>0</v>
      </c>
      <c r="U371" s="20">
        <v>0</v>
      </c>
      <c r="V371" s="20">
        <v>0</v>
      </c>
      <c r="W371" s="20">
        <v>20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15">
        <f t="shared" si="144"/>
        <v>20</v>
      </c>
      <c r="AD371" s="15">
        <v>0</v>
      </c>
      <c r="AE371" s="15">
        <v>0</v>
      </c>
      <c r="AF371" s="15">
        <v>0</v>
      </c>
      <c r="AG371" s="15">
        <v>120</v>
      </c>
      <c r="AH371" s="15">
        <v>0</v>
      </c>
      <c r="AI371" s="15">
        <v>30</v>
      </c>
      <c r="AJ371" s="15">
        <v>10</v>
      </c>
      <c r="AK371" s="15">
        <v>30</v>
      </c>
      <c r="AL371" s="15">
        <f t="shared" si="143"/>
        <v>190</v>
      </c>
      <c r="AM371" s="29">
        <f t="shared" si="138"/>
        <v>960</v>
      </c>
      <c r="AN371" s="19">
        <v>840</v>
      </c>
      <c r="AO371" s="21">
        <v>0</v>
      </c>
      <c r="AP371" s="22">
        <v>2</v>
      </c>
      <c r="AQ371" s="26">
        <f t="shared" si="146"/>
        <v>838</v>
      </c>
      <c r="AR371" s="37">
        <f t="shared" si="134"/>
        <v>0.9375</v>
      </c>
      <c r="AS371" s="38">
        <f t="shared" si="135"/>
        <v>0.875</v>
      </c>
      <c r="AT371" s="38">
        <f t="shared" si="136"/>
        <v>0.99761904761904763</v>
      </c>
      <c r="AU371" s="27">
        <f t="shared" si="137"/>
        <v>0.818359375</v>
      </c>
    </row>
    <row r="372" spans="1:47" s="1" customFormat="1" ht="21" customHeight="1" x14ac:dyDescent="0.25">
      <c r="A372" s="109">
        <v>46046</v>
      </c>
      <c r="B372" s="47" t="s">
        <v>49</v>
      </c>
      <c r="C372" s="78" t="s">
        <v>51</v>
      </c>
      <c r="D372" s="47" t="s">
        <v>127</v>
      </c>
      <c r="E372" s="48">
        <v>98992</v>
      </c>
      <c r="F372" s="48" t="s">
        <v>175</v>
      </c>
      <c r="G372" s="48" t="s">
        <v>125</v>
      </c>
      <c r="H372" s="30">
        <v>13105</v>
      </c>
      <c r="I372" s="30">
        <v>20</v>
      </c>
      <c r="J372" s="28">
        <f t="shared" si="145"/>
        <v>180</v>
      </c>
      <c r="K372" s="31">
        <v>0.58333333333333337</v>
      </c>
      <c r="L372" s="31">
        <v>0.9375</v>
      </c>
      <c r="M372" s="32">
        <f t="shared" si="140"/>
        <v>0.35416666666666663</v>
      </c>
      <c r="N372" s="36">
        <v>510</v>
      </c>
      <c r="O372" s="36">
        <f t="shared" si="141"/>
        <v>320</v>
      </c>
      <c r="P372" s="36">
        <f t="shared" si="139"/>
        <v>320</v>
      </c>
      <c r="Q372" s="15">
        <v>0</v>
      </c>
      <c r="R372" s="20">
        <v>0</v>
      </c>
      <c r="S372" s="16">
        <v>0</v>
      </c>
      <c r="T372" s="16">
        <v>0</v>
      </c>
      <c r="U372" s="20">
        <v>0</v>
      </c>
      <c r="V372" s="20">
        <v>0</v>
      </c>
      <c r="W372" s="20">
        <v>0</v>
      </c>
      <c r="X372" s="20">
        <v>0</v>
      </c>
      <c r="Y372" s="20">
        <v>0</v>
      </c>
      <c r="Z372" s="20">
        <v>0</v>
      </c>
      <c r="AA372" s="20">
        <v>0</v>
      </c>
      <c r="AB372" s="20">
        <v>0</v>
      </c>
      <c r="AC372" s="15">
        <f t="shared" si="144"/>
        <v>0</v>
      </c>
      <c r="AD372" s="15">
        <v>0</v>
      </c>
      <c r="AE372" s="15">
        <v>0</v>
      </c>
      <c r="AF372" s="15">
        <v>0</v>
      </c>
      <c r="AG372" s="15">
        <v>120</v>
      </c>
      <c r="AH372" s="15">
        <v>0</v>
      </c>
      <c r="AI372" s="15">
        <v>30</v>
      </c>
      <c r="AJ372" s="15">
        <v>10</v>
      </c>
      <c r="AK372" s="15">
        <v>30</v>
      </c>
      <c r="AL372" s="15">
        <f t="shared" si="143"/>
        <v>190</v>
      </c>
      <c r="AM372" s="29">
        <f t="shared" si="138"/>
        <v>960</v>
      </c>
      <c r="AN372" s="19">
        <v>860</v>
      </c>
      <c r="AO372" s="21">
        <v>0</v>
      </c>
      <c r="AP372" s="22">
        <v>0</v>
      </c>
      <c r="AQ372" s="26">
        <f t="shared" si="146"/>
        <v>860</v>
      </c>
      <c r="AR372" s="37">
        <f t="shared" si="134"/>
        <v>1</v>
      </c>
      <c r="AS372" s="38">
        <f t="shared" si="135"/>
        <v>0.89583333333333337</v>
      </c>
      <c r="AT372" s="38">
        <f t="shared" si="136"/>
        <v>1</v>
      </c>
      <c r="AU372" s="27">
        <f t="shared" si="137"/>
        <v>0.89583333333333337</v>
      </c>
    </row>
    <row r="373" spans="1:47" s="1" customFormat="1" ht="21" customHeight="1" x14ac:dyDescent="0.25">
      <c r="A373" s="109">
        <v>46047</v>
      </c>
      <c r="B373" s="47" t="s">
        <v>49</v>
      </c>
      <c r="C373" s="78" t="s">
        <v>21</v>
      </c>
      <c r="D373" s="47" t="s">
        <v>124</v>
      </c>
      <c r="E373" s="48">
        <v>98992</v>
      </c>
      <c r="F373" s="48" t="s">
        <v>215</v>
      </c>
      <c r="G373" s="48" t="s">
        <v>125</v>
      </c>
      <c r="H373" s="30">
        <v>13105</v>
      </c>
      <c r="I373" s="30">
        <v>32</v>
      </c>
      <c r="J373" s="28">
        <f t="shared" ref="J373:J378" si="147">3600/I373</f>
        <v>112.5</v>
      </c>
      <c r="K373" s="31">
        <v>0.25</v>
      </c>
      <c r="L373" s="31">
        <v>0.60416666666666696</v>
      </c>
      <c r="M373" s="32">
        <f t="shared" ref="M373:M378" si="148">IF(L373&gt;K373,L373-K373,1+L373-K373)</f>
        <v>0.35416666666666696</v>
      </c>
      <c r="N373" s="36">
        <v>510</v>
      </c>
      <c r="O373" s="36">
        <f t="shared" ref="O373:O378" si="149">P373-AC373</f>
        <v>180</v>
      </c>
      <c r="P373" s="36">
        <f t="shared" ref="P373:P378" si="150">N373-AL373</f>
        <v>200</v>
      </c>
      <c r="Q373" s="15">
        <v>0</v>
      </c>
      <c r="R373" s="20">
        <v>0</v>
      </c>
      <c r="S373" s="16">
        <v>0</v>
      </c>
      <c r="T373" s="16">
        <v>0</v>
      </c>
      <c r="U373" s="20">
        <v>0</v>
      </c>
      <c r="V373" s="20">
        <v>0</v>
      </c>
      <c r="W373" s="20">
        <v>0</v>
      </c>
      <c r="X373" s="20">
        <v>0</v>
      </c>
      <c r="Y373" s="20">
        <v>0</v>
      </c>
      <c r="Z373" s="20">
        <v>0</v>
      </c>
      <c r="AA373" s="20">
        <v>20</v>
      </c>
      <c r="AB373" s="20">
        <v>0</v>
      </c>
      <c r="AC373" s="15">
        <f t="shared" ref="AC373:AC378" si="151">SUM(Q373:AB373)</f>
        <v>20</v>
      </c>
      <c r="AD373" s="15">
        <v>0</v>
      </c>
      <c r="AE373" s="15">
        <v>0</v>
      </c>
      <c r="AF373" s="15">
        <v>0</v>
      </c>
      <c r="AG373" s="15">
        <v>240</v>
      </c>
      <c r="AH373" s="15">
        <v>0</v>
      </c>
      <c r="AI373" s="15">
        <v>30</v>
      </c>
      <c r="AJ373" s="15">
        <v>10</v>
      </c>
      <c r="AK373" s="15">
        <v>30</v>
      </c>
      <c r="AL373" s="15">
        <f t="shared" ref="AL373:AL378" si="152">SUM(AD373:AK373)</f>
        <v>310</v>
      </c>
      <c r="AM373" s="29">
        <f t="shared" ref="AM373:AM378" si="153">P373*(J373/60)</f>
        <v>375</v>
      </c>
      <c r="AN373" s="19">
        <v>144</v>
      </c>
      <c r="AO373" s="21">
        <v>0</v>
      </c>
      <c r="AP373" s="22">
        <v>0</v>
      </c>
      <c r="AQ373" s="26">
        <f t="shared" ref="AQ373:AQ378" si="154">AN373-(AP373+AO373)</f>
        <v>144</v>
      </c>
      <c r="AR373" s="37">
        <f t="shared" ref="AR373:AR378" si="155">O373/P373</f>
        <v>0.9</v>
      </c>
      <c r="AS373" s="38">
        <f t="shared" ref="AS373:AS378" si="156">AN373/AM373</f>
        <v>0.38400000000000001</v>
      </c>
      <c r="AT373" s="38">
        <f t="shared" ref="AT373:AT378" si="157">AQ373/AN373</f>
        <v>1</v>
      </c>
      <c r="AU373" s="27">
        <f t="shared" ref="AU373:AU378" si="158">AR373*AS373*AT373</f>
        <v>0.34560000000000002</v>
      </c>
    </row>
    <row r="374" spans="1:47" s="1" customFormat="1" ht="21" customHeight="1" x14ac:dyDescent="0.25">
      <c r="A374" s="109">
        <v>46047</v>
      </c>
      <c r="B374" s="47" t="s">
        <v>49</v>
      </c>
      <c r="C374" s="78" t="s">
        <v>21</v>
      </c>
      <c r="D374" s="47" t="s">
        <v>122</v>
      </c>
      <c r="E374" s="48">
        <v>98992</v>
      </c>
      <c r="F374" s="48" t="s">
        <v>169</v>
      </c>
      <c r="G374" s="48" t="s">
        <v>125</v>
      </c>
      <c r="H374" s="30">
        <v>14957</v>
      </c>
      <c r="I374" s="30">
        <v>32</v>
      </c>
      <c r="J374" s="28">
        <f t="shared" si="147"/>
        <v>112.5</v>
      </c>
      <c r="K374" s="31">
        <v>0.25</v>
      </c>
      <c r="L374" s="31">
        <v>0.60416666666666696</v>
      </c>
      <c r="M374" s="32">
        <f t="shared" si="148"/>
        <v>0.35416666666666696</v>
      </c>
      <c r="N374" s="36">
        <v>510</v>
      </c>
      <c r="O374" s="36">
        <f t="shared" si="149"/>
        <v>370</v>
      </c>
      <c r="P374" s="36">
        <f t="shared" si="150"/>
        <v>380</v>
      </c>
      <c r="Q374" s="15">
        <v>0</v>
      </c>
      <c r="R374" s="20">
        <v>0</v>
      </c>
      <c r="S374" s="16">
        <v>0</v>
      </c>
      <c r="T374" s="16">
        <v>0</v>
      </c>
      <c r="U374" s="20">
        <v>0</v>
      </c>
      <c r="V374" s="20">
        <v>0</v>
      </c>
      <c r="W374" s="20">
        <v>0</v>
      </c>
      <c r="X374" s="20">
        <v>0</v>
      </c>
      <c r="Y374" s="20">
        <v>0</v>
      </c>
      <c r="Z374" s="20">
        <v>0</v>
      </c>
      <c r="AA374" s="20">
        <v>10</v>
      </c>
      <c r="AB374" s="20">
        <v>0</v>
      </c>
      <c r="AC374" s="15">
        <f t="shared" si="151"/>
        <v>10</v>
      </c>
      <c r="AD374" s="15">
        <v>0</v>
      </c>
      <c r="AE374" s="15">
        <v>0</v>
      </c>
      <c r="AF374" s="15">
        <v>0</v>
      </c>
      <c r="AG374" s="15">
        <v>60</v>
      </c>
      <c r="AH374" s="15">
        <v>0</v>
      </c>
      <c r="AI374" s="15">
        <v>30</v>
      </c>
      <c r="AJ374" s="15">
        <v>10</v>
      </c>
      <c r="AK374" s="15">
        <v>30</v>
      </c>
      <c r="AL374" s="15">
        <f t="shared" si="152"/>
        <v>130</v>
      </c>
      <c r="AM374" s="29">
        <f t="shared" si="153"/>
        <v>712.5</v>
      </c>
      <c r="AN374" s="19">
        <v>607</v>
      </c>
      <c r="AO374" s="21">
        <v>0</v>
      </c>
      <c r="AP374" s="22">
        <v>0</v>
      </c>
      <c r="AQ374" s="26">
        <f t="shared" si="154"/>
        <v>607</v>
      </c>
      <c r="AR374" s="37">
        <f t="shared" si="155"/>
        <v>0.97368421052631582</v>
      </c>
      <c r="AS374" s="38">
        <f t="shared" si="156"/>
        <v>0.85192982456140354</v>
      </c>
      <c r="AT374" s="38">
        <f t="shared" si="157"/>
        <v>1</v>
      </c>
      <c r="AU374" s="27">
        <f t="shared" si="158"/>
        <v>0.82951061865189291</v>
      </c>
    </row>
    <row r="375" spans="1:47" s="1" customFormat="1" ht="21" customHeight="1" x14ac:dyDescent="0.25">
      <c r="A375" s="109">
        <v>46047</v>
      </c>
      <c r="B375" s="47" t="s">
        <v>49</v>
      </c>
      <c r="C375" s="78" t="s">
        <v>21</v>
      </c>
      <c r="D375" s="47" t="s">
        <v>128</v>
      </c>
      <c r="E375" s="48">
        <v>98992</v>
      </c>
      <c r="F375" s="48" t="s">
        <v>53</v>
      </c>
      <c r="G375" s="48" t="s">
        <v>125</v>
      </c>
      <c r="H375" s="30">
        <v>15679</v>
      </c>
      <c r="I375" s="30">
        <v>32</v>
      </c>
      <c r="J375" s="28">
        <f t="shared" si="147"/>
        <v>112.5</v>
      </c>
      <c r="K375" s="31">
        <v>0.25</v>
      </c>
      <c r="L375" s="31">
        <v>0.60416666666666696</v>
      </c>
      <c r="M375" s="32">
        <f t="shared" si="148"/>
        <v>0.35416666666666696</v>
      </c>
      <c r="N375" s="36">
        <v>510</v>
      </c>
      <c r="O375" s="36">
        <f t="shared" si="149"/>
        <v>200</v>
      </c>
      <c r="P375" s="36">
        <f t="shared" si="150"/>
        <v>200</v>
      </c>
      <c r="Q375" s="15">
        <v>0</v>
      </c>
      <c r="R375" s="20">
        <v>0</v>
      </c>
      <c r="S375" s="16">
        <v>0</v>
      </c>
      <c r="T375" s="16">
        <v>0</v>
      </c>
      <c r="U375" s="20">
        <v>0</v>
      </c>
      <c r="V375" s="20">
        <v>0</v>
      </c>
      <c r="W375" s="20">
        <v>0</v>
      </c>
      <c r="X375" s="20">
        <v>0</v>
      </c>
      <c r="Y375" s="20">
        <v>0</v>
      </c>
      <c r="Z375" s="20">
        <v>0</v>
      </c>
      <c r="AA375" s="20">
        <v>0</v>
      </c>
      <c r="AB375" s="20">
        <v>0</v>
      </c>
      <c r="AC375" s="15">
        <f t="shared" si="151"/>
        <v>0</v>
      </c>
      <c r="AD375" s="15">
        <v>0</v>
      </c>
      <c r="AE375" s="15">
        <v>0</v>
      </c>
      <c r="AF375" s="15">
        <v>0</v>
      </c>
      <c r="AG375" s="15">
        <v>240</v>
      </c>
      <c r="AH375" s="15">
        <v>0</v>
      </c>
      <c r="AI375" s="15">
        <v>30</v>
      </c>
      <c r="AJ375" s="15">
        <v>10</v>
      </c>
      <c r="AK375" s="15">
        <v>30</v>
      </c>
      <c r="AL375" s="15">
        <f t="shared" si="152"/>
        <v>310</v>
      </c>
      <c r="AM375" s="29">
        <f t="shared" si="153"/>
        <v>375</v>
      </c>
      <c r="AN375" s="19">
        <v>204</v>
      </c>
      <c r="AO375" s="21">
        <v>0</v>
      </c>
      <c r="AP375" s="22">
        <v>0</v>
      </c>
      <c r="AQ375" s="26">
        <f t="shared" si="154"/>
        <v>204</v>
      </c>
      <c r="AR375" s="37">
        <f t="shared" si="155"/>
        <v>1</v>
      </c>
      <c r="AS375" s="38">
        <f t="shared" si="156"/>
        <v>0.54400000000000004</v>
      </c>
      <c r="AT375" s="38">
        <f t="shared" si="157"/>
        <v>1</v>
      </c>
      <c r="AU375" s="27">
        <f t="shared" si="158"/>
        <v>0.54400000000000004</v>
      </c>
    </row>
    <row r="376" spans="1:47" s="1" customFormat="1" ht="21" customHeight="1" x14ac:dyDescent="0.25">
      <c r="A376" s="109">
        <v>46047</v>
      </c>
      <c r="B376" s="47" t="s">
        <v>49</v>
      </c>
      <c r="C376" s="78" t="s">
        <v>21</v>
      </c>
      <c r="D376" s="47" t="s">
        <v>170</v>
      </c>
      <c r="E376" s="48">
        <v>98992</v>
      </c>
      <c r="F376" s="48" t="s">
        <v>176</v>
      </c>
      <c r="G376" s="48" t="s">
        <v>125</v>
      </c>
      <c r="H376" s="30">
        <v>15859</v>
      </c>
      <c r="I376" s="30">
        <v>20</v>
      </c>
      <c r="J376" s="28">
        <f t="shared" si="147"/>
        <v>180</v>
      </c>
      <c r="K376" s="31">
        <v>0.25</v>
      </c>
      <c r="L376" s="31">
        <v>0.60416666666666696</v>
      </c>
      <c r="M376" s="32">
        <f t="shared" si="148"/>
        <v>0.35416666666666696</v>
      </c>
      <c r="N376" s="36">
        <v>510</v>
      </c>
      <c r="O376" s="36">
        <f t="shared" si="149"/>
        <v>240</v>
      </c>
      <c r="P376" s="36">
        <f t="shared" si="150"/>
        <v>260</v>
      </c>
      <c r="Q376" s="15">
        <v>0</v>
      </c>
      <c r="R376" s="20">
        <v>0</v>
      </c>
      <c r="S376" s="16">
        <v>0</v>
      </c>
      <c r="T376" s="16">
        <v>0</v>
      </c>
      <c r="U376" s="20">
        <v>0</v>
      </c>
      <c r="V376" s="20">
        <v>0</v>
      </c>
      <c r="W376" s="20">
        <v>20</v>
      </c>
      <c r="X376" s="20">
        <v>0</v>
      </c>
      <c r="Y376" s="20">
        <v>0</v>
      </c>
      <c r="Z376" s="20">
        <v>0</v>
      </c>
      <c r="AA376" s="20">
        <v>0</v>
      </c>
      <c r="AB376" s="20">
        <v>0</v>
      </c>
      <c r="AC376" s="15">
        <f t="shared" si="151"/>
        <v>20</v>
      </c>
      <c r="AD376" s="15">
        <v>0</v>
      </c>
      <c r="AE376" s="15">
        <v>0</v>
      </c>
      <c r="AF376" s="15">
        <v>0</v>
      </c>
      <c r="AG376" s="15">
        <v>180</v>
      </c>
      <c r="AH376" s="15">
        <v>0</v>
      </c>
      <c r="AI376" s="15">
        <v>30</v>
      </c>
      <c r="AJ376" s="15">
        <v>10</v>
      </c>
      <c r="AK376" s="15">
        <v>30</v>
      </c>
      <c r="AL376" s="15">
        <f t="shared" si="152"/>
        <v>250</v>
      </c>
      <c r="AM376" s="29">
        <f t="shared" si="153"/>
        <v>780</v>
      </c>
      <c r="AN376" s="19">
        <v>557</v>
      </c>
      <c r="AO376" s="21">
        <v>0</v>
      </c>
      <c r="AP376" s="22">
        <v>0</v>
      </c>
      <c r="AQ376" s="26">
        <f t="shared" si="154"/>
        <v>557</v>
      </c>
      <c r="AR376" s="37">
        <f t="shared" si="155"/>
        <v>0.92307692307692313</v>
      </c>
      <c r="AS376" s="38">
        <f t="shared" si="156"/>
        <v>0.71410256410256412</v>
      </c>
      <c r="AT376" s="38">
        <f t="shared" si="157"/>
        <v>1</v>
      </c>
      <c r="AU376" s="27">
        <f t="shared" si="158"/>
        <v>0.65917159763313615</v>
      </c>
    </row>
    <row r="377" spans="1:47" s="1" customFormat="1" ht="21" customHeight="1" x14ac:dyDescent="0.25">
      <c r="A377" s="109">
        <v>46047</v>
      </c>
      <c r="B377" s="47" t="s">
        <v>49</v>
      </c>
      <c r="C377" s="78" t="s">
        <v>21</v>
      </c>
      <c r="D377" s="47" t="s">
        <v>127</v>
      </c>
      <c r="E377" s="48">
        <v>98992</v>
      </c>
      <c r="F377" s="48" t="s">
        <v>175</v>
      </c>
      <c r="G377" s="48" t="s">
        <v>125</v>
      </c>
      <c r="H377" s="30">
        <v>15857</v>
      </c>
      <c r="I377" s="30">
        <v>20</v>
      </c>
      <c r="J377" s="28">
        <f t="shared" si="147"/>
        <v>180</v>
      </c>
      <c r="K377" s="31">
        <v>0.25</v>
      </c>
      <c r="L377" s="31">
        <v>0.60416666666666696</v>
      </c>
      <c r="M377" s="32">
        <f t="shared" si="148"/>
        <v>0.35416666666666696</v>
      </c>
      <c r="N377" s="36">
        <v>510</v>
      </c>
      <c r="O377" s="36">
        <f t="shared" si="149"/>
        <v>200</v>
      </c>
      <c r="P377" s="36">
        <f t="shared" si="150"/>
        <v>200</v>
      </c>
      <c r="Q377" s="15">
        <v>0</v>
      </c>
      <c r="R377" s="20">
        <v>0</v>
      </c>
      <c r="S377" s="16">
        <v>0</v>
      </c>
      <c r="T377" s="16">
        <v>0</v>
      </c>
      <c r="U377" s="20">
        <v>0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15">
        <f t="shared" si="151"/>
        <v>0</v>
      </c>
      <c r="AD377" s="15">
        <v>0</v>
      </c>
      <c r="AE377" s="15">
        <v>0</v>
      </c>
      <c r="AF377" s="15">
        <v>0</v>
      </c>
      <c r="AG377" s="15">
        <v>240</v>
      </c>
      <c r="AH377" s="15">
        <v>0</v>
      </c>
      <c r="AI377" s="15">
        <v>30</v>
      </c>
      <c r="AJ377" s="15">
        <v>10</v>
      </c>
      <c r="AK377" s="15">
        <v>30</v>
      </c>
      <c r="AL377" s="15">
        <f t="shared" si="152"/>
        <v>310</v>
      </c>
      <c r="AM377" s="29">
        <f t="shared" si="153"/>
        <v>600</v>
      </c>
      <c r="AN377" s="19">
        <v>300</v>
      </c>
      <c r="AO377" s="21">
        <v>0</v>
      </c>
      <c r="AP377" s="22">
        <v>0</v>
      </c>
      <c r="AQ377" s="26">
        <f t="shared" si="154"/>
        <v>300</v>
      </c>
      <c r="AR377" s="37">
        <f t="shared" si="155"/>
        <v>1</v>
      </c>
      <c r="AS377" s="38">
        <f t="shared" si="156"/>
        <v>0.5</v>
      </c>
      <c r="AT377" s="38">
        <f t="shared" si="157"/>
        <v>1</v>
      </c>
      <c r="AU377" s="27">
        <f t="shared" si="158"/>
        <v>0.5</v>
      </c>
    </row>
    <row r="378" spans="1:47" s="1" customFormat="1" ht="21" customHeight="1" x14ac:dyDescent="0.25">
      <c r="A378" s="109">
        <v>46047</v>
      </c>
      <c r="B378" s="47" t="s">
        <v>49</v>
      </c>
      <c r="C378" s="78" t="s">
        <v>21</v>
      </c>
      <c r="D378" s="47" t="s">
        <v>94</v>
      </c>
      <c r="E378" s="48">
        <v>98992</v>
      </c>
      <c r="F378" s="48" t="s">
        <v>67</v>
      </c>
      <c r="G378" s="48" t="s">
        <v>174</v>
      </c>
      <c r="H378" s="30">
        <v>14976</v>
      </c>
      <c r="I378" s="30">
        <v>24</v>
      </c>
      <c r="J378" s="28">
        <f t="shared" si="147"/>
        <v>150</v>
      </c>
      <c r="K378" s="31">
        <v>0.25</v>
      </c>
      <c r="L378" s="31">
        <v>0.60416666666666696</v>
      </c>
      <c r="M378" s="32">
        <f t="shared" si="148"/>
        <v>0.35416666666666696</v>
      </c>
      <c r="N378" s="36">
        <v>510</v>
      </c>
      <c r="O378" s="36">
        <f t="shared" si="149"/>
        <v>260</v>
      </c>
      <c r="P378" s="36">
        <f t="shared" si="150"/>
        <v>260</v>
      </c>
      <c r="Q378" s="15">
        <v>0</v>
      </c>
      <c r="R378" s="20">
        <v>0</v>
      </c>
      <c r="S378" s="16">
        <v>0</v>
      </c>
      <c r="T378" s="16">
        <v>0</v>
      </c>
      <c r="U378" s="20">
        <v>0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15">
        <f t="shared" si="151"/>
        <v>0</v>
      </c>
      <c r="AD378" s="15">
        <v>0</v>
      </c>
      <c r="AE378" s="15">
        <v>0</v>
      </c>
      <c r="AF378" s="15">
        <v>0</v>
      </c>
      <c r="AG378" s="15">
        <v>180</v>
      </c>
      <c r="AH378" s="15">
        <v>0</v>
      </c>
      <c r="AI378" s="15">
        <v>30</v>
      </c>
      <c r="AJ378" s="15">
        <v>10</v>
      </c>
      <c r="AK378" s="15">
        <v>30</v>
      </c>
      <c r="AL378" s="15">
        <f t="shared" si="152"/>
        <v>250</v>
      </c>
      <c r="AM378" s="29">
        <f t="shared" si="153"/>
        <v>650</v>
      </c>
      <c r="AN378" s="19">
        <v>508</v>
      </c>
      <c r="AO378" s="21">
        <v>0</v>
      </c>
      <c r="AP378" s="22">
        <v>8</v>
      </c>
      <c r="AQ378" s="26">
        <f t="shared" si="154"/>
        <v>500</v>
      </c>
      <c r="AR378" s="37">
        <f t="shared" si="155"/>
        <v>1</v>
      </c>
      <c r="AS378" s="38">
        <f t="shared" si="156"/>
        <v>0.78153846153846152</v>
      </c>
      <c r="AT378" s="38">
        <f t="shared" si="157"/>
        <v>0.98425196850393704</v>
      </c>
      <c r="AU378" s="27">
        <f t="shared" si="158"/>
        <v>0.76923076923076927</v>
      </c>
    </row>
    <row r="379" spans="1:47" s="1" customFormat="1" ht="21" customHeight="1" x14ac:dyDescent="0.25">
      <c r="A379" s="109">
        <v>46047</v>
      </c>
      <c r="B379" s="47" t="s">
        <v>49</v>
      </c>
      <c r="C379" s="78" t="s">
        <v>51</v>
      </c>
      <c r="D379" s="47" t="s">
        <v>94</v>
      </c>
      <c r="E379" s="48">
        <v>98992</v>
      </c>
      <c r="F379" s="48" t="s">
        <v>67</v>
      </c>
      <c r="G379" s="48" t="s">
        <v>174</v>
      </c>
      <c r="H379" s="30">
        <v>13562</v>
      </c>
      <c r="I379" s="30">
        <v>24</v>
      </c>
      <c r="J379" s="28">
        <f t="shared" ref="J379:J386" si="159">3600/I379</f>
        <v>150</v>
      </c>
      <c r="K379" s="31">
        <v>0.58333333333333337</v>
      </c>
      <c r="L379" s="31">
        <v>0.9375</v>
      </c>
      <c r="M379" s="32">
        <f t="shared" ref="M379:M386" si="160">IF(L379&gt;K379,L379-K379,1+L379-K379)</f>
        <v>0.35416666666666663</v>
      </c>
      <c r="N379" s="36">
        <v>510</v>
      </c>
      <c r="O379" s="36">
        <f t="shared" ref="O379:O386" si="161">P379-AC379</f>
        <v>200</v>
      </c>
      <c r="P379" s="36">
        <f t="shared" ref="P379:P386" si="162">N379-AL379</f>
        <v>200</v>
      </c>
      <c r="Q379" s="15">
        <v>0</v>
      </c>
      <c r="R379" s="20">
        <v>0</v>
      </c>
      <c r="S379" s="16">
        <v>0</v>
      </c>
      <c r="T379" s="16">
        <v>0</v>
      </c>
      <c r="U379" s="20">
        <v>0</v>
      </c>
      <c r="V379" s="20">
        <v>0</v>
      </c>
      <c r="W379" s="20">
        <v>0</v>
      </c>
      <c r="X379" s="20">
        <v>0</v>
      </c>
      <c r="Y379" s="20">
        <v>0</v>
      </c>
      <c r="Z379" s="20">
        <v>0</v>
      </c>
      <c r="AA379" s="20">
        <v>0</v>
      </c>
      <c r="AB379" s="20">
        <v>0</v>
      </c>
      <c r="AC379" s="15">
        <f t="shared" ref="AC379:AC386" si="163">SUM(Q379:AB379)</f>
        <v>0</v>
      </c>
      <c r="AD379" s="15">
        <v>0</v>
      </c>
      <c r="AE379" s="15">
        <v>0</v>
      </c>
      <c r="AF379" s="15">
        <v>0</v>
      </c>
      <c r="AG379" s="15">
        <v>240</v>
      </c>
      <c r="AH379" s="15">
        <v>0</v>
      </c>
      <c r="AI379" s="15">
        <v>30</v>
      </c>
      <c r="AJ379" s="15">
        <v>10</v>
      </c>
      <c r="AK379" s="15">
        <v>30</v>
      </c>
      <c r="AL379" s="15">
        <f t="shared" ref="AL379:AL386" si="164">SUM(AD379:AK379)</f>
        <v>310</v>
      </c>
      <c r="AM379" s="29">
        <f t="shared" ref="AM379:AM386" si="165">P379*(J379/60)</f>
        <v>500</v>
      </c>
      <c r="AN379" s="19">
        <v>404</v>
      </c>
      <c r="AO379" s="21">
        <v>0</v>
      </c>
      <c r="AP379" s="22">
        <v>35</v>
      </c>
      <c r="AQ379" s="26">
        <f t="shared" ref="AQ379:AQ386" si="166">AN379-(AP379+AO379)</f>
        <v>369</v>
      </c>
      <c r="AR379" s="37">
        <f t="shared" ref="AR379:AR386" si="167">O379/P379</f>
        <v>1</v>
      </c>
      <c r="AS379" s="38">
        <f t="shared" ref="AS379:AS386" si="168">AN379/AM379</f>
        <v>0.80800000000000005</v>
      </c>
      <c r="AT379" s="38">
        <f t="shared" ref="AT379:AT386" si="169">AQ379/AN379</f>
        <v>0.9133663366336634</v>
      </c>
      <c r="AU379" s="27">
        <f t="shared" ref="AU379:AU386" si="170">AR379*AS379*AT379</f>
        <v>0.7380000000000001</v>
      </c>
    </row>
    <row r="380" spans="1:47" s="1" customFormat="1" ht="21" customHeight="1" x14ac:dyDescent="0.25">
      <c r="A380" s="109">
        <v>46047</v>
      </c>
      <c r="B380" s="47" t="s">
        <v>49</v>
      </c>
      <c r="C380" s="78" t="s">
        <v>51</v>
      </c>
      <c r="D380" s="47" t="s">
        <v>172</v>
      </c>
      <c r="E380" s="48">
        <v>98992</v>
      </c>
      <c r="F380" s="48" t="s">
        <v>175</v>
      </c>
      <c r="G380" s="48" t="s">
        <v>87</v>
      </c>
      <c r="H380" s="30">
        <v>15857</v>
      </c>
      <c r="I380" s="30">
        <v>20</v>
      </c>
      <c r="J380" s="28">
        <f t="shared" si="159"/>
        <v>180</v>
      </c>
      <c r="K380" s="31">
        <v>0.58333333333333337</v>
      </c>
      <c r="L380" s="31">
        <v>0.9375</v>
      </c>
      <c r="M380" s="32">
        <f t="shared" si="160"/>
        <v>0.35416666666666663</v>
      </c>
      <c r="N380" s="36">
        <v>510</v>
      </c>
      <c r="O380" s="36">
        <f t="shared" si="161"/>
        <v>140</v>
      </c>
      <c r="P380" s="36">
        <f t="shared" si="162"/>
        <v>140</v>
      </c>
      <c r="Q380" s="15">
        <v>0</v>
      </c>
      <c r="R380" s="20">
        <v>0</v>
      </c>
      <c r="S380" s="16">
        <v>0</v>
      </c>
      <c r="T380" s="16">
        <v>0</v>
      </c>
      <c r="U380" s="20">
        <v>0</v>
      </c>
      <c r="V380" s="20">
        <v>0</v>
      </c>
      <c r="W380" s="20">
        <v>0</v>
      </c>
      <c r="X380" s="20">
        <v>0</v>
      </c>
      <c r="Y380" s="20">
        <v>0</v>
      </c>
      <c r="Z380" s="20">
        <v>0</v>
      </c>
      <c r="AA380" s="20">
        <v>0</v>
      </c>
      <c r="AB380" s="20">
        <v>0</v>
      </c>
      <c r="AC380" s="15">
        <f t="shared" si="163"/>
        <v>0</v>
      </c>
      <c r="AD380" s="15">
        <v>0</v>
      </c>
      <c r="AE380" s="15">
        <v>0</v>
      </c>
      <c r="AF380" s="15">
        <v>0</v>
      </c>
      <c r="AG380" s="15">
        <v>300</v>
      </c>
      <c r="AH380" s="15">
        <v>0</v>
      </c>
      <c r="AI380" s="15">
        <v>30</v>
      </c>
      <c r="AJ380" s="15">
        <v>10</v>
      </c>
      <c r="AK380" s="15">
        <v>30</v>
      </c>
      <c r="AL380" s="15">
        <f t="shared" si="164"/>
        <v>370</v>
      </c>
      <c r="AM380" s="29">
        <f t="shared" si="165"/>
        <v>420</v>
      </c>
      <c r="AN380" s="19">
        <v>240</v>
      </c>
      <c r="AO380" s="21">
        <v>0</v>
      </c>
      <c r="AP380" s="22">
        <v>0</v>
      </c>
      <c r="AQ380" s="26">
        <f t="shared" si="166"/>
        <v>240</v>
      </c>
      <c r="AR380" s="37">
        <f t="shared" si="167"/>
        <v>1</v>
      </c>
      <c r="AS380" s="38">
        <f t="shared" si="168"/>
        <v>0.5714285714285714</v>
      </c>
      <c r="AT380" s="38">
        <f t="shared" si="169"/>
        <v>1</v>
      </c>
      <c r="AU380" s="27">
        <f t="shared" si="170"/>
        <v>0.5714285714285714</v>
      </c>
    </row>
    <row r="381" spans="1:47" s="1" customFormat="1" ht="21" customHeight="1" x14ac:dyDescent="0.25">
      <c r="A381" s="109">
        <v>46047</v>
      </c>
      <c r="B381" s="47" t="s">
        <v>49</v>
      </c>
      <c r="C381" s="78" t="s">
        <v>51</v>
      </c>
      <c r="D381" s="47" t="s">
        <v>127</v>
      </c>
      <c r="E381" s="48">
        <v>98992</v>
      </c>
      <c r="F381" s="48" t="s">
        <v>175</v>
      </c>
      <c r="G381" s="48" t="s">
        <v>125</v>
      </c>
      <c r="H381" s="30">
        <v>15857</v>
      </c>
      <c r="I381" s="30">
        <v>20</v>
      </c>
      <c r="J381" s="28">
        <f t="shared" si="159"/>
        <v>180</v>
      </c>
      <c r="K381" s="31">
        <v>0.58333333333333337</v>
      </c>
      <c r="L381" s="31">
        <v>0.9375</v>
      </c>
      <c r="M381" s="32">
        <f t="shared" si="160"/>
        <v>0.35416666666666663</v>
      </c>
      <c r="N381" s="36">
        <v>510</v>
      </c>
      <c r="O381" s="36">
        <f t="shared" si="161"/>
        <v>140</v>
      </c>
      <c r="P381" s="36">
        <f t="shared" si="162"/>
        <v>140</v>
      </c>
      <c r="Q381" s="15">
        <v>0</v>
      </c>
      <c r="R381" s="20">
        <v>0</v>
      </c>
      <c r="S381" s="16">
        <v>0</v>
      </c>
      <c r="T381" s="16">
        <v>0</v>
      </c>
      <c r="U381" s="20">
        <v>0</v>
      </c>
      <c r="V381" s="20">
        <v>0</v>
      </c>
      <c r="W381" s="20">
        <v>0</v>
      </c>
      <c r="X381" s="20">
        <v>0</v>
      </c>
      <c r="Y381" s="20">
        <v>0</v>
      </c>
      <c r="Z381" s="20">
        <v>0</v>
      </c>
      <c r="AA381" s="20">
        <v>0</v>
      </c>
      <c r="AB381" s="20">
        <v>0</v>
      </c>
      <c r="AC381" s="15">
        <f t="shared" si="163"/>
        <v>0</v>
      </c>
      <c r="AD381" s="15">
        <v>0</v>
      </c>
      <c r="AE381" s="15">
        <v>0</v>
      </c>
      <c r="AF381" s="15">
        <v>0</v>
      </c>
      <c r="AG381" s="15">
        <v>300</v>
      </c>
      <c r="AH381" s="15">
        <v>0</v>
      </c>
      <c r="AI381" s="15">
        <v>30</v>
      </c>
      <c r="AJ381" s="15">
        <v>10</v>
      </c>
      <c r="AK381" s="15">
        <v>30</v>
      </c>
      <c r="AL381" s="15">
        <f t="shared" si="164"/>
        <v>370</v>
      </c>
      <c r="AM381" s="29">
        <f t="shared" si="165"/>
        <v>420</v>
      </c>
      <c r="AN381" s="19">
        <v>276</v>
      </c>
      <c r="AO381" s="21">
        <v>0</v>
      </c>
      <c r="AP381" s="22">
        <v>0</v>
      </c>
      <c r="AQ381" s="26">
        <f t="shared" si="166"/>
        <v>276</v>
      </c>
      <c r="AR381" s="37">
        <f t="shared" si="167"/>
        <v>1</v>
      </c>
      <c r="AS381" s="38">
        <f t="shared" si="168"/>
        <v>0.65714285714285714</v>
      </c>
      <c r="AT381" s="38">
        <f t="shared" si="169"/>
        <v>1</v>
      </c>
      <c r="AU381" s="27">
        <f t="shared" si="170"/>
        <v>0.65714285714285714</v>
      </c>
    </row>
    <row r="382" spans="1:47" s="1" customFormat="1" ht="21" customHeight="1" x14ac:dyDescent="0.25">
      <c r="A382" s="109">
        <v>46047</v>
      </c>
      <c r="B382" s="47" t="s">
        <v>49</v>
      </c>
      <c r="C382" s="78" t="s">
        <v>51</v>
      </c>
      <c r="D382" s="47" t="s">
        <v>128</v>
      </c>
      <c r="E382" s="48">
        <v>98992</v>
      </c>
      <c r="F382" s="48" t="s">
        <v>53</v>
      </c>
      <c r="G382" s="48" t="s">
        <v>125</v>
      </c>
      <c r="H382" s="30">
        <v>16146</v>
      </c>
      <c r="I382" s="30">
        <v>32</v>
      </c>
      <c r="J382" s="28">
        <f t="shared" si="159"/>
        <v>112.5</v>
      </c>
      <c r="K382" s="31">
        <v>0.58333333333333337</v>
      </c>
      <c r="L382" s="31">
        <v>0.9375</v>
      </c>
      <c r="M382" s="32">
        <f t="shared" si="160"/>
        <v>0.35416666666666663</v>
      </c>
      <c r="N382" s="36">
        <v>510</v>
      </c>
      <c r="O382" s="36">
        <f t="shared" si="161"/>
        <v>200</v>
      </c>
      <c r="P382" s="36">
        <f t="shared" si="162"/>
        <v>200</v>
      </c>
      <c r="Q382" s="15">
        <v>0</v>
      </c>
      <c r="R382" s="20">
        <v>0</v>
      </c>
      <c r="S382" s="16">
        <v>0</v>
      </c>
      <c r="T382" s="16">
        <v>0</v>
      </c>
      <c r="U382" s="20">
        <v>0</v>
      </c>
      <c r="V382" s="20">
        <v>0</v>
      </c>
      <c r="W382" s="20">
        <v>0</v>
      </c>
      <c r="X382" s="20">
        <v>0</v>
      </c>
      <c r="Y382" s="20">
        <v>0</v>
      </c>
      <c r="Z382" s="20">
        <v>0</v>
      </c>
      <c r="AA382" s="20">
        <v>0</v>
      </c>
      <c r="AB382" s="20">
        <v>0</v>
      </c>
      <c r="AC382" s="15">
        <f t="shared" si="163"/>
        <v>0</v>
      </c>
      <c r="AD382" s="15">
        <v>0</v>
      </c>
      <c r="AE382" s="15">
        <v>0</v>
      </c>
      <c r="AF382" s="15">
        <v>0</v>
      </c>
      <c r="AG382" s="15">
        <v>240</v>
      </c>
      <c r="AH382" s="15">
        <v>0</v>
      </c>
      <c r="AI382" s="15">
        <v>30</v>
      </c>
      <c r="AJ382" s="15">
        <v>10</v>
      </c>
      <c r="AK382" s="15">
        <v>30</v>
      </c>
      <c r="AL382" s="15">
        <f t="shared" si="164"/>
        <v>310</v>
      </c>
      <c r="AM382" s="29">
        <f t="shared" si="165"/>
        <v>375</v>
      </c>
      <c r="AN382" s="19">
        <v>132</v>
      </c>
      <c r="AO382" s="21">
        <v>0</v>
      </c>
      <c r="AP382" s="22">
        <v>0</v>
      </c>
      <c r="AQ382" s="26">
        <f t="shared" si="166"/>
        <v>132</v>
      </c>
      <c r="AR382" s="37">
        <f t="shared" si="167"/>
        <v>1</v>
      </c>
      <c r="AS382" s="38">
        <f t="shared" si="168"/>
        <v>0.35199999999999998</v>
      </c>
      <c r="AT382" s="38">
        <f t="shared" si="169"/>
        <v>1</v>
      </c>
      <c r="AU382" s="27">
        <f t="shared" si="170"/>
        <v>0.35199999999999998</v>
      </c>
    </row>
    <row r="383" spans="1:47" s="1" customFormat="1" ht="21" customHeight="1" x14ac:dyDescent="0.25">
      <c r="A383" s="109">
        <v>46049</v>
      </c>
      <c r="B383" s="47" t="s">
        <v>49</v>
      </c>
      <c r="C383" s="78" t="s">
        <v>21</v>
      </c>
      <c r="D383" s="47" t="s">
        <v>124</v>
      </c>
      <c r="E383" s="48">
        <v>98992</v>
      </c>
      <c r="F383" s="48" t="s">
        <v>215</v>
      </c>
      <c r="G383" s="48" t="s">
        <v>125</v>
      </c>
      <c r="H383" s="30">
        <v>16219</v>
      </c>
      <c r="I383" s="30">
        <v>32</v>
      </c>
      <c r="J383" s="28">
        <f t="shared" si="159"/>
        <v>112.5</v>
      </c>
      <c r="K383" s="31">
        <v>0.25</v>
      </c>
      <c r="L383" s="31">
        <v>0.60416666666666696</v>
      </c>
      <c r="M383" s="32">
        <f t="shared" si="160"/>
        <v>0.35416666666666696</v>
      </c>
      <c r="N383" s="36">
        <v>510</v>
      </c>
      <c r="O383" s="36">
        <f t="shared" si="161"/>
        <v>200</v>
      </c>
      <c r="P383" s="36">
        <f t="shared" si="162"/>
        <v>200</v>
      </c>
      <c r="Q383" s="15">
        <v>0</v>
      </c>
      <c r="R383" s="20">
        <v>0</v>
      </c>
      <c r="S383" s="16">
        <v>0</v>
      </c>
      <c r="T383" s="16">
        <v>0</v>
      </c>
      <c r="U383" s="20">
        <v>0</v>
      </c>
      <c r="V383" s="20">
        <v>0</v>
      </c>
      <c r="W383" s="20">
        <v>0</v>
      </c>
      <c r="X383" s="20">
        <v>0</v>
      </c>
      <c r="Y383" s="20">
        <v>0</v>
      </c>
      <c r="Z383" s="20">
        <v>0</v>
      </c>
      <c r="AA383" s="20">
        <v>0</v>
      </c>
      <c r="AB383" s="20">
        <v>0</v>
      </c>
      <c r="AC383" s="15">
        <f t="shared" si="163"/>
        <v>0</v>
      </c>
      <c r="AD383" s="15">
        <v>0</v>
      </c>
      <c r="AE383" s="15">
        <v>0</v>
      </c>
      <c r="AF383" s="15">
        <v>0</v>
      </c>
      <c r="AG383" s="15">
        <v>240</v>
      </c>
      <c r="AH383" s="15">
        <v>0</v>
      </c>
      <c r="AI383" s="15">
        <v>30</v>
      </c>
      <c r="AJ383" s="15">
        <v>10</v>
      </c>
      <c r="AK383" s="15">
        <v>30</v>
      </c>
      <c r="AL383" s="15">
        <f t="shared" si="164"/>
        <v>310</v>
      </c>
      <c r="AM383" s="29">
        <f t="shared" si="165"/>
        <v>375</v>
      </c>
      <c r="AN383" s="19">
        <v>352</v>
      </c>
      <c r="AO383" s="21">
        <v>0</v>
      </c>
      <c r="AP383" s="22">
        <v>3</v>
      </c>
      <c r="AQ383" s="26">
        <f t="shared" si="166"/>
        <v>349</v>
      </c>
      <c r="AR383" s="37">
        <f t="shared" si="167"/>
        <v>1</v>
      </c>
      <c r="AS383" s="38">
        <f t="shared" si="168"/>
        <v>0.93866666666666665</v>
      </c>
      <c r="AT383" s="38">
        <f t="shared" si="169"/>
        <v>0.99147727272727271</v>
      </c>
      <c r="AU383" s="27">
        <f t="shared" si="170"/>
        <v>0.93066666666666664</v>
      </c>
    </row>
    <row r="384" spans="1:47" s="1" customFormat="1" ht="21" customHeight="1" x14ac:dyDescent="0.25">
      <c r="A384" s="109">
        <v>46049</v>
      </c>
      <c r="B384" s="47" t="s">
        <v>49</v>
      </c>
      <c r="C384" s="78" t="s">
        <v>21</v>
      </c>
      <c r="D384" s="47" t="s">
        <v>122</v>
      </c>
      <c r="E384" s="48">
        <v>98992</v>
      </c>
      <c r="F384" s="48" t="s">
        <v>169</v>
      </c>
      <c r="G384" s="48" t="s">
        <v>125</v>
      </c>
      <c r="H384" s="30">
        <v>13106</v>
      </c>
      <c r="I384" s="30">
        <v>32</v>
      </c>
      <c r="J384" s="28">
        <f t="shared" si="159"/>
        <v>112.5</v>
      </c>
      <c r="K384" s="31">
        <v>0.25</v>
      </c>
      <c r="L384" s="31">
        <v>0.60416666666666696</v>
      </c>
      <c r="M384" s="32">
        <f t="shared" si="160"/>
        <v>0.35416666666666696</v>
      </c>
      <c r="N384" s="36">
        <v>510</v>
      </c>
      <c r="O384" s="36">
        <f t="shared" si="161"/>
        <v>200</v>
      </c>
      <c r="P384" s="36">
        <f t="shared" si="162"/>
        <v>200</v>
      </c>
      <c r="Q384" s="15">
        <v>0</v>
      </c>
      <c r="R384" s="20">
        <v>0</v>
      </c>
      <c r="S384" s="16">
        <v>0</v>
      </c>
      <c r="T384" s="16">
        <v>0</v>
      </c>
      <c r="U384" s="20">
        <v>0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15">
        <f t="shared" si="163"/>
        <v>0</v>
      </c>
      <c r="AD384" s="15">
        <v>0</v>
      </c>
      <c r="AE384" s="15">
        <v>0</v>
      </c>
      <c r="AF384" s="15">
        <v>0</v>
      </c>
      <c r="AG384" s="15">
        <v>240</v>
      </c>
      <c r="AH384" s="15">
        <v>0</v>
      </c>
      <c r="AI384" s="15">
        <v>30</v>
      </c>
      <c r="AJ384" s="15">
        <v>10</v>
      </c>
      <c r="AK384" s="15">
        <v>30</v>
      </c>
      <c r="AL384" s="15">
        <f t="shared" si="164"/>
        <v>310</v>
      </c>
      <c r="AM384" s="29">
        <f t="shared" si="165"/>
        <v>375</v>
      </c>
      <c r="AN384" s="19">
        <v>280</v>
      </c>
      <c r="AO384" s="21">
        <v>0</v>
      </c>
      <c r="AP384" s="22">
        <v>2</v>
      </c>
      <c r="AQ384" s="26">
        <f t="shared" si="166"/>
        <v>278</v>
      </c>
      <c r="AR384" s="37">
        <f t="shared" si="167"/>
        <v>1</v>
      </c>
      <c r="AS384" s="38">
        <f t="shared" si="168"/>
        <v>0.7466666666666667</v>
      </c>
      <c r="AT384" s="38">
        <f t="shared" si="169"/>
        <v>0.99285714285714288</v>
      </c>
      <c r="AU384" s="27">
        <f t="shared" si="170"/>
        <v>0.7413333333333334</v>
      </c>
    </row>
    <row r="385" spans="1:47" s="1" customFormat="1" ht="21" customHeight="1" x14ac:dyDescent="0.25">
      <c r="A385" s="109">
        <v>46049</v>
      </c>
      <c r="B385" s="47" t="s">
        <v>49</v>
      </c>
      <c r="C385" s="78" t="s">
        <v>21</v>
      </c>
      <c r="D385" s="47" t="s">
        <v>128</v>
      </c>
      <c r="E385" s="48">
        <v>98992</v>
      </c>
      <c r="F385" s="48" t="s">
        <v>53</v>
      </c>
      <c r="G385" s="48" t="s">
        <v>125</v>
      </c>
      <c r="H385" s="30">
        <v>14957</v>
      </c>
      <c r="I385" s="30">
        <v>32</v>
      </c>
      <c r="J385" s="28">
        <f t="shared" si="159"/>
        <v>112.5</v>
      </c>
      <c r="K385" s="31">
        <v>0.25</v>
      </c>
      <c r="L385" s="31">
        <v>0.60416666666666696</v>
      </c>
      <c r="M385" s="32">
        <f t="shared" si="160"/>
        <v>0.35416666666666696</v>
      </c>
      <c r="N385" s="36">
        <v>510</v>
      </c>
      <c r="O385" s="36">
        <f t="shared" si="161"/>
        <v>200</v>
      </c>
      <c r="P385" s="36">
        <f t="shared" si="162"/>
        <v>200</v>
      </c>
      <c r="Q385" s="15">
        <v>0</v>
      </c>
      <c r="R385" s="20">
        <v>0</v>
      </c>
      <c r="S385" s="16">
        <v>0</v>
      </c>
      <c r="T385" s="16">
        <v>0</v>
      </c>
      <c r="U385" s="20">
        <v>0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15">
        <f t="shared" si="163"/>
        <v>0</v>
      </c>
      <c r="AD385" s="15">
        <v>0</v>
      </c>
      <c r="AE385" s="15">
        <v>0</v>
      </c>
      <c r="AF385" s="15">
        <v>0</v>
      </c>
      <c r="AG385" s="15">
        <v>240</v>
      </c>
      <c r="AH385" s="15">
        <v>0</v>
      </c>
      <c r="AI385" s="15">
        <v>30</v>
      </c>
      <c r="AJ385" s="15">
        <v>10</v>
      </c>
      <c r="AK385" s="15">
        <v>30</v>
      </c>
      <c r="AL385" s="15">
        <f t="shared" si="164"/>
        <v>310</v>
      </c>
      <c r="AM385" s="29">
        <f t="shared" si="165"/>
        <v>375</v>
      </c>
      <c r="AN385" s="19">
        <v>276</v>
      </c>
      <c r="AO385" s="21">
        <v>0</v>
      </c>
      <c r="AP385" s="22">
        <v>2</v>
      </c>
      <c r="AQ385" s="26">
        <f t="shared" si="166"/>
        <v>274</v>
      </c>
      <c r="AR385" s="37">
        <f t="shared" si="167"/>
        <v>1</v>
      </c>
      <c r="AS385" s="38">
        <f t="shared" si="168"/>
        <v>0.73599999999999999</v>
      </c>
      <c r="AT385" s="38">
        <f t="shared" si="169"/>
        <v>0.99275362318840576</v>
      </c>
      <c r="AU385" s="27">
        <f t="shared" si="170"/>
        <v>0.73066666666666658</v>
      </c>
    </row>
    <row r="386" spans="1:47" s="1" customFormat="1" ht="21" customHeight="1" x14ac:dyDescent="0.25">
      <c r="A386" s="109">
        <v>46049</v>
      </c>
      <c r="B386" s="47" t="s">
        <v>49</v>
      </c>
      <c r="C386" s="78" t="s">
        <v>21</v>
      </c>
      <c r="D386" s="47" t="s">
        <v>170</v>
      </c>
      <c r="E386" s="48">
        <v>98992</v>
      </c>
      <c r="F386" s="48" t="s">
        <v>176</v>
      </c>
      <c r="G386" s="48" t="s">
        <v>125</v>
      </c>
      <c r="H386" s="30">
        <v>15859</v>
      </c>
      <c r="I386" s="30">
        <v>20</v>
      </c>
      <c r="J386" s="28">
        <f t="shared" si="159"/>
        <v>180</v>
      </c>
      <c r="K386" s="31">
        <v>0.25</v>
      </c>
      <c r="L386" s="31">
        <v>0.60416666666666696</v>
      </c>
      <c r="M386" s="32">
        <f t="shared" si="160"/>
        <v>0.35416666666666696</v>
      </c>
      <c r="N386" s="36">
        <v>510</v>
      </c>
      <c r="O386" s="36">
        <f t="shared" si="161"/>
        <v>140</v>
      </c>
      <c r="P386" s="36">
        <f t="shared" si="162"/>
        <v>140</v>
      </c>
      <c r="Q386" s="15">
        <v>0</v>
      </c>
      <c r="R386" s="20">
        <v>0</v>
      </c>
      <c r="S386" s="16">
        <v>0</v>
      </c>
      <c r="T386" s="16">
        <v>0</v>
      </c>
      <c r="U386" s="20">
        <v>0</v>
      </c>
      <c r="V386" s="20">
        <v>0</v>
      </c>
      <c r="W386" s="20">
        <v>0</v>
      </c>
      <c r="X386" s="20">
        <v>0</v>
      </c>
      <c r="Y386" s="20">
        <v>0</v>
      </c>
      <c r="Z386" s="20">
        <v>0</v>
      </c>
      <c r="AA386" s="20">
        <v>0</v>
      </c>
      <c r="AB386" s="20">
        <v>0</v>
      </c>
      <c r="AC386" s="15">
        <f t="shared" si="163"/>
        <v>0</v>
      </c>
      <c r="AD386" s="15">
        <v>0</v>
      </c>
      <c r="AE386" s="15">
        <v>0</v>
      </c>
      <c r="AF386" s="15">
        <v>0</v>
      </c>
      <c r="AG386" s="15">
        <v>300</v>
      </c>
      <c r="AH386" s="15">
        <v>0</v>
      </c>
      <c r="AI386" s="15">
        <v>30</v>
      </c>
      <c r="AJ386" s="15">
        <v>10</v>
      </c>
      <c r="AK386" s="15">
        <v>30</v>
      </c>
      <c r="AL386" s="15">
        <f t="shared" si="164"/>
        <v>370</v>
      </c>
      <c r="AM386" s="29">
        <f t="shared" si="165"/>
        <v>420</v>
      </c>
      <c r="AN386" s="19">
        <v>240</v>
      </c>
      <c r="AO386" s="21">
        <v>0</v>
      </c>
      <c r="AP386" s="22">
        <v>0</v>
      </c>
      <c r="AQ386" s="26">
        <f t="shared" si="166"/>
        <v>240</v>
      </c>
      <c r="AR386" s="37">
        <f t="shared" si="167"/>
        <v>1</v>
      </c>
      <c r="AS386" s="38">
        <f t="shared" si="168"/>
        <v>0.5714285714285714</v>
      </c>
      <c r="AT386" s="38">
        <f t="shared" si="169"/>
        <v>1</v>
      </c>
      <c r="AU386" s="27">
        <f t="shared" si="170"/>
        <v>0.5714285714285714</v>
      </c>
    </row>
    <row r="387" spans="1:47" s="1" customFormat="1" ht="21" customHeight="1" x14ac:dyDescent="0.25">
      <c r="A387" s="109">
        <v>46049</v>
      </c>
      <c r="B387" s="47" t="s">
        <v>49</v>
      </c>
      <c r="C387" s="78" t="s">
        <v>21</v>
      </c>
      <c r="D387" s="47" t="s">
        <v>94</v>
      </c>
      <c r="E387" s="48">
        <v>98992</v>
      </c>
      <c r="F387" s="48" t="s">
        <v>67</v>
      </c>
      <c r="G387" s="48" t="s">
        <v>174</v>
      </c>
      <c r="H387" s="30">
        <v>13105</v>
      </c>
      <c r="I387" s="30">
        <v>24</v>
      </c>
      <c r="J387" s="28">
        <f t="shared" ref="J387:J392" si="171">3600/I387</f>
        <v>150</v>
      </c>
      <c r="K387" s="31">
        <v>0.25</v>
      </c>
      <c r="L387" s="31">
        <v>0.60416666666666696</v>
      </c>
      <c r="M387" s="32">
        <f t="shared" ref="M387:M392" si="172">IF(L387&gt;K387,L387-K387,1+L387-K387)</f>
        <v>0.35416666666666696</v>
      </c>
      <c r="N387" s="36">
        <v>510</v>
      </c>
      <c r="O387" s="36">
        <f t="shared" ref="O387:O392" si="173">P387-AC387</f>
        <v>200</v>
      </c>
      <c r="P387" s="36">
        <f t="shared" ref="P387:P392" si="174">N387-AL387</f>
        <v>200</v>
      </c>
      <c r="Q387" s="15">
        <v>0</v>
      </c>
      <c r="R387" s="20">
        <v>0</v>
      </c>
      <c r="S387" s="16">
        <v>0</v>
      </c>
      <c r="T387" s="16">
        <v>0</v>
      </c>
      <c r="U387" s="20">
        <v>0</v>
      </c>
      <c r="V387" s="20">
        <v>0</v>
      </c>
      <c r="W387" s="20">
        <v>0</v>
      </c>
      <c r="X387" s="20">
        <v>0</v>
      </c>
      <c r="Y387" s="20">
        <v>0</v>
      </c>
      <c r="Z387" s="20">
        <v>0</v>
      </c>
      <c r="AA387" s="20">
        <v>0</v>
      </c>
      <c r="AB387" s="20">
        <v>0</v>
      </c>
      <c r="AC387" s="15">
        <f t="shared" ref="AC387:AC392" si="175">SUM(Q387:AB387)</f>
        <v>0</v>
      </c>
      <c r="AD387" s="15">
        <v>0</v>
      </c>
      <c r="AE387" s="15">
        <v>0</v>
      </c>
      <c r="AF387" s="15">
        <v>0</v>
      </c>
      <c r="AG387" s="15">
        <v>240</v>
      </c>
      <c r="AH387" s="15">
        <v>0</v>
      </c>
      <c r="AI387" s="15">
        <v>30</v>
      </c>
      <c r="AJ387" s="15">
        <v>10</v>
      </c>
      <c r="AK387" s="15">
        <v>30</v>
      </c>
      <c r="AL387" s="15">
        <f t="shared" ref="AL387:AL392" si="176">SUM(AD387:AK387)</f>
        <v>310</v>
      </c>
      <c r="AM387" s="29">
        <f t="shared" ref="AM387:AM392" si="177">P387*(J387/60)</f>
        <v>500</v>
      </c>
      <c r="AN387" s="19">
        <v>480</v>
      </c>
      <c r="AO387" s="21">
        <v>0</v>
      </c>
      <c r="AP387" s="22">
        <v>0</v>
      </c>
      <c r="AQ387" s="26">
        <f t="shared" ref="AQ387:AQ392" si="178">AN387-(AP387+AO387)</f>
        <v>480</v>
      </c>
      <c r="AR387" s="37">
        <f t="shared" ref="AR387:AR392" si="179">O387/P387</f>
        <v>1</v>
      </c>
      <c r="AS387" s="38">
        <f t="shared" ref="AS387:AS392" si="180">AN387/AM387</f>
        <v>0.96</v>
      </c>
      <c r="AT387" s="38">
        <f t="shared" ref="AT387:AT392" si="181">AQ387/AN387</f>
        <v>1</v>
      </c>
      <c r="AU387" s="27">
        <f t="shared" ref="AU387:AU392" si="182">AR387*AS387*AT387</f>
        <v>0.96</v>
      </c>
    </row>
    <row r="388" spans="1:47" s="1" customFormat="1" ht="21" customHeight="1" x14ac:dyDescent="0.25">
      <c r="A388" s="109">
        <v>46049</v>
      </c>
      <c r="B388" s="47" t="s">
        <v>49</v>
      </c>
      <c r="C388" s="78" t="s">
        <v>51</v>
      </c>
      <c r="D388" s="47" t="s">
        <v>124</v>
      </c>
      <c r="E388" s="48">
        <v>98992</v>
      </c>
      <c r="F388" s="48" t="s">
        <v>215</v>
      </c>
      <c r="G388" s="48" t="s">
        <v>125</v>
      </c>
      <c r="H388" s="30">
        <v>14972</v>
      </c>
      <c r="I388" s="30">
        <v>32</v>
      </c>
      <c r="J388" s="28">
        <f t="shared" si="171"/>
        <v>112.5</v>
      </c>
      <c r="K388" s="31">
        <v>0.58333333333333337</v>
      </c>
      <c r="L388" s="31">
        <v>0.9375</v>
      </c>
      <c r="M388" s="32">
        <f t="shared" si="172"/>
        <v>0.35416666666666663</v>
      </c>
      <c r="N388" s="36">
        <v>510</v>
      </c>
      <c r="O388" s="36">
        <f t="shared" si="173"/>
        <v>320</v>
      </c>
      <c r="P388" s="36">
        <f t="shared" si="174"/>
        <v>320</v>
      </c>
      <c r="Q388" s="15">
        <v>0</v>
      </c>
      <c r="R388" s="20">
        <v>0</v>
      </c>
      <c r="S388" s="16">
        <v>0</v>
      </c>
      <c r="T388" s="16">
        <v>0</v>
      </c>
      <c r="U388" s="20">
        <v>0</v>
      </c>
      <c r="V388" s="20">
        <v>0</v>
      </c>
      <c r="W388" s="20">
        <v>0</v>
      </c>
      <c r="X388" s="20">
        <v>0</v>
      </c>
      <c r="Y388" s="20">
        <v>0</v>
      </c>
      <c r="Z388" s="20">
        <v>0</v>
      </c>
      <c r="AA388" s="20">
        <v>0</v>
      </c>
      <c r="AB388" s="20">
        <v>0</v>
      </c>
      <c r="AC388" s="15">
        <f t="shared" si="175"/>
        <v>0</v>
      </c>
      <c r="AD388" s="15">
        <v>0</v>
      </c>
      <c r="AE388" s="15">
        <v>0</v>
      </c>
      <c r="AF388" s="15">
        <v>0</v>
      </c>
      <c r="AG388" s="15">
        <v>120</v>
      </c>
      <c r="AH388" s="15">
        <v>0</v>
      </c>
      <c r="AI388" s="15">
        <v>30</v>
      </c>
      <c r="AJ388" s="15">
        <v>10</v>
      </c>
      <c r="AK388" s="15">
        <v>30</v>
      </c>
      <c r="AL388" s="15">
        <f t="shared" si="176"/>
        <v>190</v>
      </c>
      <c r="AM388" s="29">
        <f t="shared" si="177"/>
        <v>600</v>
      </c>
      <c r="AN388" s="19">
        <v>562</v>
      </c>
      <c r="AO388" s="21">
        <v>0</v>
      </c>
      <c r="AP388" s="22">
        <v>5</v>
      </c>
      <c r="AQ388" s="26">
        <f t="shared" si="178"/>
        <v>557</v>
      </c>
      <c r="AR388" s="37">
        <f t="shared" si="179"/>
        <v>1</v>
      </c>
      <c r="AS388" s="38">
        <f t="shared" si="180"/>
        <v>0.93666666666666665</v>
      </c>
      <c r="AT388" s="38">
        <f t="shared" si="181"/>
        <v>0.99110320284697506</v>
      </c>
      <c r="AU388" s="27">
        <f t="shared" si="182"/>
        <v>0.92833333333333334</v>
      </c>
    </row>
    <row r="389" spans="1:47" s="1" customFormat="1" ht="21" customHeight="1" x14ac:dyDescent="0.25">
      <c r="A389" s="109">
        <v>46049</v>
      </c>
      <c r="B389" s="47" t="s">
        <v>49</v>
      </c>
      <c r="C389" s="78" t="s">
        <v>51</v>
      </c>
      <c r="D389" s="47" t="s">
        <v>122</v>
      </c>
      <c r="E389" s="48">
        <v>98992</v>
      </c>
      <c r="F389" s="48" t="s">
        <v>169</v>
      </c>
      <c r="G389" s="48" t="s">
        <v>125</v>
      </c>
      <c r="H389" s="30">
        <v>15676</v>
      </c>
      <c r="I389" s="30">
        <v>32</v>
      </c>
      <c r="J389" s="28">
        <f t="shared" si="171"/>
        <v>112.5</v>
      </c>
      <c r="K389" s="31">
        <v>0.58333333333333337</v>
      </c>
      <c r="L389" s="31">
        <v>0.9375</v>
      </c>
      <c r="M389" s="32">
        <f t="shared" si="172"/>
        <v>0.35416666666666663</v>
      </c>
      <c r="N389" s="36">
        <v>510</v>
      </c>
      <c r="O389" s="36">
        <f t="shared" si="173"/>
        <v>380</v>
      </c>
      <c r="P389" s="36">
        <f t="shared" si="174"/>
        <v>380</v>
      </c>
      <c r="Q389" s="15">
        <v>0</v>
      </c>
      <c r="R389" s="20">
        <v>0</v>
      </c>
      <c r="S389" s="16">
        <v>0</v>
      </c>
      <c r="T389" s="16">
        <v>0</v>
      </c>
      <c r="U389" s="20">
        <v>0</v>
      </c>
      <c r="V389" s="20">
        <v>0</v>
      </c>
      <c r="W389" s="20">
        <v>0</v>
      </c>
      <c r="X389" s="20">
        <v>0</v>
      </c>
      <c r="Y389" s="20">
        <v>0</v>
      </c>
      <c r="Z389" s="20">
        <v>0</v>
      </c>
      <c r="AA389" s="20">
        <v>0</v>
      </c>
      <c r="AB389" s="20">
        <v>0</v>
      </c>
      <c r="AC389" s="15">
        <f t="shared" si="175"/>
        <v>0</v>
      </c>
      <c r="AD389" s="15">
        <v>0</v>
      </c>
      <c r="AE389" s="15">
        <v>0</v>
      </c>
      <c r="AF389" s="15">
        <v>0</v>
      </c>
      <c r="AG389" s="15">
        <v>60</v>
      </c>
      <c r="AH389" s="15">
        <v>0</v>
      </c>
      <c r="AI389" s="15">
        <v>30</v>
      </c>
      <c r="AJ389" s="15">
        <v>10</v>
      </c>
      <c r="AK389" s="15">
        <v>30</v>
      </c>
      <c r="AL389" s="15">
        <f t="shared" si="176"/>
        <v>130</v>
      </c>
      <c r="AM389" s="29">
        <f t="shared" si="177"/>
        <v>712.5</v>
      </c>
      <c r="AN389" s="19">
        <v>510</v>
      </c>
      <c r="AO389" s="21">
        <v>0</v>
      </c>
      <c r="AP389" s="22">
        <v>3</v>
      </c>
      <c r="AQ389" s="26">
        <f t="shared" si="178"/>
        <v>507</v>
      </c>
      <c r="AR389" s="37">
        <f t="shared" si="179"/>
        <v>1</v>
      </c>
      <c r="AS389" s="38">
        <f t="shared" si="180"/>
        <v>0.71578947368421053</v>
      </c>
      <c r="AT389" s="38">
        <f t="shared" si="181"/>
        <v>0.99411764705882355</v>
      </c>
      <c r="AU389" s="27">
        <f t="shared" si="182"/>
        <v>0.71157894736842109</v>
      </c>
    </row>
    <row r="390" spans="1:47" s="1" customFormat="1" ht="21" customHeight="1" x14ac:dyDescent="0.25">
      <c r="A390" s="109">
        <v>46049</v>
      </c>
      <c r="B390" s="47" t="s">
        <v>49</v>
      </c>
      <c r="C390" s="78" t="s">
        <v>51</v>
      </c>
      <c r="D390" s="47" t="s">
        <v>128</v>
      </c>
      <c r="E390" s="48">
        <v>98992</v>
      </c>
      <c r="F390" s="48" t="s">
        <v>53</v>
      </c>
      <c r="G390" s="48" t="s">
        <v>125</v>
      </c>
      <c r="H390" s="30">
        <v>16000</v>
      </c>
      <c r="I390" s="30">
        <v>32</v>
      </c>
      <c r="J390" s="28">
        <f t="shared" si="171"/>
        <v>112.5</v>
      </c>
      <c r="K390" s="31">
        <v>0.58333333333333337</v>
      </c>
      <c r="L390" s="31">
        <v>0.9375</v>
      </c>
      <c r="M390" s="32">
        <f t="shared" si="172"/>
        <v>0.35416666666666663</v>
      </c>
      <c r="N390" s="36">
        <v>510</v>
      </c>
      <c r="O390" s="36">
        <f t="shared" si="173"/>
        <v>200</v>
      </c>
      <c r="P390" s="36">
        <f t="shared" si="174"/>
        <v>200</v>
      </c>
      <c r="Q390" s="15">
        <v>0</v>
      </c>
      <c r="R390" s="20">
        <v>0</v>
      </c>
      <c r="S390" s="16">
        <v>0</v>
      </c>
      <c r="T390" s="16">
        <v>0</v>
      </c>
      <c r="U390" s="20">
        <v>0</v>
      </c>
      <c r="V390" s="20">
        <v>0</v>
      </c>
      <c r="W390" s="20">
        <v>0</v>
      </c>
      <c r="X390" s="20">
        <v>0</v>
      </c>
      <c r="Y390" s="20">
        <v>0</v>
      </c>
      <c r="Z390" s="20">
        <v>0</v>
      </c>
      <c r="AA390" s="20">
        <v>0</v>
      </c>
      <c r="AB390" s="20">
        <v>0</v>
      </c>
      <c r="AC390" s="15">
        <f t="shared" si="175"/>
        <v>0</v>
      </c>
      <c r="AD390" s="15">
        <v>0</v>
      </c>
      <c r="AE390" s="15">
        <v>0</v>
      </c>
      <c r="AF390" s="15">
        <v>0</v>
      </c>
      <c r="AG390" s="15">
        <v>240</v>
      </c>
      <c r="AH390" s="15">
        <v>0</v>
      </c>
      <c r="AI390" s="15">
        <v>30</v>
      </c>
      <c r="AJ390" s="15">
        <v>10</v>
      </c>
      <c r="AK390" s="15">
        <v>30</v>
      </c>
      <c r="AL390" s="15">
        <f t="shared" si="176"/>
        <v>310</v>
      </c>
      <c r="AM390" s="29">
        <f t="shared" si="177"/>
        <v>375</v>
      </c>
      <c r="AN390" s="19">
        <v>160</v>
      </c>
      <c r="AO390" s="21">
        <v>0</v>
      </c>
      <c r="AP390" s="22">
        <v>2</v>
      </c>
      <c r="AQ390" s="26">
        <f t="shared" si="178"/>
        <v>158</v>
      </c>
      <c r="AR390" s="37">
        <f t="shared" si="179"/>
        <v>1</v>
      </c>
      <c r="AS390" s="38">
        <f t="shared" si="180"/>
        <v>0.42666666666666669</v>
      </c>
      <c r="AT390" s="38">
        <f t="shared" si="181"/>
        <v>0.98750000000000004</v>
      </c>
      <c r="AU390" s="27">
        <f t="shared" si="182"/>
        <v>0.42133333333333339</v>
      </c>
    </row>
    <row r="391" spans="1:47" s="1" customFormat="1" ht="23.1" customHeight="1" x14ac:dyDescent="0.25">
      <c r="A391" s="109">
        <v>46049</v>
      </c>
      <c r="B391" s="47" t="s">
        <v>49</v>
      </c>
      <c r="C391" s="78" t="s">
        <v>51</v>
      </c>
      <c r="D391" s="47" t="s">
        <v>88</v>
      </c>
      <c r="E391" s="48">
        <v>98992</v>
      </c>
      <c r="F391" s="48" t="s">
        <v>126</v>
      </c>
      <c r="G391" s="48" t="s">
        <v>87</v>
      </c>
      <c r="H391" s="30">
        <v>15036</v>
      </c>
      <c r="I391" s="30">
        <v>32</v>
      </c>
      <c r="J391" s="28">
        <f t="shared" si="171"/>
        <v>112.5</v>
      </c>
      <c r="K391" s="31">
        <v>0.58333333333333337</v>
      </c>
      <c r="L391" s="31">
        <v>0.9375</v>
      </c>
      <c r="M391" s="32">
        <f t="shared" si="172"/>
        <v>0.35416666666666663</v>
      </c>
      <c r="N391" s="36">
        <v>510</v>
      </c>
      <c r="O391" s="36">
        <f t="shared" si="173"/>
        <v>380</v>
      </c>
      <c r="P391" s="36">
        <f t="shared" si="174"/>
        <v>380</v>
      </c>
      <c r="Q391" s="15">
        <v>0</v>
      </c>
      <c r="R391" s="20">
        <v>0</v>
      </c>
      <c r="S391" s="16">
        <v>0</v>
      </c>
      <c r="T391" s="16">
        <v>0</v>
      </c>
      <c r="U391" s="20">
        <v>0</v>
      </c>
      <c r="V391" s="20">
        <v>0</v>
      </c>
      <c r="W391" s="20">
        <v>0</v>
      </c>
      <c r="X391" s="20">
        <v>0</v>
      </c>
      <c r="Y391" s="20">
        <v>0</v>
      </c>
      <c r="Z391" s="20">
        <v>0</v>
      </c>
      <c r="AA391" s="20">
        <v>0</v>
      </c>
      <c r="AB391" s="20">
        <v>0</v>
      </c>
      <c r="AC391" s="15">
        <f t="shared" si="175"/>
        <v>0</v>
      </c>
      <c r="AD391" s="15">
        <v>0</v>
      </c>
      <c r="AE391" s="15">
        <v>0</v>
      </c>
      <c r="AF391" s="15">
        <v>0</v>
      </c>
      <c r="AG391" s="15">
        <v>60</v>
      </c>
      <c r="AH391" s="15">
        <v>0</v>
      </c>
      <c r="AI391" s="15">
        <v>30</v>
      </c>
      <c r="AJ391" s="15">
        <v>10</v>
      </c>
      <c r="AK391" s="15">
        <v>30</v>
      </c>
      <c r="AL391" s="15">
        <f t="shared" si="176"/>
        <v>130</v>
      </c>
      <c r="AM391" s="29">
        <f t="shared" si="177"/>
        <v>712.5</v>
      </c>
      <c r="AN391" s="19">
        <v>524</v>
      </c>
      <c r="AO391" s="21">
        <v>0</v>
      </c>
      <c r="AP391" s="22">
        <v>1</v>
      </c>
      <c r="AQ391" s="26">
        <f t="shared" si="178"/>
        <v>523</v>
      </c>
      <c r="AR391" s="37">
        <f t="shared" si="179"/>
        <v>1</v>
      </c>
      <c r="AS391" s="38">
        <f t="shared" si="180"/>
        <v>0.73543859649122811</v>
      </c>
      <c r="AT391" s="38">
        <f t="shared" si="181"/>
        <v>0.99809160305343514</v>
      </c>
      <c r="AU391" s="27">
        <f t="shared" si="182"/>
        <v>0.73403508771929826</v>
      </c>
    </row>
    <row r="392" spans="1:47" s="1" customFormat="1" ht="23.1" customHeight="1" x14ac:dyDescent="0.25">
      <c r="A392" s="109">
        <v>46049</v>
      </c>
      <c r="B392" s="47" t="s">
        <v>49</v>
      </c>
      <c r="C392" s="78" t="s">
        <v>51</v>
      </c>
      <c r="D392" s="47" t="s">
        <v>89</v>
      </c>
      <c r="E392" s="48">
        <v>98992</v>
      </c>
      <c r="F392" s="48" t="s">
        <v>169</v>
      </c>
      <c r="G392" s="48" t="s">
        <v>87</v>
      </c>
      <c r="H392" s="30">
        <v>15979</v>
      </c>
      <c r="I392" s="30">
        <v>32</v>
      </c>
      <c r="J392" s="28">
        <f t="shared" si="171"/>
        <v>112.5</v>
      </c>
      <c r="K392" s="31">
        <v>0.58333333333333337</v>
      </c>
      <c r="L392" s="31">
        <v>0.9375</v>
      </c>
      <c r="M392" s="32">
        <f t="shared" si="172"/>
        <v>0.35416666666666663</v>
      </c>
      <c r="N392" s="36">
        <v>510</v>
      </c>
      <c r="O392" s="36">
        <f t="shared" si="173"/>
        <v>320</v>
      </c>
      <c r="P392" s="36">
        <f t="shared" si="174"/>
        <v>320</v>
      </c>
      <c r="Q392" s="15">
        <v>0</v>
      </c>
      <c r="R392" s="20">
        <v>0</v>
      </c>
      <c r="S392" s="16">
        <v>0</v>
      </c>
      <c r="T392" s="16">
        <v>0</v>
      </c>
      <c r="U392" s="20">
        <v>0</v>
      </c>
      <c r="V392" s="20">
        <v>0</v>
      </c>
      <c r="W392" s="20">
        <v>0</v>
      </c>
      <c r="X392" s="20">
        <v>0</v>
      </c>
      <c r="Y392" s="20">
        <v>0</v>
      </c>
      <c r="Z392" s="20">
        <v>0</v>
      </c>
      <c r="AA392" s="20">
        <v>0</v>
      </c>
      <c r="AB392" s="20">
        <v>0</v>
      </c>
      <c r="AC392" s="15">
        <f t="shared" si="175"/>
        <v>0</v>
      </c>
      <c r="AD392" s="15">
        <v>0</v>
      </c>
      <c r="AE392" s="15">
        <v>0</v>
      </c>
      <c r="AF392" s="15">
        <v>0</v>
      </c>
      <c r="AG392" s="15">
        <v>120</v>
      </c>
      <c r="AH392" s="15">
        <v>0</v>
      </c>
      <c r="AI392" s="15">
        <v>30</v>
      </c>
      <c r="AJ392" s="15">
        <v>10</v>
      </c>
      <c r="AK392" s="15">
        <v>30</v>
      </c>
      <c r="AL392" s="15">
        <f t="shared" si="176"/>
        <v>190</v>
      </c>
      <c r="AM392" s="29">
        <f t="shared" si="177"/>
        <v>600</v>
      </c>
      <c r="AN392" s="19">
        <v>452</v>
      </c>
      <c r="AO392" s="21">
        <v>0</v>
      </c>
      <c r="AP392" s="22">
        <v>2</v>
      </c>
      <c r="AQ392" s="26">
        <f t="shared" si="178"/>
        <v>450</v>
      </c>
      <c r="AR392" s="37">
        <f t="shared" si="179"/>
        <v>1</v>
      </c>
      <c r="AS392" s="38">
        <f t="shared" si="180"/>
        <v>0.7533333333333333</v>
      </c>
      <c r="AT392" s="38">
        <f t="shared" si="181"/>
        <v>0.99557522123893805</v>
      </c>
      <c r="AU392" s="27">
        <f t="shared" si="182"/>
        <v>0.75</v>
      </c>
    </row>
    <row r="393" spans="1:47" s="1" customFormat="1" ht="21" customHeight="1" x14ac:dyDescent="0.25">
      <c r="A393" s="109">
        <v>46050</v>
      </c>
      <c r="B393" s="47" t="s">
        <v>49</v>
      </c>
      <c r="C393" s="78" t="s">
        <v>21</v>
      </c>
      <c r="D393" s="47" t="s">
        <v>94</v>
      </c>
      <c r="E393" s="48">
        <v>98992</v>
      </c>
      <c r="F393" s="48" t="s">
        <v>67</v>
      </c>
      <c r="G393" s="48" t="s">
        <v>174</v>
      </c>
      <c r="H393" s="30">
        <v>13105</v>
      </c>
      <c r="I393" s="30">
        <v>24</v>
      </c>
      <c r="J393" s="28">
        <f t="shared" ref="J393:J399" si="183">3600/I393</f>
        <v>150</v>
      </c>
      <c r="K393" s="31">
        <v>0.25</v>
      </c>
      <c r="L393" s="31">
        <v>0.60416666666666696</v>
      </c>
      <c r="M393" s="32">
        <f t="shared" ref="M393:M399" si="184">IF(L393&gt;K393,L393-K393,1+L393-K393)</f>
        <v>0.35416666666666696</v>
      </c>
      <c r="N393" s="36">
        <v>510</v>
      </c>
      <c r="O393" s="36">
        <f t="shared" ref="O393:O399" si="185">P393-AC393</f>
        <v>320</v>
      </c>
      <c r="P393" s="36">
        <f t="shared" ref="P393:P399" si="186">N393-AL393</f>
        <v>320</v>
      </c>
      <c r="Q393" s="15">
        <v>0</v>
      </c>
      <c r="R393" s="20">
        <v>0</v>
      </c>
      <c r="S393" s="16">
        <v>0</v>
      </c>
      <c r="T393" s="16">
        <v>0</v>
      </c>
      <c r="U393" s="20">
        <v>0</v>
      </c>
      <c r="V393" s="20">
        <v>0</v>
      </c>
      <c r="W393" s="20">
        <v>0</v>
      </c>
      <c r="X393" s="20">
        <v>0</v>
      </c>
      <c r="Y393" s="20">
        <v>0</v>
      </c>
      <c r="Z393" s="20">
        <v>0</v>
      </c>
      <c r="AA393" s="20">
        <v>0</v>
      </c>
      <c r="AB393" s="20">
        <v>0</v>
      </c>
      <c r="AC393" s="15">
        <f t="shared" ref="AC393:AC399" si="187">SUM(Q393:AB393)</f>
        <v>0</v>
      </c>
      <c r="AD393" s="15">
        <v>0</v>
      </c>
      <c r="AE393" s="15">
        <v>0</v>
      </c>
      <c r="AF393" s="15">
        <v>0</v>
      </c>
      <c r="AG393" s="15">
        <v>120</v>
      </c>
      <c r="AH393" s="15">
        <v>0</v>
      </c>
      <c r="AI393" s="15">
        <v>30</v>
      </c>
      <c r="AJ393" s="15">
        <v>10</v>
      </c>
      <c r="AK393" s="15">
        <v>30</v>
      </c>
      <c r="AL393" s="15">
        <f t="shared" ref="AL393:AL399" si="188">SUM(AD393:AK393)</f>
        <v>190</v>
      </c>
      <c r="AM393" s="29">
        <f t="shared" ref="AM393:AM399" si="189">P393*(J393/60)</f>
        <v>800</v>
      </c>
      <c r="AN393" s="19">
        <v>516</v>
      </c>
      <c r="AO393" s="21">
        <v>0</v>
      </c>
      <c r="AP393" s="22">
        <v>6</v>
      </c>
      <c r="AQ393" s="26">
        <f t="shared" ref="AQ393:AQ399" si="190">AN393-(AP393+AO393)</f>
        <v>510</v>
      </c>
      <c r="AR393" s="37">
        <f t="shared" ref="AR393:AR399" si="191">O393/P393</f>
        <v>1</v>
      </c>
      <c r="AS393" s="38">
        <f t="shared" ref="AS393:AS399" si="192">AN393/AM393</f>
        <v>0.64500000000000002</v>
      </c>
      <c r="AT393" s="38">
        <f t="shared" ref="AT393:AT399" si="193">AQ393/AN393</f>
        <v>0.98837209302325579</v>
      </c>
      <c r="AU393" s="27">
        <f t="shared" ref="AU393:AU399" si="194">AR393*AS393*AT393</f>
        <v>0.63749999999999996</v>
      </c>
    </row>
    <row r="394" spans="1:47" s="1" customFormat="1" ht="21" customHeight="1" x14ac:dyDescent="0.25">
      <c r="A394" s="109">
        <v>46050</v>
      </c>
      <c r="B394" s="47" t="s">
        <v>49</v>
      </c>
      <c r="C394" s="78" t="s">
        <v>21</v>
      </c>
      <c r="D394" s="47" t="s">
        <v>127</v>
      </c>
      <c r="E394" s="48">
        <v>98992</v>
      </c>
      <c r="F394" s="48" t="s">
        <v>175</v>
      </c>
      <c r="G394" s="48" t="s">
        <v>125</v>
      </c>
      <c r="H394" s="30">
        <v>15882</v>
      </c>
      <c r="I394" s="30">
        <v>20</v>
      </c>
      <c r="J394" s="28">
        <f t="shared" si="183"/>
        <v>180</v>
      </c>
      <c r="K394" s="31">
        <v>0.25</v>
      </c>
      <c r="L394" s="31">
        <v>0.60416666666666696</v>
      </c>
      <c r="M394" s="32">
        <f t="shared" si="184"/>
        <v>0.35416666666666696</v>
      </c>
      <c r="N394" s="36">
        <v>510</v>
      </c>
      <c r="O394" s="36">
        <f t="shared" si="185"/>
        <v>140</v>
      </c>
      <c r="P394" s="36">
        <f t="shared" si="186"/>
        <v>140</v>
      </c>
      <c r="Q394" s="15">
        <v>0</v>
      </c>
      <c r="R394" s="20">
        <v>0</v>
      </c>
      <c r="S394" s="16">
        <v>0</v>
      </c>
      <c r="T394" s="16">
        <v>0</v>
      </c>
      <c r="U394" s="20">
        <v>0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15">
        <f t="shared" si="187"/>
        <v>0</v>
      </c>
      <c r="AD394" s="15">
        <v>0</v>
      </c>
      <c r="AE394" s="15">
        <v>0</v>
      </c>
      <c r="AF394" s="15">
        <v>0</v>
      </c>
      <c r="AG394" s="15">
        <v>300</v>
      </c>
      <c r="AH394" s="15">
        <v>0</v>
      </c>
      <c r="AI394" s="15">
        <v>30</v>
      </c>
      <c r="AJ394" s="15">
        <v>10</v>
      </c>
      <c r="AK394" s="15">
        <v>30</v>
      </c>
      <c r="AL394" s="15">
        <f t="shared" si="188"/>
        <v>370</v>
      </c>
      <c r="AM394" s="29">
        <f t="shared" si="189"/>
        <v>420</v>
      </c>
      <c r="AN394" s="19">
        <v>300</v>
      </c>
      <c r="AO394" s="21">
        <v>0</v>
      </c>
      <c r="AP394" s="22">
        <v>0</v>
      </c>
      <c r="AQ394" s="26">
        <f t="shared" si="190"/>
        <v>300</v>
      </c>
      <c r="AR394" s="37">
        <f t="shared" si="191"/>
        <v>1</v>
      </c>
      <c r="AS394" s="38">
        <f t="shared" si="192"/>
        <v>0.7142857142857143</v>
      </c>
      <c r="AT394" s="38">
        <f t="shared" si="193"/>
        <v>1</v>
      </c>
      <c r="AU394" s="27">
        <f t="shared" si="194"/>
        <v>0.7142857142857143</v>
      </c>
    </row>
    <row r="395" spans="1:47" s="1" customFormat="1" ht="23.1" customHeight="1" x14ac:dyDescent="0.25">
      <c r="A395" s="109">
        <v>46050</v>
      </c>
      <c r="B395" s="47" t="s">
        <v>49</v>
      </c>
      <c r="C395" s="78" t="s">
        <v>51</v>
      </c>
      <c r="D395" s="47" t="s">
        <v>88</v>
      </c>
      <c r="E395" s="48">
        <v>98992</v>
      </c>
      <c r="F395" s="48" t="s">
        <v>126</v>
      </c>
      <c r="G395" s="48" t="s">
        <v>87</v>
      </c>
      <c r="H395" s="30">
        <v>15036</v>
      </c>
      <c r="I395" s="30">
        <v>32</v>
      </c>
      <c r="J395" s="28">
        <f t="shared" si="183"/>
        <v>112.5</v>
      </c>
      <c r="K395" s="31">
        <v>0.58333333333333337</v>
      </c>
      <c r="L395" s="31">
        <v>0.9375</v>
      </c>
      <c r="M395" s="32">
        <f t="shared" si="184"/>
        <v>0.35416666666666663</v>
      </c>
      <c r="N395" s="36">
        <v>510</v>
      </c>
      <c r="O395" s="36">
        <f t="shared" si="185"/>
        <v>440</v>
      </c>
      <c r="P395" s="36">
        <f t="shared" si="186"/>
        <v>440</v>
      </c>
      <c r="Q395" s="15">
        <v>0</v>
      </c>
      <c r="R395" s="20">
        <v>0</v>
      </c>
      <c r="S395" s="16">
        <v>0</v>
      </c>
      <c r="T395" s="16">
        <v>0</v>
      </c>
      <c r="U395" s="20">
        <v>0</v>
      </c>
      <c r="V395" s="20">
        <v>0</v>
      </c>
      <c r="W395" s="20">
        <v>0</v>
      </c>
      <c r="X395" s="20">
        <v>0</v>
      </c>
      <c r="Y395" s="20">
        <v>0</v>
      </c>
      <c r="Z395" s="20">
        <v>0</v>
      </c>
      <c r="AA395" s="20">
        <v>0</v>
      </c>
      <c r="AB395" s="20">
        <v>0</v>
      </c>
      <c r="AC395" s="15">
        <f t="shared" si="187"/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30</v>
      </c>
      <c r="AJ395" s="15">
        <v>10</v>
      </c>
      <c r="AK395" s="15">
        <v>30</v>
      </c>
      <c r="AL395" s="15">
        <f t="shared" si="188"/>
        <v>70</v>
      </c>
      <c r="AM395" s="29">
        <f t="shared" si="189"/>
        <v>825</v>
      </c>
      <c r="AN395" s="19">
        <v>704</v>
      </c>
      <c r="AO395" s="21">
        <v>0</v>
      </c>
      <c r="AP395" s="22">
        <v>6</v>
      </c>
      <c r="AQ395" s="26">
        <f t="shared" si="190"/>
        <v>698</v>
      </c>
      <c r="AR395" s="37">
        <f t="shared" si="191"/>
        <v>1</v>
      </c>
      <c r="AS395" s="38">
        <f t="shared" si="192"/>
        <v>0.85333333333333339</v>
      </c>
      <c r="AT395" s="38">
        <f t="shared" si="193"/>
        <v>0.99147727272727271</v>
      </c>
      <c r="AU395" s="27">
        <f t="shared" si="194"/>
        <v>0.84606060606060607</v>
      </c>
    </row>
    <row r="396" spans="1:47" s="1" customFormat="1" ht="23.1" customHeight="1" x14ac:dyDescent="0.25">
      <c r="A396" s="109">
        <v>46050</v>
      </c>
      <c r="B396" s="47" t="s">
        <v>49</v>
      </c>
      <c r="C396" s="78" t="s">
        <v>51</v>
      </c>
      <c r="D396" s="47" t="s">
        <v>89</v>
      </c>
      <c r="E396" s="48">
        <v>98992</v>
      </c>
      <c r="F396" s="48" t="s">
        <v>169</v>
      </c>
      <c r="G396" s="48" t="s">
        <v>87</v>
      </c>
      <c r="H396" s="30">
        <v>11682</v>
      </c>
      <c r="I396" s="30">
        <v>32</v>
      </c>
      <c r="J396" s="28">
        <f t="shared" si="183"/>
        <v>112.5</v>
      </c>
      <c r="K396" s="31">
        <v>0.58333333333333337</v>
      </c>
      <c r="L396" s="31">
        <v>0.9375</v>
      </c>
      <c r="M396" s="32">
        <f t="shared" si="184"/>
        <v>0.35416666666666663</v>
      </c>
      <c r="N396" s="36">
        <v>510</v>
      </c>
      <c r="O396" s="36">
        <f t="shared" si="185"/>
        <v>380</v>
      </c>
      <c r="P396" s="36">
        <f t="shared" si="186"/>
        <v>380</v>
      </c>
      <c r="Q396" s="15">
        <v>0</v>
      </c>
      <c r="R396" s="20">
        <v>0</v>
      </c>
      <c r="S396" s="16">
        <v>0</v>
      </c>
      <c r="T396" s="16">
        <v>0</v>
      </c>
      <c r="U396" s="20">
        <v>0</v>
      </c>
      <c r="V396" s="20">
        <v>0</v>
      </c>
      <c r="W396" s="20">
        <v>0</v>
      </c>
      <c r="X396" s="20">
        <v>0</v>
      </c>
      <c r="Y396" s="20">
        <v>0</v>
      </c>
      <c r="Z396" s="20">
        <v>0</v>
      </c>
      <c r="AA396" s="20">
        <v>0</v>
      </c>
      <c r="AB396" s="20">
        <v>0</v>
      </c>
      <c r="AC396" s="15">
        <f t="shared" si="187"/>
        <v>0</v>
      </c>
      <c r="AD396" s="15">
        <v>0</v>
      </c>
      <c r="AE396" s="15">
        <v>0</v>
      </c>
      <c r="AF396" s="15">
        <v>0</v>
      </c>
      <c r="AG396" s="15">
        <v>60</v>
      </c>
      <c r="AH396" s="15">
        <v>0</v>
      </c>
      <c r="AI396" s="15">
        <v>30</v>
      </c>
      <c r="AJ396" s="15">
        <v>10</v>
      </c>
      <c r="AK396" s="15">
        <v>30</v>
      </c>
      <c r="AL396" s="15">
        <f t="shared" si="188"/>
        <v>130</v>
      </c>
      <c r="AM396" s="29">
        <f t="shared" si="189"/>
        <v>712.5</v>
      </c>
      <c r="AN396" s="19">
        <v>633</v>
      </c>
      <c r="AO396" s="21">
        <v>0</v>
      </c>
      <c r="AP396" s="22">
        <v>2</v>
      </c>
      <c r="AQ396" s="26">
        <f t="shared" si="190"/>
        <v>631</v>
      </c>
      <c r="AR396" s="37">
        <f t="shared" si="191"/>
        <v>1</v>
      </c>
      <c r="AS396" s="38">
        <f t="shared" si="192"/>
        <v>0.888421052631579</v>
      </c>
      <c r="AT396" s="38">
        <f t="shared" si="193"/>
        <v>0.99684044233807267</v>
      </c>
      <c r="AU396" s="27">
        <f t="shared" si="194"/>
        <v>0.88561403508771941</v>
      </c>
    </row>
    <row r="397" spans="1:47" s="1" customFormat="1" ht="21" customHeight="1" x14ac:dyDescent="0.25">
      <c r="A397" s="109">
        <v>46050</v>
      </c>
      <c r="B397" s="47" t="s">
        <v>49</v>
      </c>
      <c r="C397" s="78" t="s">
        <v>51</v>
      </c>
      <c r="D397" s="47" t="s">
        <v>124</v>
      </c>
      <c r="E397" s="48">
        <v>98992</v>
      </c>
      <c r="F397" s="48" t="s">
        <v>215</v>
      </c>
      <c r="G397" s="48" t="s">
        <v>125</v>
      </c>
      <c r="H397" s="30">
        <v>14972</v>
      </c>
      <c r="I397" s="30">
        <v>32</v>
      </c>
      <c r="J397" s="28">
        <f t="shared" si="183"/>
        <v>112.5</v>
      </c>
      <c r="K397" s="31">
        <v>0.58333333333333337</v>
      </c>
      <c r="L397" s="31">
        <v>0.9375</v>
      </c>
      <c r="M397" s="32">
        <f t="shared" si="184"/>
        <v>0.35416666666666663</v>
      </c>
      <c r="N397" s="36">
        <v>510</v>
      </c>
      <c r="O397" s="36">
        <f t="shared" si="185"/>
        <v>440</v>
      </c>
      <c r="P397" s="36">
        <f t="shared" si="186"/>
        <v>440</v>
      </c>
      <c r="Q397" s="15">
        <v>0</v>
      </c>
      <c r="R397" s="20">
        <v>0</v>
      </c>
      <c r="S397" s="16">
        <v>0</v>
      </c>
      <c r="T397" s="16">
        <v>0</v>
      </c>
      <c r="U397" s="20">
        <v>0</v>
      </c>
      <c r="V397" s="20">
        <v>0</v>
      </c>
      <c r="W397" s="20">
        <v>0</v>
      </c>
      <c r="X397" s="20">
        <v>0</v>
      </c>
      <c r="Y397" s="20">
        <v>0</v>
      </c>
      <c r="Z397" s="20">
        <v>0</v>
      </c>
      <c r="AA397" s="20">
        <v>0</v>
      </c>
      <c r="AB397" s="20">
        <v>0</v>
      </c>
      <c r="AC397" s="15">
        <f t="shared" si="187"/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30</v>
      </c>
      <c r="AJ397" s="15">
        <v>10</v>
      </c>
      <c r="AK397" s="15">
        <v>30</v>
      </c>
      <c r="AL397" s="15">
        <f t="shared" si="188"/>
        <v>70</v>
      </c>
      <c r="AM397" s="29">
        <f t="shared" si="189"/>
        <v>825</v>
      </c>
      <c r="AN397" s="19">
        <v>720</v>
      </c>
      <c r="AO397" s="21">
        <v>0</v>
      </c>
      <c r="AP397" s="22">
        <v>2</v>
      </c>
      <c r="AQ397" s="26">
        <f t="shared" si="190"/>
        <v>718</v>
      </c>
      <c r="AR397" s="37">
        <f t="shared" si="191"/>
        <v>1</v>
      </c>
      <c r="AS397" s="38">
        <f t="shared" si="192"/>
        <v>0.87272727272727268</v>
      </c>
      <c r="AT397" s="38">
        <f t="shared" si="193"/>
        <v>0.99722222222222223</v>
      </c>
      <c r="AU397" s="27">
        <f t="shared" si="194"/>
        <v>0.87030303030303025</v>
      </c>
    </row>
    <row r="398" spans="1:47" s="1" customFormat="1" ht="21" customHeight="1" x14ac:dyDescent="0.25">
      <c r="A398" s="109">
        <v>46050</v>
      </c>
      <c r="B398" s="47" t="s">
        <v>49</v>
      </c>
      <c r="C398" s="78" t="s">
        <v>51</v>
      </c>
      <c r="D398" s="47" t="s">
        <v>122</v>
      </c>
      <c r="E398" s="48">
        <v>98992</v>
      </c>
      <c r="F398" s="48" t="s">
        <v>169</v>
      </c>
      <c r="G398" s="48" t="s">
        <v>125</v>
      </c>
      <c r="H398" s="30">
        <v>15688</v>
      </c>
      <c r="I398" s="30">
        <v>32</v>
      </c>
      <c r="J398" s="28">
        <f t="shared" si="183"/>
        <v>112.5</v>
      </c>
      <c r="K398" s="31">
        <v>0.58333333333333337</v>
      </c>
      <c r="L398" s="31">
        <v>0.9375</v>
      </c>
      <c r="M398" s="32">
        <f t="shared" si="184"/>
        <v>0.35416666666666663</v>
      </c>
      <c r="N398" s="36">
        <v>510</v>
      </c>
      <c r="O398" s="36">
        <f t="shared" si="185"/>
        <v>380</v>
      </c>
      <c r="P398" s="36">
        <f t="shared" si="186"/>
        <v>380</v>
      </c>
      <c r="Q398" s="15">
        <v>0</v>
      </c>
      <c r="R398" s="20">
        <v>0</v>
      </c>
      <c r="S398" s="16">
        <v>0</v>
      </c>
      <c r="T398" s="16">
        <v>0</v>
      </c>
      <c r="U398" s="20">
        <v>0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15">
        <f t="shared" si="187"/>
        <v>0</v>
      </c>
      <c r="AD398" s="15">
        <v>0</v>
      </c>
      <c r="AE398" s="15">
        <v>0</v>
      </c>
      <c r="AF398" s="15">
        <v>0</v>
      </c>
      <c r="AG398" s="15">
        <v>60</v>
      </c>
      <c r="AH398" s="15">
        <v>0</v>
      </c>
      <c r="AI398" s="15">
        <v>30</v>
      </c>
      <c r="AJ398" s="15">
        <v>10</v>
      </c>
      <c r="AK398" s="15">
        <v>30</v>
      </c>
      <c r="AL398" s="15">
        <f t="shared" si="188"/>
        <v>130</v>
      </c>
      <c r="AM398" s="29">
        <f t="shared" si="189"/>
        <v>712.5</v>
      </c>
      <c r="AN398" s="19">
        <v>601</v>
      </c>
      <c r="AO398" s="21">
        <v>0</v>
      </c>
      <c r="AP398" s="22">
        <v>1</v>
      </c>
      <c r="AQ398" s="26">
        <f t="shared" si="190"/>
        <v>600</v>
      </c>
      <c r="AR398" s="37">
        <f t="shared" si="191"/>
        <v>1</v>
      </c>
      <c r="AS398" s="38">
        <f t="shared" si="192"/>
        <v>0.84350877192982454</v>
      </c>
      <c r="AT398" s="38">
        <f t="shared" si="193"/>
        <v>0.99833610648918469</v>
      </c>
      <c r="AU398" s="27">
        <f t="shared" si="194"/>
        <v>0.84210526315789469</v>
      </c>
    </row>
    <row r="399" spans="1:47" s="1" customFormat="1" ht="21" customHeight="1" x14ac:dyDescent="0.25">
      <c r="A399" s="109">
        <v>46050</v>
      </c>
      <c r="B399" s="47" t="s">
        <v>49</v>
      </c>
      <c r="C399" s="78" t="s">
        <v>51</v>
      </c>
      <c r="D399" s="47" t="s">
        <v>170</v>
      </c>
      <c r="E399" s="48">
        <v>98992</v>
      </c>
      <c r="F399" s="48" t="s">
        <v>176</v>
      </c>
      <c r="G399" s="48" t="s">
        <v>125</v>
      </c>
      <c r="H399" s="30">
        <v>15688</v>
      </c>
      <c r="I399" s="30">
        <v>20</v>
      </c>
      <c r="J399" s="28">
        <f t="shared" si="183"/>
        <v>180</v>
      </c>
      <c r="K399" s="31">
        <v>0.58333333333333337</v>
      </c>
      <c r="L399" s="31">
        <v>0.9375</v>
      </c>
      <c r="M399" s="32">
        <f t="shared" si="184"/>
        <v>0.35416666666666663</v>
      </c>
      <c r="N399" s="36">
        <v>510</v>
      </c>
      <c r="O399" s="36">
        <f t="shared" si="185"/>
        <v>140</v>
      </c>
      <c r="P399" s="36">
        <f t="shared" si="186"/>
        <v>140</v>
      </c>
      <c r="Q399" s="15">
        <v>0</v>
      </c>
      <c r="R399" s="20">
        <v>0</v>
      </c>
      <c r="S399" s="16">
        <v>0</v>
      </c>
      <c r="T399" s="16">
        <v>0</v>
      </c>
      <c r="U399" s="20">
        <v>0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15">
        <f t="shared" si="187"/>
        <v>0</v>
      </c>
      <c r="AD399" s="15">
        <v>0</v>
      </c>
      <c r="AE399" s="15">
        <v>0</v>
      </c>
      <c r="AF399" s="15">
        <v>0</v>
      </c>
      <c r="AG399" s="15">
        <v>300</v>
      </c>
      <c r="AH399" s="15">
        <v>0</v>
      </c>
      <c r="AI399" s="15">
        <v>30</v>
      </c>
      <c r="AJ399" s="15">
        <v>10</v>
      </c>
      <c r="AK399" s="15">
        <v>30</v>
      </c>
      <c r="AL399" s="15">
        <f t="shared" si="188"/>
        <v>370</v>
      </c>
      <c r="AM399" s="29">
        <f t="shared" si="189"/>
        <v>420</v>
      </c>
      <c r="AN399" s="19">
        <v>180</v>
      </c>
      <c r="AO399" s="21">
        <v>0</v>
      </c>
      <c r="AP399" s="22">
        <v>0</v>
      </c>
      <c r="AQ399" s="26">
        <f t="shared" si="190"/>
        <v>180</v>
      </c>
      <c r="AR399" s="37">
        <f t="shared" si="191"/>
        <v>1</v>
      </c>
      <c r="AS399" s="38">
        <f t="shared" si="192"/>
        <v>0.42857142857142855</v>
      </c>
      <c r="AT399" s="38">
        <f t="shared" si="193"/>
        <v>1</v>
      </c>
      <c r="AU399" s="27">
        <f t="shared" si="194"/>
        <v>0.42857142857142855</v>
      </c>
    </row>
    <row r="400" spans="1:47" s="1" customFormat="1" ht="21" customHeight="1" x14ac:dyDescent="0.25">
      <c r="A400" s="109">
        <v>46050</v>
      </c>
      <c r="B400" s="47" t="s">
        <v>49</v>
      </c>
      <c r="C400" s="78" t="s">
        <v>51</v>
      </c>
      <c r="D400" s="47" t="s">
        <v>127</v>
      </c>
      <c r="E400" s="48">
        <v>98992</v>
      </c>
      <c r="F400" s="48" t="s">
        <v>175</v>
      </c>
      <c r="G400" s="48" t="s">
        <v>125</v>
      </c>
      <c r="H400" s="30">
        <v>13669</v>
      </c>
      <c r="I400" s="30">
        <v>20</v>
      </c>
      <c r="J400" s="28">
        <f t="shared" ref="J400:J411" si="195">3600/I400</f>
        <v>180</v>
      </c>
      <c r="K400" s="31">
        <v>0.58333333333333337</v>
      </c>
      <c r="L400" s="31">
        <v>0.9375</v>
      </c>
      <c r="M400" s="32">
        <f t="shared" ref="M400:M411" si="196">IF(L400&gt;K400,L400-K400,1+L400-K400)</f>
        <v>0.35416666666666663</v>
      </c>
      <c r="N400" s="36">
        <v>510</v>
      </c>
      <c r="O400" s="36">
        <f t="shared" ref="O400:O411" si="197">P400-AC400</f>
        <v>140</v>
      </c>
      <c r="P400" s="36">
        <f t="shared" ref="P400:P411" si="198">N400-AL400</f>
        <v>140</v>
      </c>
      <c r="Q400" s="15">
        <v>0</v>
      </c>
      <c r="R400" s="20">
        <v>0</v>
      </c>
      <c r="S400" s="16">
        <v>0</v>
      </c>
      <c r="T400" s="16">
        <v>0</v>
      </c>
      <c r="U400" s="20">
        <v>0</v>
      </c>
      <c r="V400" s="20">
        <v>0</v>
      </c>
      <c r="W400" s="20">
        <v>0</v>
      </c>
      <c r="X400" s="20">
        <v>0</v>
      </c>
      <c r="Y400" s="20">
        <v>0</v>
      </c>
      <c r="Z400" s="20">
        <v>0</v>
      </c>
      <c r="AA400" s="20">
        <v>0</v>
      </c>
      <c r="AB400" s="20">
        <v>0</v>
      </c>
      <c r="AC400" s="15">
        <f t="shared" ref="AC400:AC406" si="199">SUM(Q400:AB400)</f>
        <v>0</v>
      </c>
      <c r="AD400" s="15">
        <v>0</v>
      </c>
      <c r="AE400" s="15">
        <v>0</v>
      </c>
      <c r="AF400" s="15">
        <v>0</v>
      </c>
      <c r="AG400" s="15">
        <v>300</v>
      </c>
      <c r="AH400" s="15">
        <v>0</v>
      </c>
      <c r="AI400" s="15">
        <v>30</v>
      </c>
      <c r="AJ400" s="15">
        <v>10</v>
      </c>
      <c r="AK400" s="15">
        <v>30</v>
      </c>
      <c r="AL400" s="15">
        <f t="shared" ref="AL400:AL406" si="200">SUM(AD400:AK400)</f>
        <v>370</v>
      </c>
      <c r="AM400" s="29">
        <f t="shared" ref="AM400:AM408" si="201">P400*(J400/60)</f>
        <v>420</v>
      </c>
      <c r="AN400" s="19">
        <v>180</v>
      </c>
      <c r="AO400" s="21">
        <v>0</v>
      </c>
      <c r="AP400" s="22">
        <v>0</v>
      </c>
      <c r="AQ400" s="26">
        <f t="shared" ref="AQ400:AQ411" si="202">AN400-(AP400+AO400)</f>
        <v>180</v>
      </c>
      <c r="AR400" s="37">
        <f t="shared" ref="AR400:AR411" si="203">O400/P400</f>
        <v>1</v>
      </c>
      <c r="AS400" s="38">
        <f t="shared" ref="AS400:AS411" si="204">AN400/AM400</f>
        <v>0.42857142857142855</v>
      </c>
      <c r="AT400" s="38">
        <f t="shared" ref="AT400:AT411" si="205">AQ400/AN400</f>
        <v>1</v>
      </c>
      <c r="AU400" s="27">
        <f t="shared" ref="AU400:AU411" si="206">AR400*AS400*AT400</f>
        <v>0.42857142857142855</v>
      </c>
    </row>
    <row r="401" spans="1:47" s="1" customFormat="1" ht="21" customHeight="1" x14ac:dyDescent="0.25">
      <c r="A401" s="109">
        <v>46051</v>
      </c>
      <c r="B401" s="47" t="s">
        <v>49</v>
      </c>
      <c r="C401" s="79" t="s">
        <v>21</v>
      </c>
      <c r="D401" s="47" t="s">
        <v>88</v>
      </c>
      <c r="E401" s="48">
        <v>98992</v>
      </c>
      <c r="F401" s="48" t="s">
        <v>126</v>
      </c>
      <c r="G401" s="48" t="s">
        <v>87</v>
      </c>
      <c r="H401" s="30">
        <v>13106</v>
      </c>
      <c r="I401" s="30">
        <v>32</v>
      </c>
      <c r="J401" s="28">
        <f t="shared" si="195"/>
        <v>112.5</v>
      </c>
      <c r="K401" s="31">
        <v>0.25</v>
      </c>
      <c r="L401" s="31">
        <v>0.60416666666666696</v>
      </c>
      <c r="M401" s="32">
        <f t="shared" si="196"/>
        <v>0.35416666666666696</v>
      </c>
      <c r="N401" s="36">
        <v>510</v>
      </c>
      <c r="O401" s="36">
        <f t="shared" si="197"/>
        <v>440</v>
      </c>
      <c r="P401" s="36">
        <f t="shared" si="198"/>
        <v>440</v>
      </c>
      <c r="Q401" s="15">
        <v>0</v>
      </c>
      <c r="R401" s="20">
        <v>0</v>
      </c>
      <c r="S401" s="16">
        <v>0</v>
      </c>
      <c r="T401" s="16">
        <v>0</v>
      </c>
      <c r="U401" s="20">
        <v>0</v>
      </c>
      <c r="V401" s="20">
        <v>0</v>
      </c>
      <c r="W401" s="20">
        <v>0</v>
      </c>
      <c r="X401" s="20">
        <v>0</v>
      </c>
      <c r="Y401" s="20">
        <v>0</v>
      </c>
      <c r="Z401" s="20">
        <v>0</v>
      </c>
      <c r="AA401" s="20">
        <v>0</v>
      </c>
      <c r="AB401" s="20">
        <v>0</v>
      </c>
      <c r="AC401" s="15">
        <f t="shared" si="199"/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30</v>
      </c>
      <c r="AJ401" s="15">
        <v>10</v>
      </c>
      <c r="AK401" s="15">
        <v>30</v>
      </c>
      <c r="AL401" s="15">
        <f t="shared" si="200"/>
        <v>70</v>
      </c>
      <c r="AM401" s="29">
        <f t="shared" si="201"/>
        <v>825</v>
      </c>
      <c r="AN401" s="19">
        <v>621</v>
      </c>
      <c r="AO401" s="21">
        <v>0</v>
      </c>
      <c r="AP401" s="22">
        <v>3</v>
      </c>
      <c r="AQ401" s="26">
        <f t="shared" si="202"/>
        <v>618</v>
      </c>
      <c r="AR401" s="37">
        <f t="shared" si="203"/>
        <v>1</v>
      </c>
      <c r="AS401" s="38">
        <f t="shared" si="204"/>
        <v>0.75272727272727269</v>
      </c>
      <c r="AT401" s="38">
        <f t="shared" si="205"/>
        <v>0.99516908212560384</v>
      </c>
      <c r="AU401" s="27">
        <f t="shared" si="206"/>
        <v>0.74909090909090903</v>
      </c>
    </row>
    <row r="402" spans="1:47" s="1" customFormat="1" ht="21" customHeight="1" x14ac:dyDescent="0.25">
      <c r="A402" s="109">
        <v>46051</v>
      </c>
      <c r="B402" s="47" t="s">
        <v>49</v>
      </c>
      <c r="C402" s="79" t="s">
        <v>21</v>
      </c>
      <c r="D402" s="47" t="s">
        <v>89</v>
      </c>
      <c r="E402" s="48">
        <v>98992</v>
      </c>
      <c r="F402" s="48" t="s">
        <v>169</v>
      </c>
      <c r="G402" s="48" t="s">
        <v>87</v>
      </c>
      <c r="H402" s="30">
        <v>16219</v>
      </c>
      <c r="I402" s="30">
        <v>32</v>
      </c>
      <c r="J402" s="28">
        <f t="shared" si="195"/>
        <v>112.5</v>
      </c>
      <c r="K402" s="31">
        <v>0.25</v>
      </c>
      <c r="L402" s="31">
        <v>0.60416666666666696</v>
      </c>
      <c r="M402" s="32">
        <f t="shared" si="196"/>
        <v>0.35416666666666696</v>
      </c>
      <c r="N402" s="36">
        <v>510</v>
      </c>
      <c r="O402" s="36">
        <f t="shared" si="197"/>
        <v>380</v>
      </c>
      <c r="P402" s="36">
        <f t="shared" si="198"/>
        <v>380</v>
      </c>
      <c r="Q402" s="15">
        <v>0</v>
      </c>
      <c r="R402" s="20">
        <v>0</v>
      </c>
      <c r="S402" s="16">
        <v>0</v>
      </c>
      <c r="T402" s="16">
        <v>0</v>
      </c>
      <c r="U402" s="20">
        <v>0</v>
      </c>
      <c r="V402" s="20">
        <v>0</v>
      </c>
      <c r="W402" s="20">
        <v>0</v>
      </c>
      <c r="X402" s="20">
        <v>0</v>
      </c>
      <c r="Y402" s="20">
        <v>0</v>
      </c>
      <c r="Z402" s="20">
        <v>0</v>
      </c>
      <c r="AA402" s="20">
        <v>0</v>
      </c>
      <c r="AB402" s="20">
        <v>0</v>
      </c>
      <c r="AC402" s="15">
        <f t="shared" si="199"/>
        <v>0</v>
      </c>
      <c r="AD402" s="15">
        <v>0</v>
      </c>
      <c r="AE402" s="15">
        <v>0</v>
      </c>
      <c r="AF402" s="15">
        <v>0</v>
      </c>
      <c r="AG402" s="15">
        <v>60</v>
      </c>
      <c r="AH402" s="15">
        <v>0</v>
      </c>
      <c r="AI402" s="15">
        <v>30</v>
      </c>
      <c r="AJ402" s="15">
        <v>10</v>
      </c>
      <c r="AK402" s="15">
        <v>30</v>
      </c>
      <c r="AL402" s="15">
        <f t="shared" si="200"/>
        <v>130</v>
      </c>
      <c r="AM402" s="29">
        <f t="shared" si="201"/>
        <v>712.5</v>
      </c>
      <c r="AN402" s="19">
        <v>611</v>
      </c>
      <c r="AO402" s="21">
        <v>0</v>
      </c>
      <c r="AP402" s="22">
        <v>2</v>
      </c>
      <c r="AQ402" s="26">
        <f t="shared" si="202"/>
        <v>609</v>
      </c>
      <c r="AR402" s="37">
        <f t="shared" si="203"/>
        <v>1</v>
      </c>
      <c r="AS402" s="38">
        <f t="shared" si="204"/>
        <v>0.85754385964912283</v>
      </c>
      <c r="AT402" s="38">
        <f t="shared" si="205"/>
        <v>0.99672667757774136</v>
      </c>
      <c r="AU402" s="27">
        <f t="shared" si="206"/>
        <v>0.85473684210526313</v>
      </c>
    </row>
    <row r="403" spans="1:47" s="1" customFormat="1" ht="21" customHeight="1" x14ac:dyDescent="0.25">
      <c r="A403" s="109">
        <v>46051</v>
      </c>
      <c r="B403" s="47" t="s">
        <v>49</v>
      </c>
      <c r="C403" s="79" t="s">
        <v>21</v>
      </c>
      <c r="D403" s="47" t="s">
        <v>52</v>
      </c>
      <c r="E403" s="48">
        <v>98992</v>
      </c>
      <c r="F403" s="48" t="s">
        <v>53</v>
      </c>
      <c r="G403" s="48" t="s">
        <v>87</v>
      </c>
      <c r="H403" s="30">
        <v>15710</v>
      </c>
      <c r="I403" s="30">
        <v>32</v>
      </c>
      <c r="J403" s="28">
        <f t="shared" si="195"/>
        <v>112.5</v>
      </c>
      <c r="K403" s="31">
        <v>0.25</v>
      </c>
      <c r="L403" s="31">
        <v>0.60416666666666696</v>
      </c>
      <c r="M403" s="32">
        <f t="shared" si="196"/>
        <v>0.35416666666666696</v>
      </c>
      <c r="N403" s="36">
        <v>510</v>
      </c>
      <c r="O403" s="36">
        <f t="shared" si="197"/>
        <v>320</v>
      </c>
      <c r="P403" s="36">
        <f t="shared" si="198"/>
        <v>320</v>
      </c>
      <c r="Q403" s="15">
        <v>0</v>
      </c>
      <c r="R403" s="20">
        <v>0</v>
      </c>
      <c r="S403" s="16">
        <v>0</v>
      </c>
      <c r="T403" s="16">
        <v>0</v>
      </c>
      <c r="U403" s="20">
        <v>0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15">
        <f t="shared" si="199"/>
        <v>0</v>
      </c>
      <c r="AD403" s="15">
        <v>0</v>
      </c>
      <c r="AE403" s="15">
        <v>0</v>
      </c>
      <c r="AF403" s="15">
        <v>0</v>
      </c>
      <c r="AG403" s="15">
        <v>120</v>
      </c>
      <c r="AH403" s="15">
        <v>0</v>
      </c>
      <c r="AI403" s="15">
        <v>30</v>
      </c>
      <c r="AJ403" s="15">
        <v>10</v>
      </c>
      <c r="AK403" s="15">
        <v>30</v>
      </c>
      <c r="AL403" s="15">
        <f t="shared" si="200"/>
        <v>190</v>
      </c>
      <c r="AM403" s="29">
        <f t="shared" si="201"/>
        <v>600</v>
      </c>
      <c r="AN403" s="19">
        <v>480</v>
      </c>
      <c r="AO403" s="21">
        <v>0</v>
      </c>
      <c r="AP403" s="22">
        <v>2</v>
      </c>
      <c r="AQ403" s="26">
        <f t="shared" si="202"/>
        <v>478</v>
      </c>
      <c r="AR403" s="37">
        <f t="shared" si="203"/>
        <v>1</v>
      </c>
      <c r="AS403" s="38">
        <f t="shared" si="204"/>
        <v>0.8</v>
      </c>
      <c r="AT403" s="38">
        <f t="shared" si="205"/>
        <v>0.99583333333333335</v>
      </c>
      <c r="AU403" s="27">
        <f t="shared" si="206"/>
        <v>0.79666666666666675</v>
      </c>
    </row>
    <row r="404" spans="1:47" s="1" customFormat="1" ht="21" customHeight="1" x14ac:dyDescent="0.25">
      <c r="A404" s="109">
        <v>46051</v>
      </c>
      <c r="B404" s="47" t="s">
        <v>49</v>
      </c>
      <c r="C404" s="79" t="s">
        <v>21</v>
      </c>
      <c r="D404" s="47" t="s">
        <v>86</v>
      </c>
      <c r="E404" s="48">
        <v>98992</v>
      </c>
      <c r="F404" s="48" t="s">
        <v>176</v>
      </c>
      <c r="G404" s="48" t="s">
        <v>87</v>
      </c>
      <c r="H404" s="30">
        <v>15859</v>
      </c>
      <c r="I404" s="30">
        <v>20</v>
      </c>
      <c r="J404" s="28">
        <f t="shared" si="195"/>
        <v>180</v>
      </c>
      <c r="K404" s="31">
        <v>0.25</v>
      </c>
      <c r="L404" s="31">
        <v>0.60416666666666696</v>
      </c>
      <c r="M404" s="32">
        <f t="shared" si="196"/>
        <v>0.35416666666666696</v>
      </c>
      <c r="N404" s="36">
        <v>510</v>
      </c>
      <c r="O404" s="36">
        <f t="shared" si="197"/>
        <v>140</v>
      </c>
      <c r="P404" s="36">
        <f t="shared" si="198"/>
        <v>140</v>
      </c>
      <c r="Q404" s="15">
        <v>0</v>
      </c>
      <c r="R404" s="20">
        <v>0</v>
      </c>
      <c r="S404" s="16">
        <v>0</v>
      </c>
      <c r="T404" s="16">
        <v>0</v>
      </c>
      <c r="U404" s="20">
        <v>0</v>
      </c>
      <c r="V404" s="20">
        <v>0</v>
      </c>
      <c r="W404" s="20">
        <v>0</v>
      </c>
      <c r="X404" s="20">
        <v>0</v>
      </c>
      <c r="Y404" s="20">
        <v>0</v>
      </c>
      <c r="Z404" s="20">
        <v>0</v>
      </c>
      <c r="AA404" s="20">
        <v>0</v>
      </c>
      <c r="AB404" s="20">
        <v>0</v>
      </c>
      <c r="AC404" s="15">
        <f t="shared" si="199"/>
        <v>0</v>
      </c>
      <c r="AD404" s="15">
        <v>0</v>
      </c>
      <c r="AE404" s="15">
        <v>0</v>
      </c>
      <c r="AF404" s="15">
        <v>0</v>
      </c>
      <c r="AG404" s="15">
        <v>300</v>
      </c>
      <c r="AH404" s="15">
        <v>0</v>
      </c>
      <c r="AI404" s="15">
        <v>30</v>
      </c>
      <c r="AJ404" s="15">
        <v>10</v>
      </c>
      <c r="AK404" s="15">
        <v>30</v>
      </c>
      <c r="AL404" s="15">
        <f t="shared" si="200"/>
        <v>370</v>
      </c>
      <c r="AM404" s="29">
        <f t="shared" si="201"/>
        <v>420</v>
      </c>
      <c r="AN404" s="19">
        <v>304</v>
      </c>
      <c r="AO404" s="21">
        <v>0</v>
      </c>
      <c r="AP404" s="22">
        <v>2</v>
      </c>
      <c r="AQ404" s="26">
        <f t="shared" si="202"/>
        <v>302</v>
      </c>
      <c r="AR404" s="37">
        <f t="shared" si="203"/>
        <v>1</v>
      </c>
      <c r="AS404" s="38">
        <f t="shared" si="204"/>
        <v>0.72380952380952379</v>
      </c>
      <c r="AT404" s="38">
        <f t="shared" si="205"/>
        <v>0.99342105263157898</v>
      </c>
      <c r="AU404" s="27">
        <f t="shared" si="206"/>
        <v>0.71904761904761905</v>
      </c>
    </row>
    <row r="405" spans="1:47" s="1" customFormat="1" ht="21" customHeight="1" x14ac:dyDescent="0.25">
      <c r="A405" s="109">
        <v>46051</v>
      </c>
      <c r="B405" s="47" t="s">
        <v>49</v>
      </c>
      <c r="C405" s="79" t="s">
        <v>21</v>
      </c>
      <c r="D405" s="47" t="s">
        <v>172</v>
      </c>
      <c r="E405" s="48">
        <v>98992</v>
      </c>
      <c r="F405" s="48" t="s">
        <v>175</v>
      </c>
      <c r="G405" s="48" t="s">
        <v>87</v>
      </c>
      <c r="H405" s="30">
        <v>15618</v>
      </c>
      <c r="I405" s="30">
        <v>20</v>
      </c>
      <c r="J405" s="28">
        <f t="shared" si="195"/>
        <v>180</v>
      </c>
      <c r="K405" s="31">
        <v>0.25</v>
      </c>
      <c r="L405" s="31">
        <v>0.60416666666666696</v>
      </c>
      <c r="M405" s="32">
        <f t="shared" si="196"/>
        <v>0.35416666666666696</v>
      </c>
      <c r="N405" s="36">
        <v>510</v>
      </c>
      <c r="O405" s="36">
        <f t="shared" si="197"/>
        <v>140</v>
      </c>
      <c r="P405" s="36">
        <f t="shared" si="198"/>
        <v>140</v>
      </c>
      <c r="Q405" s="15">
        <v>0</v>
      </c>
      <c r="R405" s="20">
        <v>0</v>
      </c>
      <c r="S405" s="16">
        <v>0</v>
      </c>
      <c r="T405" s="16">
        <v>0</v>
      </c>
      <c r="U405" s="20">
        <v>0</v>
      </c>
      <c r="V405" s="20">
        <v>0</v>
      </c>
      <c r="W405" s="20">
        <v>0</v>
      </c>
      <c r="X405" s="20">
        <v>0</v>
      </c>
      <c r="Y405" s="20">
        <v>0</v>
      </c>
      <c r="Z405" s="20">
        <v>0</v>
      </c>
      <c r="AA405" s="20">
        <v>0</v>
      </c>
      <c r="AB405" s="20">
        <v>0</v>
      </c>
      <c r="AC405" s="15">
        <f t="shared" si="199"/>
        <v>0</v>
      </c>
      <c r="AD405" s="15">
        <v>0</v>
      </c>
      <c r="AE405" s="15">
        <v>0</v>
      </c>
      <c r="AF405" s="15">
        <v>0</v>
      </c>
      <c r="AG405" s="15">
        <v>300</v>
      </c>
      <c r="AH405" s="15">
        <v>0</v>
      </c>
      <c r="AI405" s="15">
        <v>30</v>
      </c>
      <c r="AJ405" s="15">
        <v>10</v>
      </c>
      <c r="AK405" s="15">
        <v>30</v>
      </c>
      <c r="AL405" s="15">
        <f t="shared" si="200"/>
        <v>370</v>
      </c>
      <c r="AM405" s="29">
        <f t="shared" si="201"/>
        <v>420</v>
      </c>
      <c r="AN405" s="19">
        <v>96</v>
      </c>
      <c r="AO405" s="21">
        <v>0</v>
      </c>
      <c r="AP405" s="22">
        <v>0</v>
      </c>
      <c r="AQ405" s="26">
        <f t="shared" si="202"/>
        <v>96</v>
      </c>
      <c r="AR405" s="37">
        <f t="shared" si="203"/>
        <v>1</v>
      </c>
      <c r="AS405" s="38">
        <f t="shared" si="204"/>
        <v>0.22857142857142856</v>
      </c>
      <c r="AT405" s="38">
        <f t="shared" si="205"/>
        <v>1</v>
      </c>
      <c r="AU405" s="27">
        <f t="shared" si="206"/>
        <v>0.22857142857142856</v>
      </c>
    </row>
    <row r="406" spans="1:47" s="1" customFormat="1" ht="21" customHeight="1" x14ac:dyDescent="0.25">
      <c r="A406" s="109">
        <v>46051</v>
      </c>
      <c r="B406" s="47" t="s">
        <v>49</v>
      </c>
      <c r="C406" s="79" t="s">
        <v>51</v>
      </c>
      <c r="D406" s="47" t="s">
        <v>94</v>
      </c>
      <c r="E406" s="48">
        <v>98992</v>
      </c>
      <c r="F406" s="48" t="s">
        <v>67</v>
      </c>
      <c r="G406" s="48" t="s">
        <v>174</v>
      </c>
      <c r="H406" s="30">
        <v>13562</v>
      </c>
      <c r="I406" s="30">
        <v>24</v>
      </c>
      <c r="J406" s="28">
        <f t="shared" si="195"/>
        <v>150</v>
      </c>
      <c r="K406" s="31">
        <v>0.58333333333333337</v>
      </c>
      <c r="L406" s="31">
        <v>0.9375</v>
      </c>
      <c r="M406" s="32">
        <f t="shared" si="196"/>
        <v>0.35416666666666663</v>
      </c>
      <c r="N406" s="36">
        <v>510</v>
      </c>
      <c r="O406" s="36">
        <f t="shared" si="197"/>
        <v>380</v>
      </c>
      <c r="P406" s="36">
        <f t="shared" si="198"/>
        <v>380</v>
      </c>
      <c r="Q406" s="15">
        <v>0</v>
      </c>
      <c r="R406" s="20">
        <v>0</v>
      </c>
      <c r="S406" s="16">
        <v>0</v>
      </c>
      <c r="T406" s="16">
        <v>0</v>
      </c>
      <c r="U406" s="20">
        <v>0</v>
      </c>
      <c r="V406" s="20">
        <v>0</v>
      </c>
      <c r="W406" s="20">
        <v>0</v>
      </c>
      <c r="X406" s="20">
        <v>0</v>
      </c>
      <c r="Y406" s="20">
        <v>0</v>
      </c>
      <c r="Z406" s="20">
        <v>0</v>
      </c>
      <c r="AA406" s="20">
        <v>0</v>
      </c>
      <c r="AB406" s="20">
        <v>0</v>
      </c>
      <c r="AC406" s="15">
        <f t="shared" si="199"/>
        <v>0</v>
      </c>
      <c r="AD406" s="15">
        <v>0</v>
      </c>
      <c r="AE406" s="15">
        <v>0</v>
      </c>
      <c r="AF406" s="15">
        <v>0</v>
      </c>
      <c r="AG406" s="15">
        <v>60</v>
      </c>
      <c r="AH406" s="15">
        <v>0</v>
      </c>
      <c r="AI406" s="15">
        <v>30</v>
      </c>
      <c r="AJ406" s="15">
        <v>10</v>
      </c>
      <c r="AK406" s="15">
        <v>30</v>
      </c>
      <c r="AL406" s="15">
        <f t="shared" si="200"/>
        <v>130</v>
      </c>
      <c r="AM406" s="29">
        <f t="shared" si="201"/>
        <v>950</v>
      </c>
      <c r="AN406" s="19">
        <v>848</v>
      </c>
      <c r="AO406" s="21">
        <v>0</v>
      </c>
      <c r="AP406" s="22">
        <v>32</v>
      </c>
      <c r="AQ406" s="26">
        <f t="shared" si="202"/>
        <v>816</v>
      </c>
      <c r="AR406" s="37">
        <f t="shared" si="203"/>
        <v>1</v>
      </c>
      <c r="AS406" s="38">
        <f t="shared" si="204"/>
        <v>0.89263157894736844</v>
      </c>
      <c r="AT406" s="38">
        <f t="shared" si="205"/>
        <v>0.96226415094339623</v>
      </c>
      <c r="AU406" s="27">
        <f t="shared" si="206"/>
        <v>0.85894736842105268</v>
      </c>
    </row>
    <row r="407" spans="1:47" s="1" customFormat="1" ht="21" customHeight="1" x14ac:dyDescent="0.25">
      <c r="A407" s="109">
        <v>46051</v>
      </c>
      <c r="B407" s="47" t="s">
        <v>49</v>
      </c>
      <c r="C407" s="79" t="s">
        <v>51</v>
      </c>
      <c r="D407" s="47" t="s">
        <v>88</v>
      </c>
      <c r="E407" s="48">
        <v>98992</v>
      </c>
      <c r="F407" s="48" t="s">
        <v>126</v>
      </c>
      <c r="G407" s="48" t="s">
        <v>87</v>
      </c>
      <c r="H407" s="30">
        <v>15036</v>
      </c>
      <c r="I407" s="30">
        <v>32</v>
      </c>
      <c r="J407" s="28">
        <f t="shared" si="195"/>
        <v>112.5</v>
      </c>
      <c r="K407" s="31">
        <v>0.58333333333333337</v>
      </c>
      <c r="L407" s="31">
        <v>0.9375</v>
      </c>
      <c r="M407" s="32">
        <f t="shared" si="196"/>
        <v>0.35416666666666663</v>
      </c>
      <c r="N407" s="36">
        <v>510</v>
      </c>
      <c r="O407" s="36">
        <f t="shared" si="197"/>
        <v>380</v>
      </c>
      <c r="P407" s="36">
        <f t="shared" si="198"/>
        <v>380</v>
      </c>
      <c r="Q407" s="15">
        <v>0</v>
      </c>
      <c r="R407" s="20">
        <v>0</v>
      </c>
      <c r="S407" s="16">
        <v>0</v>
      </c>
      <c r="T407" s="16">
        <v>0</v>
      </c>
      <c r="U407" s="20">
        <v>0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15">
        <f t="shared" ref="AC407:AC410" si="207">SUM(Q407:AB407)</f>
        <v>0</v>
      </c>
      <c r="AD407" s="15">
        <v>0</v>
      </c>
      <c r="AE407" s="15">
        <v>0</v>
      </c>
      <c r="AF407" s="15">
        <v>0</v>
      </c>
      <c r="AG407" s="15">
        <v>60</v>
      </c>
      <c r="AH407" s="15">
        <v>0</v>
      </c>
      <c r="AI407" s="15">
        <v>30</v>
      </c>
      <c r="AJ407" s="15">
        <v>10</v>
      </c>
      <c r="AK407" s="15">
        <v>30</v>
      </c>
      <c r="AL407" s="15">
        <f t="shared" ref="AL407:AL410" si="208">SUM(AD407:AK407)</f>
        <v>130</v>
      </c>
      <c r="AM407" s="29">
        <f t="shared" si="201"/>
        <v>712.5</v>
      </c>
      <c r="AN407" s="19">
        <v>630</v>
      </c>
      <c r="AO407" s="21">
        <v>0</v>
      </c>
      <c r="AP407" s="22">
        <v>5</v>
      </c>
      <c r="AQ407" s="26">
        <f t="shared" si="202"/>
        <v>625</v>
      </c>
      <c r="AR407" s="37">
        <f t="shared" si="203"/>
        <v>1</v>
      </c>
      <c r="AS407" s="38">
        <f t="shared" si="204"/>
        <v>0.88421052631578945</v>
      </c>
      <c r="AT407" s="38">
        <f t="shared" si="205"/>
        <v>0.99206349206349209</v>
      </c>
      <c r="AU407" s="27">
        <f t="shared" si="206"/>
        <v>0.8771929824561403</v>
      </c>
    </row>
    <row r="408" spans="1:47" s="1" customFormat="1" ht="21" customHeight="1" x14ac:dyDescent="0.25">
      <c r="A408" s="109">
        <v>46051</v>
      </c>
      <c r="B408" s="47" t="s">
        <v>49</v>
      </c>
      <c r="C408" s="79" t="s">
        <v>51</v>
      </c>
      <c r="D408" s="47" t="s">
        <v>89</v>
      </c>
      <c r="E408" s="48">
        <v>98992</v>
      </c>
      <c r="F408" s="48" t="s">
        <v>169</v>
      </c>
      <c r="G408" s="48" t="s">
        <v>87</v>
      </c>
      <c r="H408" s="30">
        <v>15589</v>
      </c>
      <c r="I408" s="30">
        <v>32</v>
      </c>
      <c r="J408" s="28">
        <f t="shared" si="195"/>
        <v>112.5</v>
      </c>
      <c r="K408" s="31">
        <v>0.58333333333333337</v>
      </c>
      <c r="L408" s="31">
        <v>0.9375</v>
      </c>
      <c r="M408" s="32">
        <f t="shared" si="196"/>
        <v>0.35416666666666663</v>
      </c>
      <c r="N408" s="36">
        <v>510</v>
      </c>
      <c r="O408" s="36">
        <f t="shared" si="197"/>
        <v>380</v>
      </c>
      <c r="P408" s="36">
        <f t="shared" si="198"/>
        <v>380</v>
      </c>
      <c r="Q408" s="15">
        <v>0</v>
      </c>
      <c r="R408" s="20">
        <v>0</v>
      </c>
      <c r="S408" s="16">
        <v>0</v>
      </c>
      <c r="T408" s="16">
        <v>0</v>
      </c>
      <c r="U408" s="20">
        <v>0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15">
        <f t="shared" si="207"/>
        <v>0</v>
      </c>
      <c r="AD408" s="15">
        <v>0</v>
      </c>
      <c r="AE408" s="15">
        <v>0</v>
      </c>
      <c r="AF408" s="15">
        <v>0</v>
      </c>
      <c r="AG408" s="15">
        <v>60</v>
      </c>
      <c r="AH408" s="15">
        <v>0</v>
      </c>
      <c r="AI408" s="15">
        <v>30</v>
      </c>
      <c r="AJ408" s="15">
        <v>10</v>
      </c>
      <c r="AK408" s="15">
        <v>30</v>
      </c>
      <c r="AL408" s="15">
        <f t="shared" si="208"/>
        <v>130</v>
      </c>
      <c r="AM408" s="29">
        <f t="shared" si="201"/>
        <v>712.5</v>
      </c>
      <c r="AN408" s="19">
        <v>621</v>
      </c>
      <c r="AO408" s="21">
        <v>0</v>
      </c>
      <c r="AP408" s="22">
        <v>4</v>
      </c>
      <c r="AQ408" s="26">
        <f t="shared" si="202"/>
        <v>617</v>
      </c>
      <c r="AR408" s="37">
        <f t="shared" si="203"/>
        <v>1</v>
      </c>
      <c r="AS408" s="38">
        <f t="shared" si="204"/>
        <v>0.87157894736842101</v>
      </c>
      <c r="AT408" s="38">
        <f t="shared" si="205"/>
        <v>0.99355877616747179</v>
      </c>
      <c r="AU408" s="27">
        <f t="shared" si="206"/>
        <v>0.86596491228070172</v>
      </c>
    </row>
    <row r="409" spans="1:47" s="1" customFormat="1" ht="21" customHeight="1" x14ac:dyDescent="0.25">
      <c r="A409" s="109">
        <v>46051</v>
      </c>
      <c r="B409" s="47" t="s">
        <v>49</v>
      </c>
      <c r="C409" s="79" t="s">
        <v>51</v>
      </c>
      <c r="D409" s="47" t="s">
        <v>52</v>
      </c>
      <c r="E409" s="48">
        <v>98992</v>
      </c>
      <c r="F409" s="48" t="s">
        <v>53</v>
      </c>
      <c r="G409" s="48" t="s">
        <v>87</v>
      </c>
      <c r="H409" s="30">
        <v>1600</v>
      </c>
      <c r="I409" s="30">
        <v>32</v>
      </c>
      <c r="J409" s="28">
        <f t="shared" si="195"/>
        <v>112.5</v>
      </c>
      <c r="K409" s="31">
        <v>0.58333333333333337</v>
      </c>
      <c r="L409" s="31">
        <v>0.9375</v>
      </c>
      <c r="M409" s="32">
        <f t="shared" si="196"/>
        <v>0.35416666666666663</v>
      </c>
      <c r="N409" s="36">
        <v>510</v>
      </c>
      <c r="O409" s="36">
        <f t="shared" si="197"/>
        <v>380</v>
      </c>
      <c r="P409" s="36">
        <f t="shared" si="198"/>
        <v>380</v>
      </c>
      <c r="Q409" s="15">
        <v>0</v>
      </c>
      <c r="R409" s="20">
        <v>0</v>
      </c>
      <c r="S409" s="16">
        <v>0</v>
      </c>
      <c r="T409" s="16">
        <v>0</v>
      </c>
      <c r="U409" s="20">
        <v>0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15">
        <f t="shared" si="207"/>
        <v>0</v>
      </c>
      <c r="AD409" s="15">
        <v>0</v>
      </c>
      <c r="AE409" s="15">
        <v>0</v>
      </c>
      <c r="AF409" s="15">
        <v>0</v>
      </c>
      <c r="AG409" s="15">
        <v>60</v>
      </c>
      <c r="AH409" s="15">
        <v>0</v>
      </c>
      <c r="AI409" s="15">
        <v>30</v>
      </c>
      <c r="AJ409" s="15">
        <v>10</v>
      </c>
      <c r="AK409" s="15">
        <v>30</v>
      </c>
      <c r="AL409" s="15">
        <f t="shared" si="208"/>
        <v>130</v>
      </c>
      <c r="AM409" s="29">
        <v>1440</v>
      </c>
      <c r="AN409" s="19">
        <f>650+701</f>
        <v>1351</v>
      </c>
      <c r="AO409" s="21">
        <v>0</v>
      </c>
      <c r="AP409" s="22">
        <v>3</v>
      </c>
      <c r="AQ409" s="26">
        <f t="shared" si="202"/>
        <v>1348</v>
      </c>
      <c r="AR409" s="37">
        <f t="shared" si="203"/>
        <v>1</v>
      </c>
      <c r="AS409" s="38">
        <f t="shared" si="204"/>
        <v>0.93819444444444444</v>
      </c>
      <c r="AT409" s="38">
        <f t="shared" si="205"/>
        <v>0.99777942264988895</v>
      </c>
      <c r="AU409" s="27">
        <f t="shared" si="206"/>
        <v>0.93611111111111112</v>
      </c>
    </row>
    <row r="410" spans="1:47" s="1" customFormat="1" ht="21" customHeight="1" x14ac:dyDescent="0.25">
      <c r="A410" s="109">
        <v>46051</v>
      </c>
      <c r="B410" s="47" t="s">
        <v>49</v>
      </c>
      <c r="C410" s="79" t="s">
        <v>51</v>
      </c>
      <c r="D410" s="47" t="s">
        <v>86</v>
      </c>
      <c r="E410" s="48">
        <v>98992</v>
      </c>
      <c r="F410" s="48" t="s">
        <v>176</v>
      </c>
      <c r="G410" s="48" t="s">
        <v>87</v>
      </c>
      <c r="H410" s="30">
        <v>15688</v>
      </c>
      <c r="I410" s="30">
        <v>20</v>
      </c>
      <c r="J410" s="28">
        <f t="shared" si="195"/>
        <v>180</v>
      </c>
      <c r="K410" s="31">
        <v>0.58333333333333337</v>
      </c>
      <c r="L410" s="31">
        <v>0.9375</v>
      </c>
      <c r="M410" s="32">
        <f t="shared" si="196"/>
        <v>0.35416666666666663</v>
      </c>
      <c r="N410" s="36">
        <v>510</v>
      </c>
      <c r="O410" s="36">
        <f t="shared" si="197"/>
        <v>380</v>
      </c>
      <c r="P410" s="36">
        <f t="shared" si="198"/>
        <v>380</v>
      </c>
      <c r="Q410" s="15">
        <v>0</v>
      </c>
      <c r="R410" s="20">
        <v>0</v>
      </c>
      <c r="S410" s="16">
        <v>0</v>
      </c>
      <c r="T410" s="16">
        <v>0</v>
      </c>
      <c r="U410" s="20">
        <v>0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15">
        <f t="shared" si="207"/>
        <v>0</v>
      </c>
      <c r="AD410" s="15">
        <v>0</v>
      </c>
      <c r="AE410" s="15">
        <v>0</v>
      </c>
      <c r="AF410" s="15">
        <v>0</v>
      </c>
      <c r="AG410" s="15">
        <v>60</v>
      </c>
      <c r="AH410" s="15">
        <v>0</v>
      </c>
      <c r="AI410" s="15">
        <v>30</v>
      </c>
      <c r="AJ410" s="15">
        <v>10</v>
      </c>
      <c r="AK410" s="15">
        <v>30</v>
      </c>
      <c r="AL410" s="15">
        <f t="shared" si="208"/>
        <v>130</v>
      </c>
      <c r="AM410" s="29">
        <v>2000</v>
      </c>
      <c r="AN410" s="19">
        <f>924+700</f>
        <v>1624</v>
      </c>
      <c r="AO410" s="21">
        <v>0</v>
      </c>
      <c r="AP410" s="22">
        <v>1</v>
      </c>
      <c r="AQ410" s="26">
        <f t="shared" si="202"/>
        <v>1623</v>
      </c>
      <c r="AR410" s="37">
        <f t="shared" si="203"/>
        <v>1</v>
      </c>
      <c r="AS410" s="38">
        <f t="shared" si="204"/>
        <v>0.81200000000000006</v>
      </c>
      <c r="AT410" s="38">
        <f t="shared" si="205"/>
        <v>0.99938423645320196</v>
      </c>
      <c r="AU410" s="27">
        <f t="shared" si="206"/>
        <v>0.8115</v>
      </c>
    </row>
    <row r="411" spans="1:47" s="1" customFormat="1" ht="21" customHeight="1" x14ac:dyDescent="0.25">
      <c r="A411" s="109">
        <v>46051</v>
      </c>
      <c r="B411" s="47" t="s">
        <v>49</v>
      </c>
      <c r="C411" s="79" t="s">
        <v>51</v>
      </c>
      <c r="D411" s="47" t="s">
        <v>172</v>
      </c>
      <c r="E411" s="48">
        <v>98992</v>
      </c>
      <c r="F411" s="48" t="s">
        <v>175</v>
      </c>
      <c r="G411" s="48" t="s">
        <v>87</v>
      </c>
      <c r="H411" s="30">
        <v>15773</v>
      </c>
      <c r="I411" s="30">
        <v>20</v>
      </c>
      <c r="J411" s="28">
        <f t="shared" si="195"/>
        <v>180</v>
      </c>
      <c r="K411" s="31">
        <v>0.58333333333333337</v>
      </c>
      <c r="L411" s="31">
        <v>0.9375</v>
      </c>
      <c r="M411" s="32">
        <f t="shared" si="196"/>
        <v>0.35416666666666663</v>
      </c>
      <c r="N411" s="36">
        <v>510</v>
      </c>
      <c r="O411" s="36">
        <f t="shared" si="197"/>
        <v>440</v>
      </c>
      <c r="P411" s="36">
        <f t="shared" si="198"/>
        <v>440</v>
      </c>
      <c r="Q411" s="15">
        <v>0</v>
      </c>
      <c r="R411" s="20">
        <v>0</v>
      </c>
      <c r="S411" s="16">
        <v>0</v>
      </c>
      <c r="T411" s="16">
        <v>0</v>
      </c>
      <c r="U411" s="20">
        <v>0</v>
      </c>
      <c r="V411" s="20">
        <v>0</v>
      </c>
      <c r="W411" s="20">
        <v>0</v>
      </c>
      <c r="X411" s="20">
        <v>0</v>
      </c>
      <c r="Y411" s="20">
        <v>0</v>
      </c>
      <c r="Z411" s="20">
        <v>0</v>
      </c>
      <c r="AA411" s="20">
        <v>0</v>
      </c>
      <c r="AB411" s="20">
        <v>0</v>
      </c>
      <c r="AC411" s="15">
        <f t="shared" ref="AC411:AC412" si="209">SUM(Q411:AB411)</f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30</v>
      </c>
      <c r="AJ411" s="15">
        <v>10</v>
      </c>
      <c r="AK411" s="15">
        <v>30</v>
      </c>
      <c r="AL411" s="15">
        <f t="shared" ref="AL411:AL412" si="210">SUM(AD411:AK411)</f>
        <v>70</v>
      </c>
      <c r="AM411" s="29">
        <v>2000</v>
      </c>
      <c r="AN411" s="19">
        <f>610+1236</f>
        <v>1846</v>
      </c>
      <c r="AO411" s="21">
        <v>0</v>
      </c>
      <c r="AP411" s="22">
        <v>1</v>
      </c>
      <c r="AQ411" s="26">
        <f t="shared" si="202"/>
        <v>1845</v>
      </c>
      <c r="AR411" s="37">
        <f t="shared" si="203"/>
        <v>1</v>
      </c>
      <c r="AS411" s="38">
        <f t="shared" si="204"/>
        <v>0.92300000000000004</v>
      </c>
      <c r="AT411" s="38">
        <f t="shared" si="205"/>
        <v>0.99945828819068261</v>
      </c>
      <c r="AU411" s="27">
        <f t="shared" si="206"/>
        <v>0.9225000000000001</v>
      </c>
    </row>
    <row r="412" spans="1:47" s="1" customFormat="1" ht="21" customHeight="1" x14ac:dyDescent="0.25">
      <c r="A412" s="109">
        <v>46052</v>
      </c>
      <c r="B412" s="47" t="s">
        <v>49</v>
      </c>
      <c r="C412" s="79" t="s">
        <v>21</v>
      </c>
      <c r="D412" s="47" t="s">
        <v>94</v>
      </c>
      <c r="E412" s="48">
        <v>98992</v>
      </c>
      <c r="F412" s="48" t="s">
        <v>67</v>
      </c>
      <c r="G412" s="48" t="s">
        <v>174</v>
      </c>
      <c r="H412" s="30">
        <v>13105</v>
      </c>
      <c r="I412" s="30">
        <v>24</v>
      </c>
      <c r="J412" s="28">
        <f t="shared" ref="J412:J418" si="211">3600/I412</f>
        <v>150</v>
      </c>
      <c r="K412" s="31">
        <v>0.25</v>
      </c>
      <c r="L412" s="31">
        <v>0.60416666666666696</v>
      </c>
      <c r="M412" s="32">
        <f t="shared" ref="M412:M418" si="212">IF(L412&gt;K412,L412-K412,1+L412-K412)</f>
        <v>0.35416666666666696</v>
      </c>
      <c r="N412" s="36">
        <v>510</v>
      </c>
      <c r="O412" s="36">
        <f t="shared" ref="O412:O418" si="213">P412-AC412</f>
        <v>320</v>
      </c>
      <c r="P412" s="36">
        <f t="shared" ref="P412:P418" si="214">N412-AL412</f>
        <v>320</v>
      </c>
      <c r="Q412" s="15">
        <v>0</v>
      </c>
      <c r="R412" s="20">
        <v>0</v>
      </c>
      <c r="S412" s="16">
        <v>0</v>
      </c>
      <c r="T412" s="16">
        <v>0</v>
      </c>
      <c r="U412" s="20">
        <v>0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15">
        <f t="shared" si="209"/>
        <v>0</v>
      </c>
      <c r="AD412" s="15">
        <v>0</v>
      </c>
      <c r="AE412" s="15">
        <v>0</v>
      </c>
      <c r="AF412" s="15">
        <v>0</v>
      </c>
      <c r="AG412" s="15">
        <v>120</v>
      </c>
      <c r="AH412" s="15">
        <v>0</v>
      </c>
      <c r="AI412" s="15">
        <v>30</v>
      </c>
      <c r="AJ412" s="15">
        <v>10</v>
      </c>
      <c r="AK412" s="15">
        <v>30</v>
      </c>
      <c r="AL412" s="15">
        <f t="shared" si="210"/>
        <v>190</v>
      </c>
      <c r="AM412" s="29">
        <f t="shared" ref="AM412:AM436" si="215">P412*(J412/60)</f>
        <v>800</v>
      </c>
      <c r="AN412" s="19">
        <v>770</v>
      </c>
      <c r="AO412" s="21">
        <v>0</v>
      </c>
      <c r="AP412" s="22">
        <v>8</v>
      </c>
      <c r="AQ412" s="26">
        <f t="shared" ref="AQ412:AQ418" si="216">AN412-(AP412+AO412)</f>
        <v>762</v>
      </c>
      <c r="AR412" s="37">
        <f t="shared" ref="AR412:AR418" si="217">O412/P412</f>
        <v>1</v>
      </c>
      <c r="AS412" s="38">
        <f t="shared" ref="AS412:AS418" si="218">AN412/AM412</f>
        <v>0.96250000000000002</v>
      </c>
      <c r="AT412" s="38">
        <f t="shared" ref="AT412:AT418" si="219">AQ412/AN412</f>
        <v>0.98961038961038961</v>
      </c>
      <c r="AU412" s="27">
        <f t="shared" ref="AU412:AU418" si="220">AR412*AS412*AT412</f>
        <v>0.95250000000000001</v>
      </c>
    </row>
    <row r="413" spans="1:47" s="1" customFormat="1" ht="21" customHeight="1" x14ac:dyDescent="0.25">
      <c r="A413" s="109">
        <v>46052</v>
      </c>
      <c r="B413" s="47" t="s">
        <v>49</v>
      </c>
      <c r="C413" s="79" t="s">
        <v>21</v>
      </c>
      <c r="D413" s="47" t="s">
        <v>88</v>
      </c>
      <c r="E413" s="48">
        <v>98992</v>
      </c>
      <c r="F413" s="48" t="s">
        <v>126</v>
      </c>
      <c r="G413" s="48" t="s">
        <v>87</v>
      </c>
      <c r="H413" s="30">
        <v>13106</v>
      </c>
      <c r="I413" s="30">
        <v>32</v>
      </c>
      <c r="J413" s="28">
        <f t="shared" si="211"/>
        <v>112.5</v>
      </c>
      <c r="K413" s="31">
        <v>0.25</v>
      </c>
      <c r="L413" s="31">
        <v>0.60416666666666696</v>
      </c>
      <c r="M413" s="32">
        <f t="shared" si="212"/>
        <v>0.35416666666666696</v>
      </c>
      <c r="N413" s="36">
        <v>510</v>
      </c>
      <c r="O413" s="36">
        <f t="shared" si="213"/>
        <v>420</v>
      </c>
      <c r="P413" s="36">
        <f t="shared" si="214"/>
        <v>420</v>
      </c>
      <c r="Q413" s="15">
        <v>0</v>
      </c>
      <c r="R413" s="20">
        <v>0</v>
      </c>
      <c r="S413" s="16">
        <v>0</v>
      </c>
      <c r="T413" s="16">
        <v>0</v>
      </c>
      <c r="U413" s="20">
        <v>0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15">
        <f t="shared" ref="AC413:AC416" si="221">SUM(Q413:AB413)</f>
        <v>0</v>
      </c>
      <c r="AD413" s="15">
        <v>0</v>
      </c>
      <c r="AE413" s="15">
        <v>0</v>
      </c>
      <c r="AF413" s="15">
        <v>0</v>
      </c>
      <c r="AG413" s="15">
        <v>60</v>
      </c>
      <c r="AH413" s="15">
        <v>0</v>
      </c>
      <c r="AI413" s="15">
        <v>20</v>
      </c>
      <c r="AJ413" s="15">
        <v>10</v>
      </c>
      <c r="AK413" s="15">
        <v>0</v>
      </c>
      <c r="AL413" s="15">
        <f t="shared" ref="AL413:AL416" si="222">SUM(AD413:AK413)</f>
        <v>90</v>
      </c>
      <c r="AM413" s="29">
        <f t="shared" si="215"/>
        <v>787.5</v>
      </c>
      <c r="AN413" s="19">
        <f>450+252</f>
        <v>702</v>
      </c>
      <c r="AO413" s="21">
        <v>0</v>
      </c>
      <c r="AP413" s="22">
        <v>4</v>
      </c>
      <c r="AQ413" s="26">
        <f t="shared" si="216"/>
        <v>698</v>
      </c>
      <c r="AR413" s="37">
        <f t="shared" si="217"/>
        <v>1</v>
      </c>
      <c r="AS413" s="38">
        <f t="shared" si="218"/>
        <v>0.89142857142857146</v>
      </c>
      <c r="AT413" s="38">
        <f t="shared" si="219"/>
        <v>0.99430199430199429</v>
      </c>
      <c r="AU413" s="27">
        <f t="shared" si="220"/>
        <v>0.88634920634920633</v>
      </c>
    </row>
    <row r="414" spans="1:47" s="1" customFormat="1" ht="21" customHeight="1" x14ac:dyDescent="0.25">
      <c r="A414" s="109">
        <v>46052</v>
      </c>
      <c r="B414" s="47" t="s">
        <v>49</v>
      </c>
      <c r="C414" s="79" t="s">
        <v>21</v>
      </c>
      <c r="D414" s="47" t="s">
        <v>89</v>
      </c>
      <c r="E414" s="48">
        <v>98992</v>
      </c>
      <c r="F414" s="48" t="s">
        <v>169</v>
      </c>
      <c r="G414" s="48" t="s">
        <v>87</v>
      </c>
      <c r="H414" s="30">
        <v>16219</v>
      </c>
      <c r="I414" s="30">
        <v>32</v>
      </c>
      <c r="J414" s="28">
        <f t="shared" si="211"/>
        <v>112.5</v>
      </c>
      <c r="K414" s="31">
        <v>0.25</v>
      </c>
      <c r="L414" s="31">
        <v>0.60416666666666696</v>
      </c>
      <c r="M414" s="32">
        <f t="shared" si="212"/>
        <v>0.35416666666666696</v>
      </c>
      <c r="N414" s="36">
        <v>510</v>
      </c>
      <c r="O414" s="36">
        <f t="shared" si="213"/>
        <v>440</v>
      </c>
      <c r="P414" s="36">
        <f t="shared" si="214"/>
        <v>440</v>
      </c>
      <c r="Q414" s="15">
        <v>0</v>
      </c>
      <c r="R414" s="20">
        <v>0</v>
      </c>
      <c r="S414" s="16">
        <v>0</v>
      </c>
      <c r="T414" s="16">
        <v>0</v>
      </c>
      <c r="U414" s="20">
        <v>0</v>
      </c>
      <c r="V414" s="20">
        <v>0</v>
      </c>
      <c r="W414" s="20">
        <v>0</v>
      </c>
      <c r="X414" s="20">
        <v>0</v>
      </c>
      <c r="Y414" s="20">
        <v>0</v>
      </c>
      <c r="Z414" s="20">
        <v>0</v>
      </c>
      <c r="AA414" s="20">
        <v>0</v>
      </c>
      <c r="AB414" s="20">
        <v>0</v>
      </c>
      <c r="AC414" s="15">
        <f t="shared" si="221"/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30</v>
      </c>
      <c r="AJ414" s="15">
        <v>10</v>
      </c>
      <c r="AK414" s="15">
        <v>30</v>
      </c>
      <c r="AL414" s="15">
        <f t="shared" si="222"/>
        <v>70</v>
      </c>
      <c r="AM414" s="29">
        <f t="shared" si="215"/>
        <v>825</v>
      </c>
      <c r="AN414" s="19">
        <v>662</v>
      </c>
      <c r="AO414" s="21">
        <v>0</v>
      </c>
      <c r="AP414" s="22">
        <v>5</v>
      </c>
      <c r="AQ414" s="26">
        <f t="shared" si="216"/>
        <v>657</v>
      </c>
      <c r="AR414" s="37">
        <f t="shared" si="217"/>
        <v>1</v>
      </c>
      <c r="AS414" s="38">
        <f t="shared" si="218"/>
        <v>0.80242424242424237</v>
      </c>
      <c r="AT414" s="38">
        <f t="shared" si="219"/>
        <v>0.99244712990936557</v>
      </c>
      <c r="AU414" s="27">
        <f t="shared" si="220"/>
        <v>0.79636363636363627</v>
      </c>
    </row>
    <row r="415" spans="1:47" s="1" customFormat="1" ht="21" customHeight="1" x14ac:dyDescent="0.25">
      <c r="A415" s="109">
        <v>46052</v>
      </c>
      <c r="B415" s="47" t="s">
        <v>49</v>
      </c>
      <c r="C415" s="79" t="s">
        <v>21</v>
      </c>
      <c r="D415" s="47" t="s">
        <v>52</v>
      </c>
      <c r="E415" s="48">
        <v>98992</v>
      </c>
      <c r="F415" s="48" t="s">
        <v>53</v>
      </c>
      <c r="G415" s="48" t="s">
        <v>87</v>
      </c>
      <c r="H415" s="30">
        <v>15618</v>
      </c>
      <c r="I415" s="30">
        <v>32</v>
      </c>
      <c r="J415" s="28">
        <f t="shared" si="211"/>
        <v>112.5</v>
      </c>
      <c r="K415" s="31">
        <v>0.25</v>
      </c>
      <c r="L415" s="31">
        <v>0.60416666666666696</v>
      </c>
      <c r="M415" s="32">
        <f t="shared" si="212"/>
        <v>0.35416666666666696</v>
      </c>
      <c r="N415" s="36">
        <v>510</v>
      </c>
      <c r="O415" s="36">
        <f t="shared" si="213"/>
        <v>440</v>
      </c>
      <c r="P415" s="36">
        <f t="shared" si="214"/>
        <v>440</v>
      </c>
      <c r="Q415" s="15">
        <v>0</v>
      </c>
      <c r="R415" s="20">
        <v>0</v>
      </c>
      <c r="S415" s="16">
        <v>0</v>
      </c>
      <c r="T415" s="16">
        <v>0</v>
      </c>
      <c r="U415" s="20">
        <v>0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15">
        <f t="shared" si="221"/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30</v>
      </c>
      <c r="AJ415" s="15">
        <v>10</v>
      </c>
      <c r="AK415" s="15">
        <v>30</v>
      </c>
      <c r="AL415" s="15">
        <f t="shared" si="222"/>
        <v>70</v>
      </c>
      <c r="AM415" s="29">
        <f t="shared" si="215"/>
        <v>825</v>
      </c>
      <c r="AN415" s="19">
        <v>723</v>
      </c>
      <c r="AO415" s="21">
        <v>0</v>
      </c>
      <c r="AP415" s="22">
        <v>3</v>
      </c>
      <c r="AQ415" s="26">
        <f t="shared" si="216"/>
        <v>720</v>
      </c>
      <c r="AR415" s="37">
        <f t="shared" si="217"/>
        <v>1</v>
      </c>
      <c r="AS415" s="38">
        <f t="shared" si="218"/>
        <v>0.87636363636363634</v>
      </c>
      <c r="AT415" s="38">
        <f t="shared" si="219"/>
        <v>0.99585062240663902</v>
      </c>
      <c r="AU415" s="27">
        <f t="shared" si="220"/>
        <v>0.87272727272727268</v>
      </c>
    </row>
    <row r="416" spans="1:47" s="1" customFormat="1" ht="21" customHeight="1" x14ac:dyDescent="0.25">
      <c r="A416" s="109">
        <v>46052</v>
      </c>
      <c r="B416" s="47" t="s">
        <v>49</v>
      </c>
      <c r="C416" s="79" t="s">
        <v>21</v>
      </c>
      <c r="D416" s="47" t="s">
        <v>86</v>
      </c>
      <c r="E416" s="48">
        <v>98992</v>
      </c>
      <c r="F416" s="48" t="s">
        <v>176</v>
      </c>
      <c r="G416" s="48" t="s">
        <v>87</v>
      </c>
      <c r="H416" s="30">
        <v>15859</v>
      </c>
      <c r="I416" s="30">
        <v>20</v>
      </c>
      <c r="J416" s="28">
        <f t="shared" si="211"/>
        <v>180</v>
      </c>
      <c r="K416" s="31">
        <v>0.25</v>
      </c>
      <c r="L416" s="31">
        <v>0.60416666666666696</v>
      </c>
      <c r="M416" s="32">
        <f t="shared" si="212"/>
        <v>0.35416666666666696</v>
      </c>
      <c r="N416" s="36">
        <v>510</v>
      </c>
      <c r="O416" s="36">
        <f t="shared" si="213"/>
        <v>320</v>
      </c>
      <c r="P416" s="36">
        <f t="shared" si="214"/>
        <v>320</v>
      </c>
      <c r="Q416" s="15">
        <v>0</v>
      </c>
      <c r="R416" s="20">
        <v>0</v>
      </c>
      <c r="S416" s="16">
        <v>0</v>
      </c>
      <c r="T416" s="16">
        <v>0</v>
      </c>
      <c r="U416" s="20">
        <v>0</v>
      </c>
      <c r="V416" s="20">
        <v>0</v>
      </c>
      <c r="W416" s="20">
        <v>0</v>
      </c>
      <c r="X416" s="20">
        <v>0</v>
      </c>
      <c r="Y416" s="20">
        <v>0</v>
      </c>
      <c r="Z416" s="20">
        <v>0</v>
      </c>
      <c r="AA416" s="20">
        <v>0</v>
      </c>
      <c r="AB416" s="20">
        <v>0</v>
      </c>
      <c r="AC416" s="15">
        <f t="shared" si="221"/>
        <v>0</v>
      </c>
      <c r="AD416" s="15">
        <v>0</v>
      </c>
      <c r="AE416" s="15">
        <v>0</v>
      </c>
      <c r="AF416" s="15">
        <v>0</v>
      </c>
      <c r="AG416" s="15">
        <v>120</v>
      </c>
      <c r="AH416" s="15">
        <v>0</v>
      </c>
      <c r="AI416" s="15">
        <v>30</v>
      </c>
      <c r="AJ416" s="15">
        <v>10</v>
      </c>
      <c r="AK416" s="15">
        <v>30</v>
      </c>
      <c r="AL416" s="15">
        <f t="shared" si="222"/>
        <v>190</v>
      </c>
      <c r="AM416" s="29">
        <f t="shared" si="215"/>
        <v>960</v>
      </c>
      <c r="AN416" s="19">
        <v>660</v>
      </c>
      <c r="AO416" s="21">
        <v>0</v>
      </c>
      <c r="AP416" s="22">
        <v>2</v>
      </c>
      <c r="AQ416" s="26">
        <f t="shared" si="216"/>
        <v>658</v>
      </c>
      <c r="AR416" s="37">
        <f t="shared" si="217"/>
        <v>1</v>
      </c>
      <c r="AS416" s="38">
        <f t="shared" si="218"/>
        <v>0.6875</v>
      </c>
      <c r="AT416" s="38">
        <f t="shared" si="219"/>
        <v>0.99696969696969695</v>
      </c>
      <c r="AU416" s="27">
        <f t="shared" si="220"/>
        <v>0.68541666666666667</v>
      </c>
    </row>
    <row r="417" spans="1:47" s="1" customFormat="1" ht="21" customHeight="1" x14ac:dyDescent="0.25">
      <c r="A417" s="109">
        <v>46052</v>
      </c>
      <c r="B417" s="47" t="s">
        <v>49</v>
      </c>
      <c r="C417" s="79" t="s">
        <v>21</v>
      </c>
      <c r="D417" s="47" t="s">
        <v>172</v>
      </c>
      <c r="E417" s="48">
        <v>98992</v>
      </c>
      <c r="F417" s="48" t="s">
        <v>175</v>
      </c>
      <c r="G417" s="48" t="s">
        <v>87</v>
      </c>
      <c r="H417" s="30">
        <v>15882</v>
      </c>
      <c r="I417" s="30">
        <v>20</v>
      </c>
      <c r="J417" s="28">
        <f t="shared" si="211"/>
        <v>180</v>
      </c>
      <c r="K417" s="31">
        <v>0.25</v>
      </c>
      <c r="L417" s="31">
        <v>0.60416666666666696</v>
      </c>
      <c r="M417" s="32">
        <f t="shared" si="212"/>
        <v>0.35416666666666696</v>
      </c>
      <c r="N417" s="36">
        <v>510</v>
      </c>
      <c r="O417" s="36">
        <f t="shared" si="213"/>
        <v>260</v>
      </c>
      <c r="P417" s="36">
        <f t="shared" si="214"/>
        <v>260</v>
      </c>
      <c r="Q417" s="15">
        <v>0</v>
      </c>
      <c r="R417" s="20">
        <v>0</v>
      </c>
      <c r="S417" s="16">
        <v>0</v>
      </c>
      <c r="T417" s="16">
        <v>0</v>
      </c>
      <c r="U417" s="20">
        <v>0</v>
      </c>
      <c r="V417" s="20">
        <v>0</v>
      </c>
      <c r="W417" s="20">
        <v>0</v>
      </c>
      <c r="X417" s="20">
        <v>0</v>
      </c>
      <c r="Y417" s="20">
        <v>0</v>
      </c>
      <c r="Z417" s="20">
        <v>0</v>
      </c>
      <c r="AA417" s="20">
        <v>0</v>
      </c>
      <c r="AB417" s="20">
        <v>0</v>
      </c>
      <c r="AC417" s="15">
        <f t="shared" ref="AC417:AC418" si="223">SUM(Q417:AB417)</f>
        <v>0</v>
      </c>
      <c r="AD417" s="15">
        <v>0</v>
      </c>
      <c r="AE417" s="15">
        <v>0</v>
      </c>
      <c r="AF417" s="15">
        <v>0</v>
      </c>
      <c r="AG417" s="15">
        <v>180</v>
      </c>
      <c r="AH417" s="15">
        <v>0</v>
      </c>
      <c r="AI417" s="15">
        <v>30</v>
      </c>
      <c r="AJ417" s="15">
        <v>10</v>
      </c>
      <c r="AK417" s="15">
        <v>30</v>
      </c>
      <c r="AL417" s="15">
        <f t="shared" ref="AL417:AL418" si="224">SUM(AD417:AK417)</f>
        <v>250</v>
      </c>
      <c r="AM417" s="29">
        <f t="shared" si="215"/>
        <v>780</v>
      </c>
      <c r="AN417" s="19">
        <v>601</v>
      </c>
      <c r="AO417" s="21">
        <v>0</v>
      </c>
      <c r="AP417" s="22">
        <v>0</v>
      </c>
      <c r="AQ417" s="26">
        <f t="shared" si="216"/>
        <v>601</v>
      </c>
      <c r="AR417" s="37">
        <f t="shared" si="217"/>
        <v>1</v>
      </c>
      <c r="AS417" s="38">
        <f t="shared" si="218"/>
        <v>0.77051282051282055</v>
      </c>
      <c r="AT417" s="38">
        <f t="shared" si="219"/>
        <v>1</v>
      </c>
      <c r="AU417" s="27">
        <f t="shared" si="220"/>
        <v>0.77051282051282055</v>
      </c>
    </row>
    <row r="418" spans="1:47" s="1" customFormat="1" ht="21" customHeight="1" x14ac:dyDescent="0.25">
      <c r="A418" s="109">
        <v>46052</v>
      </c>
      <c r="B418" s="47" t="s">
        <v>49</v>
      </c>
      <c r="C418" s="79" t="s">
        <v>21</v>
      </c>
      <c r="D418" s="47" t="s">
        <v>122</v>
      </c>
      <c r="E418" s="48">
        <v>98992</v>
      </c>
      <c r="F418" s="48" t="s">
        <v>169</v>
      </c>
      <c r="G418" s="48" t="s">
        <v>125</v>
      </c>
      <c r="H418" s="30">
        <v>14957</v>
      </c>
      <c r="I418" s="30">
        <v>32</v>
      </c>
      <c r="J418" s="28">
        <f t="shared" si="211"/>
        <v>112.5</v>
      </c>
      <c r="K418" s="31">
        <v>0.25</v>
      </c>
      <c r="L418" s="31">
        <v>0.60416666666666696</v>
      </c>
      <c r="M418" s="32">
        <f t="shared" si="212"/>
        <v>0.35416666666666696</v>
      </c>
      <c r="N418" s="36">
        <v>510</v>
      </c>
      <c r="O418" s="36">
        <f t="shared" si="213"/>
        <v>260</v>
      </c>
      <c r="P418" s="36">
        <f t="shared" si="214"/>
        <v>260</v>
      </c>
      <c r="Q418" s="15">
        <v>0</v>
      </c>
      <c r="R418" s="20">
        <v>0</v>
      </c>
      <c r="S418" s="16">
        <v>0</v>
      </c>
      <c r="T418" s="16">
        <v>0</v>
      </c>
      <c r="U418" s="20">
        <v>0</v>
      </c>
      <c r="V418" s="20">
        <v>0</v>
      </c>
      <c r="W418" s="20">
        <v>0</v>
      </c>
      <c r="X418" s="20">
        <v>0</v>
      </c>
      <c r="Y418" s="20">
        <v>0</v>
      </c>
      <c r="Z418" s="20">
        <v>0</v>
      </c>
      <c r="AA418" s="20">
        <v>0</v>
      </c>
      <c r="AB418" s="20">
        <v>0</v>
      </c>
      <c r="AC418" s="15">
        <f t="shared" si="223"/>
        <v>0</v>
      </c>
      <c r="AD418" s="15">
        <v>0</v>
      </c>
      <c r="AE418" s="15">
        <v>0</v>
      </c>
      <c r="AF418" s="15">
        <v>0</v>
      </c>
      <c r="AG418" s="15">
        <v>180</v>
      </c>
      <c r="AH418" s="15">
        <v>0</v>
      </c>
      <c r="AI418" s="15">
        <v>30</v>
      </c>
      <c r="AJ418" s="15">
        <v>10</v>
      </c>
      <c r="AK418" s="15">
        <v>30</v>
      </c>
      <c r="AL418" s="15">
        <f t="shared" si="224"/>
        <v>250</v>
      </c>
      <c r="AM418" s="29">
        <f t="shared" si="215"/>
        <v>487.5</v>
      </c>
      <c r="AN418" s="19">
        <v>355</v>
      </c>
      <c r="AO418" s="21">
        <v>0</v>
      </c>
      <c r="AP418" s="22">
        <v>2</v>
      </c>
      <c r="AQ418" s="26">
        <f t="shared" si="216"/>
        <v>353</v>
      </c>
      <c r="AR418" s="37">
        <f t="shared" si="217"/>
        <v>1</v>
      </c>
      <c r="AS418" s="38">
        <f t="shared" si="218"/>
        <v>0.72820512820512817</v>
      </c>
      <c r="AT418" s="38">
        <f t="shared" si="219"/>
        <v>0.9943661971830986</v>
      </c>
      <c r="AU418" s="27">
        <f t="shared" si="220"/>
        <v>0.72410256410256413</v>
      </c>
    </row>
    <row r="419" spans="1:47" s="1" customFormat="1" ht="21" customHeight="1" x14ac:dyDescent="0.25">
      <c r="A419" s="109">
        <v>46052</v>
      </c>
      <c r="B419" s="47" t="s">
        <v>49</v>
      </c>
      <c r="C419" s="79" t="s">
        <v>51</v>
      </c>
      <c r="D419" s="47" t="s">
        <v>88</v>
      </c>
      <c r="E419" s="48">
        <v>98992</v>
      </c>
      <c r="F419" s="48" t="s">
        <v>126</v>
      </c>
      <c r="G419" s="48" t="s">
        <v>87</v>
      </c>
      <c r="H419" s="30">
        <v>15688</v>
      </c>
      <c r="I419" s="30">
        <v>32</v>
      </c>
      <c r="J419" s="28">
        <f t="shared" ref="J419:J436" si="225">3600/I419</f>
        <v>112.5</v>
      </c>
      <c r="K419" s="31">
        <v>0.58333333333333337</v>
      </c>
      <c r="L419" s="31">
        <v>0.9375</v>
      </c>
      <c r="M419" s="32">
        <f t="shared" ref="M419:M424" si="226">IF(L419&gt;K419,L419-K419,1+L419-K419)</f>
        <v>0.35416666666666663</v>
      </c>
      <c r="N419" s="36">
        <v>510</v>
      </c>
      <c r="O419" s="36">
        <f t="shared" ref="O419:O437" si="227">P419-AC419</f>
        <v>480</v>
      </c>
      <c r="P419" s="36">
        <f t="shared" ref="P419:P437" si="228">N419-AL419</f>
        <v>480</v>
      </c>
      <c r="Q419" s="15">
        <v>0</v>
      </c>
      <c r="R419" s="20">
        <v>0</v>
      </c>
      <c r="S419" s="16">
        <v>0</v>
      </c>
      <c r="T419" s="16">
        <v>0</v>
      </c>
      <c r="U419" s="20">
        <v>0</v>
      </c>
      <c r="V419" s="20">
        <v>0</v>
      </c>
      <c r="W419" s="20">
        <v>0</v>
      </c>
      <c r="X419" s="20">
        <v>0</v>
      </c>
      <c r="Y419" s="20">
        <v>0</v>
      </c>
      <c r="Z419" s="20">
        <v>0</v>
      </c>
      <c r="AA419" s="20">
        <v>0</v>
      </c>
      <c r="AB419" s="20">
        <v>0</v>
      </c>
      <c r="AC419" s="15">
        <f t="shared" ref="AC419:AC422" si="229">SUM(Q419:AB419)</f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20</v>
      </c>
      <c r="AJ419" s="15">
        <v>10</v>
      </c>
      <c r="AK419" s="15">
        <v>0</v>
      </c>
      <c r="AL419" s="15">
        <f t="shared" ref="AL419:AL422" si="230">SUM(AD419:AK419)</f>
        <v>30</v>
      </c>
      <c r="AM419" s="29">
        <f t="shared" si="215"/>
        <v>900</v>
      </c>
      <c r="AN419" s="19">
        <v>703</v>
      </c>
      <c r="AO419" s="21">
        <v>0</v>
      </c>
      <c r="AP419" s="22">
        <v>2</v>
      </c>
      <c r="AQ419" s="26">
        <f t="shared" ref="AQ419:AQ436" si="231">AN419-(AP419+AO419)</f>
        <v>701</v>
      </c>
      <c r="AR419" s="37">
        <f t="shared" ref="AR419:AR424" si="232">O419/P419</f>
        <v>1</v>
      </c>
      <c r="AS419" s="38">
        <f t="shared" ref="AS419:AS424" si="233">AN419/AM419</f>
        <v>0.78111111111111109</v>
      </c>
      <c r="AT419" s="38">
        <f t="shared" ref="AT419:AT424" si="234">AQ419/AN419</f>
        <v>0.99715504978662872</v>
      </c>
      <c r="AU419" s="27">
        <f t="shared" ref="AU419:AU424" si="235">AR419*AS419*AT419</f>
        <v>0.77888888888888885</v>
      </c>
    </row>
    <row r="420" spans="1:47" s="1" customFormat="1" ht="21" customHeight="1" x14ac:dyDescent="0.25">
      <c r="A420" s="109">
        <v>46052</v>
      </c>
      <c r="B420" s="47" t="s">
        <v>49</v>
      </c>
      <c r="C420" s="79" t="s">
        <v>51</v>
      </c>
      <c r="D420" s="47" t="s">
        <v>89</v>
      </c>
      <c r="E420" s="48">
        <v>98992</v>
      </c>
      <c r="F420" s="48" t="s">
        <v>169</v>
      </c>
      <c r="G420" s="48" t="s">
        <v>87</v>
      </c>
      <c r="H420" s="30">
        <v>11682</v>
      </c>
      <c r="I420" s="30">
        <v>32</v>
      </c>
      <c r="J420" s="28">
        <f t="shared" si="225"/>
        <v>112.5</v>
      </c>
      <c r="K420" s="31">
        <v>0.58333333333333337</v>
      </c>
      <c r="L420" s="31">
        <v>0.9375</v>
      </c>
      <c r="M420" s="32">
        <f t="shared" si="226"/>
        <v>0.35416666666666663</v>
      </c>
      <c r="N420" s="36">
        <v>510</v>
      </c>
      <c r="O420" s="36">
        <f t="shared" si="227"/>
        <v>380</v>
      </c>
      <c r="P420" s="36">
        <f t="shared" si="228"/>
        <v>380</v>
      </c>
      <c r="Q420" s="15">
        <v>0</v>
      </c>
      <c r="R420" s="20">
        <v>0</v>
      </c>
      <c r="S420" s="16">
        <v>0</v>
      </c>
      <c r="T420" s="16">
        <v>0</v>
      </c>
      <c r="U420" s="20">
        <v>0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15">
        <f t="shared" si="229"/>
        <v>0</v>
      </c>
      <c r="AD420" s="15">
        <v>0</v>
      </c>
      <c r="AE420" s="15">
        <v>0</v>
      </c>
      <c r="AF420" s="15">
        <v>0</v>
      </c>
      <c r="AG420" s="15">
        <v>60</v>
      </c>
      <c r="AH420" s="15">
        <v>0</v>
      </c>
      <c r="AI420" s="15">
        <v>30</v>
      </c>
      <c r="AJ420" s="15">
        <v>10</v>
      </c>
      <c r="AK420" s="15">
        <v>30</v>
      </c>
      <c r="AL420" s="15">
        <f t="shared" si="230"/>
        <v>130</v>
      </c>
      <c r="AM420" s="29">
        <f t="shared" si="215"/>
        <v>712.5</v>
      </c>
      <c r="AN420" s="19">
        <v>490</v>
      </c>
      <c r="AO420" s="21">
        <v>0</v>
      </c>
      <c r="AP420" s="22">
        <v>2</v>
      </c>
      <c r="AQ420" s="26">
        <f t="shared" si="231"/>
        <v>488</v>
      </c>
      <c r="AR420" s="37">
        <f t="shared" si="232"/>
        <v>1</v>
      </c>
      <c r="AS420" s="38">
        <f t="shared" si="233"/>
        <v>0.68771929824561406</v>
      </c>
      <c r="AT420" s="38">
        <f t="shared" si="234"/>
        <v>0.99591836734693873</v>
      </c>
      <c r="AU420" s="27">
        <f t="shared" si="235"/>
        <v>0.68491228070175436</v>
      </c>
    </row>
    <row r="421" spans="1:47" s="1" customFormat="1" ht="21" customHeight="1" x14ac:dyDescent="0.25">
      <c r="A421" s="109">
        <v>46052</v>
      </c>
      <c r="B421" s="47" t="s">
        <v>49</v>
      </c>
      <c r="C421" s="79" t="s">
        <v>51</v>
      </c>
      <c r="D421" s="47" t="s">
        <v>52</v>
      </c>
      <c r="E421" s="48">
        <v>98992</v>
      </c>
      <c r="F421" s="48" t="s">
        <v>53</v>
      </c>
      <c r="G421" s="48" t="s">
        <v>87</v>
      </c>
      <c r="H421" s="30">
        <v>16000</v>
      </c>
      <c r="I421" s="30">
        <v>32</v>
      </c>
      <c r="J421" s="28">
        <f t="shared" si="225"/>
        <v>112.5</v>
      </c>
      <c r="K421" s="31">
        <v>0.58333333333333337</v>
      </c>
      <c r="L421" s="31">
        <v>0.9375</v>
      </c>
      <c r="M421" s="32">
        <f t="shared" si="226"/>
        <v>0.35416666666666663</v>
      </c>
      <c r="N421" s="36">
        <v>510</v>
      </c>
      <c r="O421" s="36">
        <f t="shared" si="227"/>
        <v>380</v>
      </c>
      <c r="P421" s="36">
        <f t="shared" si="228"/>
        <v>380</v>
      </c>
      <c r="Q421" s="15">
        <v>0</v>
      </c>
      <c r="R421" s="20">
        <v>0</v>
      </c>
      <c r="S421" s="16">
        <v>0</v>
      </c>
      <c r="T421" s="16">
        <v>0</v>
      </c>
      <c r="U421" s="20">
        <v>0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15">
        <f t="shared" si="229"/>
        <v>0</v>
      </c>
      <c r="AD421" s="15">
        <v>0</v>
      </c>
      <c r="AE421" s="15">
        <v>0</v>
      </c>
      <c r="AF421" s="15">
        <v>0</v>
      </c>
      <c r="AG421" s="15">
        <v>60</v>
      </c>
      <c r="AH421" s="15">
        <v>0</v>
      </c>
      <c r="AI421" s="15">
        <v>30</v>
      </c>
      <c r="AJ421" s="15">
        <v>10</v>
      </c>
      <c r="AK421" s="15">
        <v>30</v>
      </c>
      <c r="AL421" s="15">
        <f t="shared" si="230"/>
        <v>130</v>
      </c>
      <c r="AM421" s="29">
        <f t="shared" si="215"/>
        <v>712.5</v>
      </c>
      <c r="AN421" s="19">
        <v>672</v>
      </c>
      <c r="AO421" s="21">
        <v>0</v>
      </c>
      <c r="AP421" s="22">
        <v>1</v>
      </c>
      <c r="AQ421" s="26">
        <f t="shared" si="231"/>
        <v>671</v>
      </c>
      <c r="AR421" s="37">
        <f t="shared" si="232"/>
        <v>1</v>
      </c>
      <c r="AS421" s="38">
        <f t="shared" si="233"/>
        <v>0.94315789473684208</v>
      </c>
      <c r="AT421" s="38">
        <f t="shared" si="234"/>
        <v>0.99851190476190477</v>
      </c>
      <c r="AU421" s="27">
        <f t="shared" si="235"/>
        <v>0.94175438596491223</v>
      </c>
    </row>
    <row r="422" spans="1:47" s="1" customFormat="1" ht="21" customHeight="1" x14ac:dyDescent="0.25">
      <c r="A422" s="109">
        <v>46052</v>
      </c>
      <c r="B422" s="47" t="s">
        <v>49</v>
      </c>
      <c r="C422" s="79" t="s">
        <v>51</v>
      </c>
      <c r="D422" s="47" t="s">
        <v>86</v>
      </c>
      <c r="E422" s="48">
        <v>98992</v>
      </c>
      <c r="F422" s="48" t="s">
        <v>176</v>
      </c>
      <c r="G422" s="48" t="s">
        <v>87</v>
      </c>
      <c r="H422" s="30">
        <v>15859</v>
      </c>
      <c r="I422" s="30">
        <v>20</v>
      </c>
      <c r="J422" s="28">
        <f t="shared" si="225"/>
        <v>180</v>
      </c>
      <c r="K422" s="31">
        <v>0.58333333333333337</v>
      </c>
      <c r="L422" s="31">
        <v>0.9375</v>
      </c>
      <c r="M422" s="32">
        <f t="shared" si="226"/>
        <v>0.35416666666666663</v>
      </c>
      <c r="N422" s="36">
        <v>510</v>
      </c>
      <c r="O422" s="36">
        <f t="shared" si="227"/>
        <v>380</v>
      </c>
      <c r="P422" s="36">
        <f t="shared" si="228"/>
        <v>380</v>
      </c>
      <c r="Q422" s="15">
        <v>0</v>
      </c>
      <c r="R422" s="20">
        <v>0</v>
      </c>
      <c r="S422" s="16">
        <v>0</v>
      </c>
      <c r="T422" s="16">
        <v>0</v>
      </c>
      <c r="U422" s="20">
        <v>0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15">
        <f t="shared" si="229"/>
        <v>0</v>
      </c>
      <c r="AD422" s="15">
        <v>0</v>
      </c>
      <c r="AE422" s="15">
        <v>0</v>
      </c>
      <c r="AF422" s="15">
        <v>0</v>
      </c>
      <c r="AG422" s="15">
        <v>60</v>
      </c>
      <c r="AH422" s="15">
        <v>0</v>
      </c>
      <c r="AI422" s="15">
        <v>30</v>
      </c>
      <c r="AJ422" s="15">
        <v>10</v>
      </c>
      <c r="AK422" s="15">
        <v>30</v>
      </c>
      <c r="AL422" s="15">
        <f t="shared" si="230"/>
        <v>130</v>
      </c>
      <c r="AM422" s="29">
        <f t="shared" si="215"/>
        <v>1140</v>
      </c>
      <c r="AN422" s="19">
        <v>648</v>
      </c>
      <c r="AO422" s="21">
        <v>0</v>
      </c>
      <c r="AP422" s="22">
        <v>0</v>
      </c>
      <c r="AQ422" s="26">
        <f t="shared" si="231"/>
        <v>648</v>
      </c>
      <c r="AR422" s="37">
        <f t="shared" si="232"/>
        <v>1</v>
      </c>
      <c r="AS422" s="38">
        <f t="shared" si="233"/>
        <v>0.56842105263157894</v>
      </c>
      <c r="AT422" s="38">
        <f t="shared" si="234"/>
        <v>1</v>
      </c>
      <c r="AU422" s="27">
        <f t="shared" si="235"/>
        <v>0.56842105263157894</v>
      </c>
    </row>
    <row r="423" spans="1:47" s="1" customFormat="1" ht="21" customHeight="1" x14ac:dyDescent="0.25">
      <c r="A423" s="109">
        <v>46052</v>
      </c>
      <c r="B423" s="47" t="s">
        <v>49</v>
      </c>
      <c r="C423" s="79" t="s">
        <v>51</v>
      </c>
      <c r="D423" s="47" t="s">
        <v>172</v>
      </c>
      <c r="E423" s="48">
        <v>98992</v>
      </c>
      <c r="F423" s="48" t="s">
        <v>175</v>
      </c>
      <c r="G423" s="48" t="s">
        <v>87</v>
      </c>
      <c r="H423" s="30">
        <v>15833</v>
      </c>
      <c r="I423" s="30">
        <v>20</v>
      </c>
      <c r="J423" s="28">
        <f t="shared" si="225"/>
        <v>180</v>
      </c>
      <c r="K423" s="31">
        <v>0.58333333333333337</v>
      </c>
      <c r="L423" s="31">
        <v>0.9375</v>
      </c>
      <c r="M423" s="32">
        <f t="shared" si="226"/>
        <v>0.35416666666666663</v>
      </c>
      <c r="N423" s="36">
        <v>510</v>
      </c>
      <c r="O423" s="36">
        <f t="shared" si="227"/>
        <v>440</v>
      </c>
      <c r="P423" s="36">
        <f t="shared" si="228"/>
        <v>440</v>
      </c>
      <c r="Q423" s="15">
        <v>0</v>
      </c>
      <c r="R423" s="20">
        <v>0</v>
      </c>
      <c r="S423" s="16">
        <v>0</v>
      </c>
      <c r="T423" s="16">
        <v>0</v>
      </c>
      <c r="U423" s="20">
        <v>0</v>
      </c>
      <c r="V423" s="20">
        <v>0</v>
      </c>
      <c r="W423" s="20">
        <v>0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  <c r="AC423" s="15">
        <f t="shared" ref="AC423:AC436" si="236">SUM(Q423:AB423)</f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30</v>
      </c>
      <c r="AJ423" s="15">
        <v>10</v>
      </c>
      <c r="AK423" s="15">
        <v>30</v>
      </c>
      <c r="AL423" s="15">
        <f t="shared" ref="AL423:AL436" si="237">SUM(AD423:AK423)</f>
        <v>70</v>
      </c>
      <c r="AM423" s="29">
        <f t="shared" si="215"/>
        <v>1320</v>
      </c>
      <c r="AN423" s="19">
        <v>504</v>
      </c>
      <c r="AO423" s="21">
        <v>0</v>
      </c>
      <c r="AP423" s="22">
        <v>0</v>
      </c>
      <c r="AQ423" s="26">
        <f t="shared" si="231"/>
        <v>504</v>
      </c>
      <c r="AR423" s="37">
        <f t="shared" si="232"/>
        <v>1</v>
      </c>
      <c r="AS423" s="38">
        <f t="shared" si="233"/>
        <v>0.38181818181818183</v>
      </c>
      <c r="AT423" s="38">
        <f t="shared" si="234"/>
        <v>1</v>
      </c>
      <c r="AU423" s="27">
        <f t="shared" si="235"/>
        <v>0.38181818181818183</v>
      </c>
    </row>
    <row r="424" spans="1:47" s="1" customFormat="1" ht="21" customHeight="1" x14ac:dyDescent="0.25">
      <c r="A424" s="109">
        <v>46052</v>
      </c>
      <c r="B424" s="47" t="s">
        <v>49</v>
      </c>
      <c r="C424" s="79" t="s">
        <v>51</v>
      </c>
      <c r="D424" s="47" t="s">
        <v>122</v>
      </c>
      <c r="E424" s="48">
        <v>98992</v>
      </c>
      <c r="F424" s="48" t="s">
        <v>169</v>
      </c>
      <c r="G424" s="48" t="s">
        <v>125</v>
      </c>
      <c r="H424" s="30">
        <v>15676</v>
      </c>
      <c r="I424" s="30">
        <v>32</v>
      </c>
      <c r="J424" s="28">
        <f t="shared" si="225"/>
        <v>112.5</v>
      </c>
      <c r="K424" s="31">
        <v>0.58333333333333337</v>
      </c>
      <c r="L424" s="31">
        <v>0.9375</v>
      </c>
      <c r="M424" s="32">
        <f t="shared" si="226"/>
        <v>0.35416666666666663</v>
      </c>
      <c r="N424" s="36">
        <v>510</v>
      </c>
      <c r="O424" s="36">
        <f t="shared" si="227"/>
        <v>320</v>
      </c>
      <c r="P424" s="36">
        <f t="shared" si="228"/>
        <v>320</v>
      </c>
      <c r="Q424" s="15">
        <v>0</v>
      </c>
      <c r="R424" s="20">
        <v>0</v>
      </c>
      <c r="S424" s="16">
        <v>0</v>
      </c>
      <c r="T424" s="16">
        <v>0</v>
      </c>
      <c r="U424" s="20">
        <v>0</v>
      </c>
      <c r="V424" s="20">
        <v>0</v>
      </c>
      <c r="W424" s="20">
        <v>0</v>
      </c>
      <c r="X424" s="20">
        <v>0</v>
      </c>
      <c r="Y424" s="20">
        <v>0</v>
      </c>
      <c r="Z424" s="20">
        <v>0</v>
      </c>
      <c r="AA424" s="20">
        <v>0</v>
      </c>
      <c r="AB424" s="20">
        <v>0</v>
      </c>
      <c r="AC424" s="15">
        <f t="shared" si="236"/>
        <v>0</v>
      </c>
      <c r="AD424" s="15">
        <v>0</v>
      </c>
      <c r="AE424" s="15">
        <v>0</v>
      </c>
      <c r="AF424" s="15">
        <v>0</v>
      </c>
      <c r="AG424" s="15">
        <v>120</v>
      </c>
      <c r="AH424" s="15">
        <v>0</v>
      </c>
      <c r="AI424" s="15">
        <v>30</v>
      </c>
      <c r="AJ424" s="15">
        <v>10</v>
      </c>
      <c r="AK424" s="15">
        <v>30</v>
      </c>
      <c r="AL424" s="15">
        <f t="shared" si="237"/>
        <v>190</v>
      </c>
      <c r="AM424" s="29">
        <f t="shared" si="215"/>
        <v>600</v>
      </c>
      <c r="AN424" s="19">
        <v>520</v>
      </c>
      <c r="AO424" s="21">
        <v>0</v>
      </c>
      <c r="AP424" s="22">
        <v>2</v>
      </c>
      <c r="AQ424" s="26">
        <f t="shared" si="231"/>
        <v>518</v>
      </c>
      <c r="AR424" s="37">
        <f t="shared" si="232"/>
        <v>1</v>
      </c>
      <c r="AS424" s="38">
        <f t="shared" si="233"/>
        <v>0.8666666666666667</v>
      </c>
      <c r="AT424" s="38">
        <f t="shared" si="234"/>
        <v>0.99615384615384617</v>
      </c>
      <c r="AU424" s="27">
        <f t="shared" si="235"/>
        <v>0.8633333333333334</v>
      </c>
    </row>
    <row r="425" spans="1:47" s="1" customFormat="1" ht="21" customHeight="1" x14ac:dyDescent="0.25">
      <c r="A425" s="109">
        <v>46053</v>
      </c>
      <c r="B425" s="47" t="s">
        <v>49</v>
      </c>
      <c r="C425" s="79" t="s">
        <v>21</v>
      </c>
      <c r="D425" s="47" t="s">
        <v>94</v>
      </c>
      <c r="E425" s="48">
        <v>98992</v>
      </c>
      <c r="F425" s="48" t="s">
        <v>67</v>
      </c>
      <c r="G425" s="48" t="s">
        <v>174</v>
      </c>
      <c r="H425" s="30">
        <v>13105</v>
      </c>
      <c r="I425" s="30">
        <v>23</v>
      </c>
      <c r="J425" s="28">
        <f t="shared" si="225"/>
        <v>156.52173913043478</v>
      </c>
      <c r="K425" s="31">
        <v>0.25</v>
      </c>
      <c r="L425" s="31">
        <v>0.60416666666666696</v>
      </c>
      <c r="M425" s="32">
        <f t="shared" ref="M425:M437" si="238">IF(L425&gt;K425,L425-K425,1+L425-K425)</f>
        <v>0.35416666666666696</v>
      </c>
      <c r="N425" s="36">
        <v>510</v>
      </c>
      <c r="O425" s="36">
        <f t="shared" si="227"/>
        <v>440</v>
      </c>
      <c r="P425" s="36">
        <f t="shared" si="228"/>
        <v>440</v>
      </c>
      <c r="Q425" s="15">
        <v>0</v>
      </c>
      <c r="R425" s="20">
        <v>0</v>
      </c>
      <c r="S425" s="16">
        <v>0</v>
      </c>
      <c r="T425" s="16">
        <v>0</v>
      </c>
      <c r="U425" s="20">
        <v>0</v>
      </c>
      <c r="V425" s="20">
        <v>0</v>
      </c>
      <c r="W425" s="20">
        <v>0</v>
      </c>
      <c r="X425" s="20">
        <v>0</v>
      </c>
      <c r="Y425" s="20">
        <v>0</v>
      </c>
      <c r="Z425" s="20">
        <v>0</v>
      </c>
      <c r="AA425" s="20">
        <v>0</v>
      </c>
      <c r="AB425" s="20">
        <v>0</v>
      </c>
      <c r="AC425" s="15">
        <f t="shared" si="236"/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30</v>
      </c>
      <c r="AJ425" s="15">
        <v>10</v>
      </c>
      <c r="AK425" s="15">
        <v>30</v>
      </c>
      <c r="AL425" s="15">
        <f t="shared" si="237"/>
        <v>70</v>
      </c>
      <c r="AM425" s="29">
        <f t="shared" si="215"/>
        <v>1147.8260869565217</v>
      </c>
      <c r="AN425" s="19">
        <v>1000</v>
      </c>
      <c r="AO425" s="21">
        <v>0</v>
      </c>
      <c r="AP425" s="22">
        <v>0</v>
      </c>
      <c r="AQ425" s="26">
        <f t="shared" si="231"/>
        <v>1000</v>
      </c>
      <c r="AR425" s="37">
        <f t="shared" ref="AR425:AR433" si="239">O425/P425</f>
        <v>1</v>
      </c>
      <c r="AS425" s="38">
        <f t="shared" ref="AS425:AS433" si="240">AN425/AM425</f>
        <v>0.87121212121212122</v>
      </c>
      <c r="AT425" s="38">
        <f t="shared" ref="AT425:AT433" si="241">AQ425/AN425</f>
        <v>1</v>
      </c>
      <c r="AU425" s="27">
        <f t="shared" ref="AU425:AU433" si="242">AR425*AS425*AT425</f>
        <v>0.87121212121212122</v>
      </c>
    </row>
    <row r="426" spans="1:47" s="1" customFormat="1" ht="21" customHeight="1" x14ac:dyDescent="0.25">
      <c r="A426" s="109">
        <v>46053</v>
      </c>
      <c r="B426" s="47" t="s">
        <v>49</v>
      </c>
      <c r="C426" s="79" t="s">
        <v>21</v>
      </c>
      <c r="D426" s="47" t="s">
        <v>88</v>
      </c>
      <c r="E426" s="48">
        <v>98992</v>
      </c>
      <c r="F426" s="48" t="s">
        <v>126</v>
      </c>
      <c r="G426" s="48" t="s">
        <v>87</v>
      </c>
      <c r="H426" s="30">
        <v>13106</v>
      </c>
      <c r="I426" s="30">
        <v>32</v>
      </c>
      <c r="J426" s="28">
        <f t="shared" si="225"/>
        <v>112.5</v>
      </c>
      <c r="K426" s="31">
        <v>0.25</v>
      </c>
      <c r="L426" s="31">
        <v>0.60416666666666696</v>
      </c>
      <c r="M426" s="32">
        <f t="shared" si="238"/>
        <v>0.35416666666666696</v>
      </c>
      <c r="N426" s="36">
        <v>510</v>
      </c>
      <c r="O426" s="36">
        <f t="shared" si="227"/>
        <v>440</v>
      </c>
      <c r="P426" s="36">
        <f t="shared" si="228"/>
        <v>440</v>
      </c>
      <c r="Q426" s="15">
        <v>0</v>
      </c>
      <c r="R426" s="20">
        <v>0</v>
      </c>
      <c r="S426" s="16">
        <v>0</v>
      </c>
      <c r="T426" s="16">
        <v>0</v>
      </c>
      <c r="U426" s="20">
        <v>0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15">
        <f t="shared" si="236"/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30</v>
      </c>
      <c r="AJ426" s="15">
        <v>10</v>
      </c>
      <c r="AK426" s="15">
        <v>30</v>
      </c>
      <c r="AL426" s="15">
        <f t="shared" si="237"/>
        <v>70</v>
      </c>
      <c r="AM426" s="29">
        <f t="shared" si="215"/>
        <v>825</v>
      </c>
      <c r="AN426" s="19">
        <v>666</v>
      </c>
      <c r="AO426" s="21">
        <v>0</v>
      </c>
      <c r="AP426" s="22">
        <v>0</v>
      </c>
      <c r="AQ426" s="26">
        <f t="shared" si="231"/>
        <v>666</v>
      </c>
      <c r="AR426" s="37">
        <f t="shared" si="239"/>
        <v>1</v>
      </c>
      <c r="AS426" s="38">
        <f t="shared" si="240"/>
        <v>0.80727272727272725</v>
      </c>
      <c r="AT426" s="38">
        <f t="shared" si="241"/>
        <v>1</v>
      </c>
      <c r="AU426" s="27">
        <f t="shared" si="242"/>
        <v>0.80727272727272725</v>
      </c>
    </row>
    <row r="427" spans="1:47" s="1" customFormat="1" ht="21" customHeight="1" x14ac:dyDescent="0.25">
      <c r="A427" s="109">
        <v>46053</v>
      </c>
      <c r="B427" s="47" t="s">
        <v>49</v>
      </c>
      <c r="C427" s="79" t="s">
        <v>21</v>
      </c>
      <c r="D427" s="47" t="s">
        <v>89</v>
      </c>
      <c r="E427" s="48">
        <v>98992</v>
      </c>
      <c r="F427" s="48" t="s">
        <v>169</v>
      </c>
      <c r="G427" s="48" t="s">
        <v>87</v>
      </c>
      <c r="H427" s="30">
        <v>16219</v>
      </c>
      <c r="I427" s="30">
        <v>32</v>
      </c>
      <c r="J427" s="28">
        <f t="shared" si="225"/>
        <v>112.5</v>
      </c>
      <c r="K427" s="31">
        <v>0.25</v>
      </c>
      <c r="L427" s="31">
        <v>0.60416666666666696</v>
      </c>
      <c r="M427" s="32">
        <f t="shared" si="238"/>
        <v>0.35416666666666696</v>
      </c>
      <c r="N427" s="36">
        <v>510</v>
      </c>
      <c r="O427" s="36">
        <f t="shared" si="227"/>
        <v>440</v>
      </c>
      <c r="P427" s="36">
        <f t="shared" si="228"/>
        <v>440</v>
      </c>
      <c r="Q427" s="15">
        <v>0</v>
      </c>
      <c r="R427" s="20">
        <v>0</v>
      </c>
      <c r="S427" s="16">
        <v>0</v>
      </c>
      <c r="T427" s="16">
        <v>0</v>
      </c>
      <c r="U427" s="20">
        <v>0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15">
        <f t="shared" si="236"/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30</v>
      </c>
      <c r="AJ427" s="15">
        <v>10</v>
      </c>
      <c r="AK427" s="15">
        <v>30</v>
      </c>
      <c r="AL427" s="15">
        <f t="shared" si="237"/>
        <v>70</v>
      </c>
      <c r="AM427" s="29">
        <f t="shared" si="215"/>
        <v>825</v>
      </c>
      <c r="AN427" s="19">
        <v>664</v>
      </c>
      <c r="AO427" s="21">
        <v>0</v>
      </c>
      <c r="AP427" s="22">
        <v>0</v>
      </c>
      <c r="AQ427" s="26">
        <f t="shared" si="231"/>
        <v>664</v>
      </c>
      <c r="AR427" s="37">
        <f t="shared" si="239"/>
        <v>1</v>
      </c>
      <c r="AS427" s="38">
        <f t="shared" si="240"/>
        <v>0.80484848484848481</v>
      </c>
      <c r="AT427" s="38">
        <f t="shared" si="241"/>
        <v>1</v>
      </c>
      <c r="AU427" s="27">
        <f t="shared" si="242"/>
        <v>0.80484848484848481</v>
      </c>
    </row>
    <row r="428" spans="1:47" s="1" customFormat="1" ht="21" customHeight="1" x14ac:dyDescent="0.25">
      <c r="A428" s="109">
        <v>46053</v>
      </c>
      <c r="B428" s="47" t="s">
        <v>49</v>
      </c>
      <c r="C428" s="79" t="s">
        <v>21</v>
      </c>
      <c r="D428" s="47" t="s">
        <v>52</v>
      </c>
      <c r="E428" s="48">
        <v>98992</v>
      </c>
      <c r="F428" s="48" t="s">
        <v>53</v>
      </c>
      <c r="G428" s="48" t="s">
        <v>87</v>
      </c>
      <c r="H428" s="30"/>
      <c r="I428" s="30">
        <v>32</v>
      </c>
      <c r="J428" s="28">
        <f t="shared" si="225"/>
        <v>112.5</v>
      </c>
      <c r="K428" s="31">
        <v>0.25</v>
      </c>
      <c r="L428" s="31">
        <v>0.60416666666666696</v>
      </c>
      <c r="M428" s="32">
        <f t="shared" si="238"/>
        <v>0.35416666666666696</v>
      </c>
      <c r="N428" s="36">
        <v>510</v>
      </c>
      <c r="O428" s="36">
        <f t="shared" si="227"/>
        <v>440</v>
      </c>
      <c r="P428" s="36">
        <f t="shared" si="228"/>
        <v>440</v>
      </c>
      <c r="Q428" s="15">
        <v>0</v>
      </c>
      <c r="R428" s="20">
        <v>0</v>
      </c>
      <c r="S428" s="16">
        <v>0</v>
      </c>
      <c r="T428" s="16">
        <v>0</v>
      </c>
      <c r="U428" s="20">
        <v>0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15">
        <f t="shared" si="236"/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30</v>
      </c>
      <c r="AJ428" s="15">
        <v>10</v>
      </c>
      <c r="AK428" s="15">
        <v>30</v>
      </c>
      <c r="AL428" s="15">
        <f t="shared" si="237"/>
        <v>70</v>
      </c>
      <c r="AM428" s="29">
        <f t="shared" si="215"/>
        <v>825</v>
      </c>
      <c r="AN428" s="19">
        <v>672</v>
      </c>
      <c r="AO428" s="21">
        <v>0</v>
      </c>
      <c r="AP428" s="22">
        <v>0</v>
      </c>
      <c r="AQ428" s="26">
        <f t="shared" si="231"/>
        <v>672</v>
      </c>
      <c r="AR428" s="37">
        <f t="shared" si="239"/>
        <v>1</v>
      </c>
      <c r="AS428" s="38">
        <f t="shared" si="240"/>
        <v>0.81454545454545457</v>
      </c>
      <c r="AT428" s="38">
        <f t="shared" si="241"/>
        <v>1</v>
      </c>
      <c r="AU428" s="27">
        <f t="shared" si="242"/>
        <v>0.81454545454545457</v>
      </c>
    </row>
    <row r="429" spans="1:47" s="1" customFormat="1" ht="21" customHeight="1" x14ac:dyDescent="0.25">
      <c r="A429" s="109">
        <v>46053</v>
      </c>
      <c r="B429" s="47" t="s">
        <v>49</v>
      </c>
      <c r="C429" s="79" t="s">
        <v>21</v>
      </c>
      <c r="D429" s="47" t="s">
        <v>86</v>
      </c>
      <c r="E429" s="48">
        <v>98992</v>
      </c>
      <c r="F429" s="48" t="s">
        <v>176</v>
      </c>
      <c r="G429" s="48" t="s">
        <v>87</v>
      </c>
      <c r="H429" s="30">
        <v>15859</v>
      </c>
      <c r="I429" s="30">
        <v>20</v>
      </c>
      <c r="J429" s="28">
        <f t="shared" si="225"/>
        <v>180</v>
      </c>
      <c r="K429" s="31">
        <v>0.25</v>
      </c>
      <c r="L429" s="31">
        <v>0.60416666666666696</v>
      </c>
      <c r="M429" s="32">
        <f t="shared" si="238"/>
        <v>0.35416666666666696</v>
      </c>
      <c r="N429" s="36">
        <v>510</v>
      </c>
      <c r="O429" s="36">
        <f t="shared" si="227"/>
        <v>320</v>
      </c>
      <c r="P429" s="36">
        <f t="shared" si="228"/>
        <v>320</v>
      </c>
      <c r="Q429" s="15">
        <v>0</v>
      </c>
      <c r="R429" s="20">
        <v>0</v>
      </c>
      <c r="S429" s="16">
        <v>0</v>
      </c>
      <c r="T429" s="16">
        <v>0</v>
      </c>
      <c r="U429" s="20">
        <v>0</v>
      </c>
      <c r="V429" s="20">
        <v>0</v>
      </c>
      <c r="W429" s="20">
        <v>0</v>
      </c>
      <c r="X429" s="20">
        <v>0</v>
      </c>
      <c r="Y429" s="20">
        <v>0</v>
      </c>
      <c r="Z429" s="20">
        <v>0</v>
      </c>
      <c r="AA429" s="20">
        <v>0</v>
      </c>
      <c r="AB429" s="20">
        <v>0</v>
      </c>
      <c r="AC429" s="15">
        <f t="shared" si="236"/>
        <v>0</v>
      </c>
      <c r="AD429" s="15">
        <v>0</v>
      </c>
      <c r="AE429" s="15">
        <v>0</v>
      </c>
      <c r="AF429" s="15">
        <v>0</v>
      </c>
      <c r="AG429" s="15">
        <v>120</v>
      </c>
      <c r="AH429" s="15">
        <v>0</v>
      </c>
      <c r="AI429" s="15">
        <v>30</v>
      </c>
      <c r="AJ429" s="15">
        <v>10</v>
      </c>
      <c r="AK429" s="15">
        <v>30</v>
      </c>
      <c r="AL429" s="15">
        <f t="shared" si="237"/>
        <v>190</v>
      </c>
      <c r="AM429" s="29">
        <f t="shared" si="215"/>
        <v>960</v>
      </c>
      <c r="AN429" s="19">
        <v>720</v>
      </c>
      <c r="AO429" s="21">
        <v>0</v>
      </c>
      <c r="AP429" s="22">
        <v>0</v>
      </c>
      <c r="AQ429" s="26">
        <f t="shared" si="231"/>
        <v>720</v>
      </c>
      <c r="AR429" s="37">
        <f t="shared" si="239"/>
        <v>1</v>
      </c>
      <c r="AS429" s="38">
        <f t="shared" si="240"/>
        <v>0.75</v>
      </c>
      <c r="AT429" s="38">
        <f t="shared" si="241"/>
        <v>1</v>
      </c>
      <c r="AU429" s="27">
        <f t="shared" si="242"/>
        <v>0.75</v>
      </c>
    </row>
    <row r="430" spans="1:47" s="1" customFormat="1" ht="21" customHeight="1" x14ac:dyDescent="0.25">
      <c r="A430" s="109">
        <v>46053</v>
      </c>
      <c r="B430" s="47" t="s">
        <v>49</v>
      </c>
      <c r="C430" s="79" t="s">
        <v>21</v>
      </c>
      <c r="D430" s="47" t="s">
        <v>172</v>
      </c>
      <c r="E430" s="48">
        <v>98992</v>
      </c>
      <c r="F430" s="48" t="s">
        <v>175</v>
      </c>
      <c r="G430" s="48" t="s">
        <v>87</v>
      </c>
      <c r="H430" s="30"/>
      <c r="I430" s="30">
        <v>20</v>
      </c>
      <c r="J430" s="28">
        <f t="shared" si="225"/>
        <v>180</v>
      </c>
      <c r="K430" s="31">
        <v>0.25</v>
      </c>
      <c r="L430" s="31">
        <v>0.60416666666666696</v>
      </c>
      <c r="M430" s="32">
        <f t="shared" si="238"/>
        <v>0.35416666666666696</v>
      </c>
      <c r="N430" s="36">
        <v>510</v>
      </c>
      <c r="O430" s="36">
        <f t="shared" si="227"/>
        <v>320</v>
      </c>
      <c r="P430" s="36">
        <f t="shared" si="228"/>
        <v>320</v>
      </c>
      <c r="Q430" s="15">
        <v>0</v>
      </c>
      <c r="R430" s="20">
        <v>0</v>
      </c>
      <c r="S430" s="16">
        <v>0</v>
      </c>
      <c r="T430" s="16">
        <v>0</v>
      </c>
      <c r="U430" s="20">
        <v>0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15">
        <f t="shared" si="236"/>
        <v>0</v>
      </c>
      <c r="AD430" s="15">
        <v>0</v>
      </c>
      <c r="AE430" s="15">
        <v>0</v>
      </c>
      <c r="AF430" s="15">
        <v>0</v>
      </c>
      <c r="AG430" s="15">
        <v>120</v>
      </c>
      <c r="AH430" s="15">
        <v>0</v>
      </c>
      <c r="AI430" s="15">
        <v>30</v>
      </c>
      <c r="AJ430" s="15">
        <v>10</v>
      </c>
      <c r="AK430" s="15">
        <v>30</v>
      </c>
      <c r="AL430" s="15">
        <f t="shared" si="237"/>
        <v>190</v>
      </c>
      <c r="AM430" s="29">
        <f t="shared" si="215"/>
        <v>960</v>
      </c>
      <c r="AN430" s="19">
        <v>750</v>
      </c>
      <c r="AO430" s="21">
        <v>0</v>
      </c>
      <c r="AP430" s="22">
        <v>0</v>
      </c>
      <c r="AQ430" s="26">
        <f t="shared" si="231"/>
        <v>750</v>
      </c>
      <c r="AR430" s="37">
        <f t="shared" si="239"/>
        <v>1</v>
      </c>
      <c r="AS430" s="38">
        <f t="shared" si="240"/>
        <v>0.78125</v>
      </c>
      <c r="AT430" s="38">
        <f t="shared" si="241"/>
        <v>1</v>
      </c>
      <c r="AU430" s="27">
        <f t="shared" si="242"/>
        <v>0.78125</v>
      </c>
    </row>
    <row r="431" spans="1:47" s="1" customFormat="1" ht="21" customHeight="1" x14ac:dyDescent="0.25">
      <c r="A431" s="109">
        <v>46053</v>
      </c>
      <c r="B431" s="47" t="s">
        <v>49</v>
      </c>
      <c r="C431" s="79" t="s">
        <v>51</v>
      </c>
      <c r="D431" s="47" t="s">
        <v>94</v>
      </c>
      <c r="E431" s="48">
        <v>98992</v>
      </c>
      <c r="F431" s="48" t="s">
        <v>67</v>
      </c>
      <c r="G431" s="48" t="s">
        <v>174</v>
      </c>
      <c r="H431" s="30">
        <v>13562</v>
      </c>
      <c r="I431" s="30">
        <v>26</v>
      </c>
      <c r="J431" s="28">
        <f t="shared" si="225"/>
        <v>138.46153846153845</v>
      </c>
      <c r="K431" s="31">
        <v>0.58333333333333337</v>
      </c>
      <c r="L431" s="31">
        <v>0.9375</v>
      </c>
      <c r="M431" s="32">
        <f t="shared" si="238"/>
        <v>0.35416666666666663</v>
      </c>
      <c r="N431" s="36">
        <v>510</v>
      </c>
      <c r="O431" s="36">
        <f t="shared" si="227"/>
        <v>220</v>
      </c>
      <c r="P431" s="36">
        <f t="shared" si="228"/>
        <v>220</v>
      </c>
      <c r="Q431" s="15">
        <v>0</v>
      </c>
      <c r="R431" s="20">
        <v>0</v>
      </c>
      <c r="S431" s="20">
        <v>0</v>
      </c>
      <c r="T431" s="20">
        <v>0</v>
      </c>
      <c r="U431" s="20">
        <v>0</v>
      </c>
      <c r="V431" s="20">
        <v>0</v>
      </c>
      <c r="W431" s="19">
        <v>0</v>
      </c>
      <c r="X431" s="19">
        <v>0</v>
      </c>
      <c r="Y431" s="20">
        <v>0</v>
      </c>
      <c r="Z431" s="20">
        <v>0</v>
      </c>
      <c r="AA431" s="20">
        <v>0</v>
      </c>
      <c r="AB431" s="20">
        <v>0</v>
      </c>
      <c r="AC431" s="15">
        <f t="shared" si="236"/>
        <v>0</v>
      </c>
      <c r="AD431" s="15">
        <v>0</v>
      </c>
      <c r="AE431" s="19">
        <v>0</v>
      </c>
      <c r="AF431" s="20">
        <v>0</v>
      </c>
      <c r="AG431" s="15">
        <v>220</v>
      </c>
      <c r="AH431" s="15">
        <v>0</v>
      </c>
      <c r="AI431" s="15">
        <v>30</v>
      </c>
      <c r="AJ431" s="15">
        <v>10</v>
      </c>
      <c r="AK431" s="15">
        <v>30</v>
      </c>
      <c r="AL431" s="15">
        <f t="shared" si="237"/>
        <v>290</v>
      </c>
      <c r="AM431" s="29">
        <f t="shared" si="215"/>
        <v>507.69230769230762</v>
      </c>
      <c r="AN431" s="19">
        <v>428</v>
      </c>
      <c r="AO431" s="21">
        <v>0</v>
      </c>
      <c r="AP431" s="22">
        <v>0</v>
      </c>
      <c r="AQ431" s="26">
        <f t="shared" si="231"/>
        <v>428</v>
      </c>
      <c r="AR431" s="37">
        <f t="shared" si="239"/>
        <v>1</v>
      </c>
      <c r="AS431" s="38">
        <f t="shared" si="240"/>
        <v>0.84303030303030313</v>
      </c>
      <c r="AT431" s="38">
        <f t="shared" si="241"/>
        <v>1</v>
      </c>
      <c r="AU431" s="27">
        <f t="shared" si="242"/>
        <v>0.84303030303030313</v>
      </c>
    </row>
    <row r="432" spans="1:47" s="1" customFormat="1" ht="21" customHeight="1" x14ac:dyDescent="0.25">
      <c r="A432" s="109">
        <v>46053</v>
      </c>
      <c r="B432" s="47" t="s">
        <v>49</v>
      </c>
      <c r="C432" s="79" t="s">
        <v>51</v>
      </c>
      <c r="D432" s="47" t="s">
        <v>88</v>
      </c>
      <c r="E432" s="48">
        <v>98992</v>
      </c>
      <c r="F432" s="48" t="s">
        <v>126</v>
      </c>
      <c r="G432" s="48" t="s">
        <v>87</v>
      </c>
      <c r="H432" s="30">
        <v>15036</v>
      </c>
      <c r="I432" s="30">
        <v>32</v>
      </c>
      <c r="J432" s="28">
        <f t="shared" si="225"/>
        <v>112.5</v>
      </c>
      <c r="K432" s="31">
        <v>0.58333333333333337</v>
      </c>
      <c r="L432" s="31">
        <v>0.9375</v>
      </c>
      <c r="M432" s="32">
        <f t="shared" si="238"/>
        <v>0.35416666666666663</v>
      </c>
      <c r="N432" s="36">
        <v>510</v>
      </c>
      <c r="O432" s="36">
        <f t="shared" si="227"/>
        <v>440</v>
      </c>
      <c r="P432" s="36">
        <f t="shared" si="228"/>
        <v>440</v>
      </c>
      <c r="Q432" s="15">
        <v>0</v>
      </c>
      <c r="R432" s="20">
        <v>0</v>
      </c>
      <c r="S432" s="20">
        <v>0</v>
      </c>
      <c r="T432" s="20">
        <v>0</v>
      </c>
      <c r="U432" s="20">
        <v>0</v>
      </c>
      <c r="V432" s="20">
        <v>0</v>
      </c>
      <c r="W432" s="19">
        <v>0</v>
      </c>
      <c r="X432" s="19">
        <v>0</v>
      </c>
      <c r="Y432" s="20">
        <v>0</v>
      </c>
      <c r="Z432" s="20">
        <v>0</v>
      </c>
      <c r="AA432" s="20">
        <v>0</v>
      </c>
      <c r="AB432" s="20">
        <v>0</v>
      </c>
      <c r="AC432" s="15">
        <f t="shared" si="236"/>
        <v>0</v>
      </c>
      <c r="AD432" s="15">
        <v>0</v>
      </c>
      <c r="AE432" s="19">
        <v>0</v>
      </c>
      <c r="AF432" s="20">
        <v>0</v>
      </c>
      <c r="AG432" s="15">
        <v>0</v>
      </c>
      <c r="AH432" s="15">
        <v>0</v>
      </c>
      <c r="AI432" s="15">
        <v>30</v>
      </c>
      <c r="AJ432" s="15">
        <v>10</v>
      </c>
      <c r="AK432" s="15">
        <v>30</v>
      </c>
      <c r="AL432" s="15">
        <f t="shared" si="237"/>
        <v>70</v>
      </c>
      <c r="AM432" s="29">
        <f t="shared" si="215"/>
        <v>825</v>
      </c>
      <c r="AN432" s="19">
        <v>701</v>
      </c>
      <c r="AO432" s="21">
        <v>0</v>
      </c>
      <c r="AP432" s="22">
        <v>0</v>
      </c>
      <c r="AQ432" s="26">
        <f t="shared" si="231"/>
        <v>701</v>
      </c>
      <c r="AR432" s="37">
        <f t="shared" si="239"/>
        <v>1</v>
      </c>
      <c r="AS432" s="38">
        <f t="shared" si="240"/>
        <v>0.84969696969696973</v>
      </c>
      <c r="AT432" s="38">
        <f t="shared" si="241"/>
        <v>1</v>
      </c>
      <c r="AU432" s="27">
        <f t="shared" si="242"/>
        <v>0.84969696969696973</v>
      </c>
    </row>
    <row r="433" spans="1:47" s="1" customFormat="1" ht="21" customHeight="1" x14ac:dyDescent="0.25">
      <c r="A433" s="109">
        <v>46053</v>
      </c>
      <c r="B433" s="47" t="s">
        <v>49</v>
      </c>
      <c r="C433" s="79" t="s">
        <v>51</v>
      </c>
      <c r="D433" s="47" t="s">
        <v>89</v>
      </c>
      <c r="E433" s="48">
        <v>98992</v>
      </c>
      <c r="F433" s="48" t="s">
        <v>169</v>
      </c>
      <c r="G433" s="48" t="s">
        <v>87</v>
      </c>
      <c r="H433" s="30">
        <v>11682</v>
      </c>
      <c r="I433" s="30">
        <v>32</v>
      </c>
      <c r="J433" s="28">
        <f t="shared" si="225"/>
        <v>112.5</v>
      </c>
      <c r="K433" s="31">
        <v>0.58333333333333337</v>
      </c>
      <c r="L433" s="31">
        <v>0.9375</v>
      </c>
      <c r="M433" s="32">
        <f t="shared" si="238"/>
        <v>0.35416666666666663</v>
      </c>
      <c r="N433" s="36">
        <v>510</v>
      </c>
      <c r="O433" s="36">
        <f t="shared" si="227"/>
        <v>440</v>
      </c>
      <c r="P433" s="36">
        <f t="shared" si="228"/>
        <v>440</v>
      </c>
      <c r="Q433" s="15">
        <v>0</v>
      </c>
      <c r="R433" s="20">
        <v>0</v>
      </c>
      <c r="S433" s="20">
        <v>0</v>
      </c>
      <c r="T433" s="20">
        <v>0</v>
      </c>
      <c r="U433" s="20">
        <v>0</v>
      </c>
      <c r="V433" s="20">
        <v>0</v>
      </c>
      <c r="W433" s="19">
        <v>0</v>
      </c>
      <c r="X433" s="19">
        <v>0</v>
      </c>
      <c r="Y433" s="20">
        <v>0</v>
      </c>
      <c r="Z433" s="20">
        <v>0</v>
      </c>
      <c r="AA433" s="20">
        <v>0</v>
      </c>
      <c r="AB433" s="20">
        <v>0</v>
      </c>
      <c r="AC433" s="15">
        <f t="shared" si="236"/>
        <v>0</v>
      </c>
      <c r="AD433" s="15">
        <v>0</v>
      </c>
      <c r="AE433" s="19">
        <v>0</v>
      </c>
      <c r="AF433" s="20">
        <v>0</v>
      </c>
      <c r="AG433" s="15">
        <v>0</v>
      </c>
      <c r="AH433" s="15">
        <v>0</v>
      </c>
      <c r="AI433" s="15">
        <v>30</v>
      </c>
      <c r="AJ433" s="15">
        <v>10</v>
      </c>
      <c r="AK433" s="15">
        <v>30</v>
      </c>
      <c r="AL433" s="15">
        <f t="shared" si="237"/>
        <v>70</v>
      </c>
      <c r="AM433" s="29">
        <f t="shared" si="215"/>
        <v>825</v>
      </c>
      <c r="AN433" s="19">
        <v>666</v>
      </c>
      <c r="AO433" s="21">
        <v>0</v>
      </c>
      <c r="AP433" s="22">
        <v>0</v>
      </c>
      <c r="AQ433" s="26">
        <f t="shared" si="231"/>
        <v>666</v>
      </c>
      <c r="AR433" s="37">
        <f t="shared" si="239"/>
        <v>1</v>
      </c>
      <c r="AS433" s="38">
        <f t="shared" si="240"/>
        <v>0.80727272727272725</v>
      </c>
      <c r="AT433" s="38">
        <f t="shared" si="241"/>
        <v>1</v>
      </c>
      <c r="AU433" s="27">
        <f t="shared" si="242"/>
        <v>0.80727272727272725</v>
      </c>
    </row>
    <row r="434" spans="1:47" s="1" customFormat="1" ht="21" customHeight="1" x14ac:dyDescent="0.25">
      <c r="A434" s="109">
        <v>46053</v>
      </c>
      <c r="B434" s="47" t="s">
        <v>49</v>
      </c>
      <c r="C434" s="79" t="s">
        <v>51</v>
      </c>
      <c r="D434" s="47" t="s">
        <v>52</v>
      </c>
      <c r="E434" s="48">
        <v>98992</v>
      </c>
      <c r="F434" s="48" t="s">
        <v>53</v>
      </c>
      <c r="G434" s="48" t="s">
        <v>87</v>
      </c>
      <c r="H434" s="30">
        <v>16000</v>
      </c>
      <c r="I434" s="30">
        <v>32</v>
      </c>
      <c r="J434" s="28">
        <f t="shared" si="225"/>
        <v>112.5</v>
      </c>
      <c r="K434" s="31">
        <v>0.58333333333333337</v>
      </c>
      <c r="L434" s="31">
        <v>0.9375</v>
      </c>
      <c r="M434" s="32">
        <f t="shared" si="238"/>
        <v>0.35416666666666663</v>
      </c>
      <c r="N434" s="36">
        <v>510</v>
      </c>
      <c r="O434" s="36">
        <f t="shared" si="227"/>
        <v>440</v>
      </c>
      <c r="P434" s="36">
        <f t="shared" si="228"/>
        <v>440</v>
      </c>
      <c r="Q434" s="15">
        <v>0</v>
      </c>
      <c r="R434" s="20">
        <v>0</v>
      </c>
      <c r="S434" s="20">
        <v>0</v>
      </c>
      <c r="T434" s="20">
        <v>0</v>
      </c>
      <c r="U434" s="20">
        <v>0</v>
      </c>
      <c r="V434" s="20">
        <v>0</v>
      </c>
      <c r="W434" s="19">
        <v>0</v>
      </c>
      <c r="X434" s="19">
        <v>0</v>
      </c>
      <c r="Y434" s="20">
        <v>0</v>
      </c>
      <c r="Z434" s="20">
        <v>0</v>
      </c>
      <c r="AA434" s="20">
        <v>0</v>
      </c>
      <c r="AB434" s="20">
        <v>0</v>
      </c>
      <c r="AC434" s="15">
        <f t="shared" si="236"/>
        <v>0</v>
      </c>
      <c r="AD434" s="15">
        <v>0</v>
      </c>
      <c r="AE434" s="19">
        <v>0</v>
      </c>
      <c r="AF434" s="20">
        <v>0</v>
      </c>
      <c r="AG434" s="15">
        <v>0</v>
      </c>
      <c r="AH434" s="15">
        <v>0</v>
      </c>
      <c r="AI434" s="15">
        <v>30</v>
      </c>
      <c r="AJ434" s="15">
        <v>10</v>
      </c>
      <c r="AK434" s="15">
        <v>30</v>
      </c>
      <c r="AL434" s="15">
        <f t="shared" si="237"/>
        <v>70</v>
      </c>
      <c r="AM434" s="29">
        <f t="shared" si="215"/>
        <v>825</v>
      </c>
      <c r="AN434" s="19">
        <v>576</v>
      </c>
      <c r="AO434" s="21">
        <v>0</v>
      </c>
      <c r="AP434" s="22">
        <v>0</v>
      </c>
      <c r="AQ434" s="26">
        <f t="shared" si="231"/>
        <v>576</v>
      </c>
      <c r="AR434" s="37">
        <f t="shared" ref="AR434:AR435" si="243">O434/P434</f>
        <v>1</v>
      </c>
      <c r="AS434" s="38">
        <f t="shared" ref="AS434:AS435" si="244">AN434/AM434</f>
        <v>0.69818181818181824</v>
      </c>
      <c r="AT434" s="38">
        <f t="shared" ref="AT434:AT435" si="245">AQ434/AN434</f>
        <v>1</v>
      </c>
      <c r="AU434" s="27">
        <f t="shared" ref="AU434:AU435" si="246">AR434*AS434*AT434</f>
        <v>0.69818181818181824</v>
      </c>
    </row>
    <row r="435" spans="1:47" s="1" customFormat="1" ht="21" customHeight="1" x14ac:dyDescent="0.25">
      <c r="A435" s="109">
        <v>46053</v>
      </c>
      <c r="B435" s="47" t="s">
        <v>49</v>
      </c>
      <c r="C435" s="79" t="s">
        <v>51</v>
      </c>
      <c r="D435" s="47" t="s">
        <v>86</v>
      </c>
      <c r="E435" s="48">
        <v>98992</v>
      </c>
      <c r="F435" s="48" t="s">
        <v>176</v>
      </c>
      <c r="G435" s="48" t="s">
        <v>87</v>
      </c>
      <c r="H435" s="30">
        <v>15688</v>
      </c>
      <c r="I435" s="30">
        <v>20</v>
      </c>
      <c r="J435" s="28">
        <f t="shared" si="225"/>
        <v>180</v>
      </c>
      <c r="K435" s="31">
        <v>0.58333333333333337</v>
      </c>
      <c r="L435" s="31">
        <v>0.9375</v>
      </c>
      <c r="M435" s="32">
        <f t="shared" si="238"/>
        <v>0.35416666666666663</v>
      </c>
      <c r="N435" s="36">
        <v>510</v>
      </c>
      <c r="O435" s="36">
        <f t="shared" si="227"/>
        <v>260</v>
      </c>
      <c r="P435" s="36">
        <f t="shared" si="228"/>
        <v>260</v>
      </c>
      <c r="Q435" s="15">
        <v>0</v>
      </c>
      <c r="R435" s="20">
        <v>0</v>
      </c>
      <c r="S435" s="20">
        <v>0</v>
      </c>
      <c r="T435" s="20">
        <v>0</v>
      </c>
      <c r="U435" s="20">
        <v>0</v>
      </c>
      <c r="V435" s="20">
        <v>0</v>
      </c>
      <c r="W435" s="19">
        <v>0</v>
      </c>
      <c r="X435" s="19">
        <v>0</v>
      </c>
      <c r="Y435" s="20">
        <v>0</v>
      </c>
      <c r="Z435" s="20">
        <v>0</v>
      </c>
      <c r="AA435" s="20">
        <v>0</v>
      </c>
      <c r="AB435" s="20">
        <v>0</v>
      </c>
      <c r="AC435" s="15">
        <f t="shared" si="236"/>
        <v>0</v>
      </c>
      <c r="AD435" s="15">
        <v>0</v>
      </c>
      <c r="AE435" s="19">
        <v>0</v>
      </c>
      <c r="AF435" s="20">
        <v>0</v>
      </c>
      <c r="AG435" s="15">
        <v>180</v>
      </c>
      <c r="AH435" s="15">
        <v>0</v>
      </c>
      <c r="AI435" s="15">
        <v>30</v>
      </c>
      <c r="AJ435" s="15">
        <v>10</v>
      </c>
      <c r="AK435" s="15">
        <v>30</v>
      </c>
      <c r="AL435" s="15">
        <f t="shared" si="237"/>
        <v>250</v>
      </c>
      <c r="AM435" s="29">
        <f t="shared" si="215"/>
        <v>780</v>
      </c>
      <c r="AN435" s="19">
        <v>575</v>
      </c>
      <c r="AO435" s="21">
        <v>0</v>
      </c>
      <c r="AP435" s="22">
        <v>0</v>
      </c>
      <c r="AQ435" s="26">
        <f t="shared" si="231"/>
        <v>575</v>
      </c>
      <c r="AR435" s="37">
        <f t="shared" si="243"/>
        <v>1</v>
      </c>
      <c r="AS435" s="38">
        <f t="shared" si="244"/>
        <v>0.73717948717948723</v>
      </c>
      <c r="AT435" s="38">
        <f t="shared" si="245"/>
        <v>1</v>
      </c>
      <c r="AU435" s="27">
        <f t="shared" si="246"/>
        <v>0.73717948717948723</v>
      </c>
    </row>
    <row r="436" spans="1:47" s="1" customFormat="1" ht="21" customHeight="1" x14ac:dyDescent="0.25">
      <c r="A436" s="109">
        <v>46053</v>
      </c>
      <c r="B436" s="47" t="s">
        <v>49</v>
      </c>
      <c r="C436" s="79" t="s">
        <v>51</v>
      </c>
      <c r="D436" s="47" t="s">
        <v>172</v>
      </c>
      <c r="E436" s="48">
        <v>98992</v>
      </c>
      <c r="F436" s="48" t="s">
        <v>175</v>
      </c>
      <c r="G436" s="48" t="s">
        <v>87</v>
      </c>
      <c r="H436" s="30">
        <v>15857</v>
      </c>
      <c r="I436" s="30">
        <v>20</v>
      </c>
      <c r="J436" s="28">
        <f t="shared" si="225"/>
        <v>180</v>
      </c>
      <c r="K436" s="31">
        <v>0.58333333333333337</v>
      </c>
      <c r="L436" s="31">
        <v>0.9375</v>
      </c>
      <c r="M436" s="32">
        <f t="shared" si="238"/>
        <v>0.35416666666666663</v>
      </c>
      <c r="N436" s="36">
        <v>510</v>
      </c>
      <c r="O436" s="36">
        <f t="shared" si="227"/>
        <v>140</v>
      </c>
      <c r="P436" s="36">
        <f t="shared" si="228"/>
        <v>140</v>
      </c>
      <c r="Q436" s="15">
        <v>0</v>
      </c>
      <c r="R436" s="20">
        <v>0</v>
      </c>
      <c r="S436" s="20">
        <v>0</v>
      </c>
      <c r="T436" s="20">
        <v>0</v>
      </c>
      <c r="U436" s="20">
        <v>0</v>
      </c>
      <c r="V436" s="20">
        <v>0</v>
      </c>
      <c r="W436" s="19">
        <v>0</v>
      </c>
      <c r="X436" s="19">
        <v>0</v>
      </c>
      <c r="Y436" s="20">
        <v>0</v>
      </c>
      <c r="Z436" s="20">
        <v>0</v>
      </c>
      <c r="AA436" s="20">
        <v>0</v>
      </c>
      <c r="AB436" s="20">
        <v>0</v>
      </c>
      <c r="AC436" s="15">
        <f t="shared" si="236"/>
        <v>0</v>
      </c>
      <c r="AD436" s="15">
        <v>0</v>
      </c>
      <c r="AE436" s="19">
        <v>0</v>
      </c>
      <c r="AF436" s="20">
        <v>0</v>
      </c>
      <c r="AG436" s="15">
        <v>300</v>
      </c>
      <c r="AH436" s="15">
        <v>0</v>
      </c>
      <c r="AI436" s="15">
        <v>30</v>
      </c>
      <c r="AJ436" s="15">
        <v>10</v>
      </c>
      <c r="AK436" s="15">
        <v>30</v>
      </c>
      <c r="AL436" s="15">
        <f t="shared" si="237"/>
        <v>370</v>
      </c>
      <c r="AM436" s="29">
        <f t="shared" si="215"/>
        <v>420</v>
      </c>
      <c r="AN436" s="19">
        <v>384</v>
      </c>
      <c r="AO436" s="21">
        <v>0</v>
      </c>
      <c r="AP436" s="22">
        <v>0</v>
      </c>
      <c r="AQ436" s="26">
        <f t="shared" si="231"/>
        <v>384</v>
      </c>
      <c r="AR436" s="37">
        <f t="shared" ref="AR436" si="247">O436/P436</f>
        <v>1</v>
      </c>
      <c r="AS436" s="38">
        <f t="shared" ref="AS436" si="248">AN436/AM436</f>
        <v>0.91428571428571426</v>
      </c>
      <c r="AT436" s="38">
        <f t="shared" ref="AT436" si="249">AQ436/AN436</f>
        <v>1</v>
      </c>
      <c r="AU436" s="27">
        <f t="shared" ref="AU436" si="250">AR436*AS436*AT436</f>
        <v>0.91428571428571426</v>
      </c>
    </row>
    <row r="437" spans="1:47" s="1" customFormat="1" ht="21" customHeight="1" x14ac:dyDescent="0.25">
      <c r="A437" s="109"/>
      <c r="B437" s="47"/>
      <c r="C437" s="79"/>
      <c r="D437" s="47"/>
      <c r="E437" s="48"/>
      <c r="F437" s="48"/>
      <c r="G437" s="48"/>
      <c r="H437" s="30"/>
      <c r="I437" s="30"/>
      <c r="J437" s="28"/>
      <c r="K437" s="31"/>
      <c r="L437" s="31"/>
      <c r="M437" s="32">
        <f t="shared" si="238"/>
        <v>1</v>
      </c>
      <c r="N437" s="36">
        <v>510</v>
      </c>
      <c r="O437" s="36">
        <f t="shared" si="227"/>
        <v>510</v>
      </c>
      <c r="P437" s="36">
        <f t="shared" si="228"/>
        <v>510</v>
      </c>
      <c r="Q437" s="15"/>
      <c r="R437" s="20"/>
      <c r="S437" s="20"/>
      <c r="T437" s="20"/>
      <c r="U437" s="20"/>
      <c r="V437" s="20"/>
      <c r="W437" s="19"/>
      <c r="X437" s="19"/>
      <c r="Y437" s="20"/>
      <c r="Z437" s="20"/>
      <c r="AA437" s="20"/>
      <c r="AB437" s="20"/>
      <c r="AC437" s="15"/>
      <c r="AD437" s="15"/>
      <c r="AE437" s="19"/>
      <c r="AF437" s="20"/>
      <c r="AG437" s="15"/>
      <c r="AH437" s="15"/>
      <c r="AI437" s="15">
        <v>30</v>
      </c>
      <c r="AJ437" s="15">
        <v>10</v>
      </c>
      <c r="AK437" s="15">
        <v>30</v>
      </c>
      <c r="AL437" s="15"/>
      <c r="AM437" s="29"/>
      <c r="AN437" s="19"/>
      <c r="AO437" s="21"/>
      <c r="AP437" s="22"/>
      <c r="AQ437" s="26"/>
      <c r="AR437" s="37"/>
      <c r="AS437" s="38"/>
      <c r="AT437" s="38"/>
      <c r="AU437" s="27"/>
    </row>
    <row r="438" spans="1:47" s="1" customFormat="1" ht="21" customHeight="1" x14ac:dyDescent="0.25">
      <c r="A438" s="109"/>
      <c r="B438" s="47"/>
      <c r="C438" s="79"/>
      <c r="D438" s="47"/>
      <c r="E438" s="48"/>
      <c r="F438" s="48"/>
      <c r="G438" s="48"/>
      <c r="H438" s="30"/>
      <c r="I438" s="30"/>
      <c r="J438" s="28"/>
      <c r="K438" s="31"/>
      <c r="L438" s="31"/>
      <c r="M438" s="32"/>
      <c r="N438" s="36"/>
      <c r="O438" s="36"/>
      <c r="P438" s="36"/>
      <c r="Q438" s="15"/>
      <c r="R438" s="20"/>
      <c r="S438" s="20"/>
      <c r="T438" s="20"/>
      <c r="U438" s="20"/>
      <c r="V438" s="20"/>
      <c r="W438" s="19"/>
      <c r="X438" s="19"/>
      <c r="Y438" s="20"/>
      <c r="Z438" s="20"/>
      <c r="AA438" s="20"/>
      <c r="AB438" s="20"/>
      <c r="AC438" s="15"/>
      <c r="AD438" s="15"/>
      <c r="AE438" s="19"/>
      <c r="AF438" s="20"/>
      <c r="AG438" s="15"/>
      <c r="AH438" s="15"/>
      <c r="AI438" s="15"/>
      <c r="AJ438" s="15"/>
      <c r="AK438" s="15"/>
      <c r="AL438" s="15"/>
      <c r="AM438" s="29"/>
      <c r="AN438" s="19"/>
      <c r="AO438" s="21"/>
      <c r="AP438" s="22"/>
      <c r="AQ438" s="26"/>
      <c r="AR438" s="37"/>
      <c r="AS438" s="38"/>
      <c r="AT438" s="38"/>
      <c r="AU438" s="27"/>
    </row>
    <row r="439" spans="1:47" s="1" customFormat="1" ht="21" customHeight="1" x14ac:dyDescent="0.25">
      <c r="A439" s="109"/>
      <c r="B439" s="47"/>
      <c r="C439" s="79"/>
      <c r="D439" s="47"/>
      <c r="E439" s="48"/>
      <c r="F439" s="48"/>
      <c r="G439" s="48"/>
      <c r="H439" s="30"/>
      <c r="I439" s="30"/>
      <c r="J439" s="28"/>
      <c r="K439" s="31"/>
      <c r="L439" s="31"/>
      <c r="M439" s="32"/>
      <c r="N439" s="36"/>
      <c r="O439" s="36"/>
      <c r="P439" s="36"/>
      <c r="Q439" s="15"/>
      <c r="R439" s="20"/>
      <c r="S439" s="20"/>
      <c r="T439" s="20"/>
      <c r="U439" s="20"/>
      <c r="V439" s="20"/>
      <c r="W439" s="19"/>
      <c r="X439" s="19"/>
      <c r="Y439" s="20"/>
      <c r="Z439" s="20"/>
      <c r="AA439" s="20"/>
      <c r="AB439" s="20"/>
      <c r="AC439" s="15"/>
      <c r="AD439" s="15"/>
      <c r="AE439" s="19"/>
      <c r="AF439" s="20"/>
      <c r="AG439" s="15"/>
      <c r="AH439" s="15"/>
      <c r="AI439" s="15"/>
      <c r="AJ439" s="15"/>
      <c r="AK439" s="15"/>
      <c r="AL439" s="15"/>
      <c r="AM439" s="29"/>
      <c r="AN439" s="19"/>
      <c r="AO439" s="21"/>
      <c r="AP439" s="22"/>
      <c r="AQ439" s="26"/>
      <c r="AR439" s="37"/>
      <c r="AS439" s="38"/>
      <c r="AT439" s="38"/>
      <c r="AU439" s="27"/>
    </row>
    <row r="440" spans="1:47" s="1" customFormat="1" ht="21" customHeight="1" x14ac:dyDescent="0.25">
      <c r="A440" s="45"/>
      <c r="B440" s="47"/>
      <c r="C440" s="79"/>
      <c r="D440" s="47"/>
      <c r="E440" s="48"/>
      <c r="F440" s="48"/>
      <c r="G440" s="48"/>
      <c r="H440" s="30"/>
      <c r="I440" s="30"/>
      <c r="J440" s="28"/>
      <c r="K440" s="31"/>
      <c r="L440" s="31"/>
      <c r="M440" s="32"/>
      <c r="N440" s="36"/>
      <c r="O440" s="36"/>
      <c r="P440" s="36"/>
      <c r="Q440" s="15"/>
      <c r="R440" s="20"/>
      <c r="S440" s="20"/>
      <c r="T440" s="20"/>
      <c r="U440" s="20"/>
      <c r="V440" s="20"/>
      <c r="W440" s="19"/>
      <c r="X440" s="19"/>
      <c r="Y440" s="20"/>
      <c r="Z440" s="20"/>
      <c r="AA440" s="20"/>
      <c r="AB440" s="20"/>
      <c r="AC440" s="15"/>
      <c r="AD440" s="15"/>
      <c r="AE440" s="19"/>
      <c r="AF440" s="20"/>
      <c r="AG440" s="15"/>
      <c r="AH440" s="15"/>
      <c r="AI440" s="15"/>
      <c r="AJ440" s="15"/>
      <c r="AK440" s="15"/>
      <c r="AL440" s="15"/>
      <c r="AM440" s="29"/>
      <c r="AN440" s="19"/>
      <c r="AO440" s="21"/>
      <c r="AP440" s="22"/>
      <c r="AQ440" s="26"/>
      <c r="AR440" s="37"/>
      <c r="AS440" s="38"/>
      <c r="AT440" s="38"/>
      <c r="AU440" s="27"/>
    </row>
    <row r="441" spans="1:47" s="1" customFormat="1" ht="21" customHeight="1" x14ac:dyDescent="0.25">
      <c r="A441" s="45"/>
      <c r="B441" s="47"/>
      <c r="C441" s="79"/>
      <c r="D441" s="47"/>
      <c r="E441" s="48"/>
      <c r="F441" s="48"/>
      <c r="G441" s="48"/>
      <c r="H441" s="30"/>
      <c r="I441" s="30"/>
      <c r="J441" s="28"/>
      <c r="K441" s="31"/>
      <c r="L441" s="31"/>
      <c r="M441" s="32"/>
      <c r="N441" s="36"/>
      <c r="O441" s="36"/>
      <c r="P441" s="36"/>
      <c r="Q441" s="15"/>
      <c r="R441" s="20"/>
      <c r="S441" s="20"/>
      <c r="T441" s="20"/>
      <c r="U441" s="20"/>
      <c r="V441" s="20"/>
      <c r="W441" s="19"/>
      <c r="X441" s="19"/>
      <c r="Y441" s="20"/>
      <c r="Z441" s="20"/>
      <c r="AA441" s="20"/>
      <c r="AB441" s="20"/>
      <c r="AC441" s="15"/>
      <c r="AD441" s="15"/>
      <c r="AE441" s="19"/>
      <c r="AF441" s="20"/>
      <c r="AG441" s="15"/>
      <c r="AH441" s="15"/>
      <c r="AI441" s="15"/>
      <c r="AJ441" s="15"/>
      <c r="AK441" s="15"/>
      <c r="AL441" s="15"/>
      <c r="AM441" s="29"/>
      <c r="AN441" s="19"/>
      <c r="AO441" s="21"/>
      <c r="AP441" s="22"/>
      <c r="AQ441" s="26"/>
      <c r="AR441" s="37"/>
      <c r="AS441" s="38"/>
      <c r="AT441" s="38"/>
      <c r="AU441" s="27"/>
    </row>
    <row r="442" spans="1:47" s="1" customFormat="1" ht="21" customHeight="1" x14ac:dyDescent="0.25">
      <c r="A442" s="45"/>
      <c r="B442" s="47"/>
      <c r="C442" s="79"/>
      <c r="D442" s="47"/>
      <c r="E442" s="48"/>
      <c r="F442" s="48"/>
      <c r="G442" s="48"/>
      <c r="H442" s="30"/>
      <c r="I442" s="30"/>
      <c r="J442" s="28"/>
      <c r="K442" s="31"/>
      <c r="L442" s="31"/>
      <c r="M442" s="32"/>
      <c r="N442" s="36"/>
      <c r="O442" s="36"/>
      <c r="P442" s="36"/>
      <c r="Q442" s="15"/>
      <c r="R442" s="20"/>
      <c r="S442" s="20"/>
      <c r="T442" s="20"/>
      <c r="U442" s="20"/>
      <c r="V442" s="20"/>
      <c r="W442" s="19"/>
      <c r="X442" s="19"/>
      <c r="Y442" s="20"/>
      <c r="Z442" s="20"/>
      <c r="AA442" s="20"/>
      <c r="AB442" s="20"/>
      <c r="AC442" s="15"/>
      <c r="AD442" s="15"/>
      <c r="AE442" s="19"/>
      <c r="AF442" s="20"/>
      <c r="AG442" s="15"/>
      <c r="AH442" s="15"/>
      <c r="AI442" s="15"/>
      <c r="AJ442" s="15"/>
      <c r="AK442" s="15"/>
      <c r="AL442" s="15"/>
      <c r="AM442" s="29"/>
      <c r="AN442" s="19"/>
      <c r="AO442" s="21"/>
      <c r="AP442" s="22"/>
      <c r="AQ442" s="26"/>
      <c r="AR442" s="37"/>
      <c r="AS442" s="38"/>
      <c r="AT442" s="38"/>
      <c r="AU442" s="27"/>
    </row>
    <row r="443" spans="1:47" s="1" customFormat="1" ht="21" customHeight="1" x14ac:dyDescent="0.25">
      <c r="A443" s="45"/>
      <c r="B443" s="47"/>
      <c r="C443" s="79"/>
      <c r="D443" s="47"/>
      <c r="E443" s="48"/>
      <c r="F443" s="48"/>
      <c r="G443" s="48"/>
      <c r="H443" s="30"/>
      <c r="I443" s="30"/>
      <c r="J443" s="28"/>
      <c r="K443" s="31"/>
      <c r="L443" s="31"/>
      <c r="M443" s="32"/>
      <c r="N443" s="36"/>
      <c r="O443" s="36"/>
      <c r="P443" s="36"/>
      <c r="Q443" s="15"/>
      <c r="R443" s="20"/>
      <c r="S443" s="20"/>
      <c r="T443" s="20"/>
      <c r="U443" s="20"/>
      <c r="V443" s="20"/>
      <c r="W443" s="19"/>
      <c r="X443" s="19"/>
      <c r="Y443" s="20"/>
      <c r="Z443" s="20"/>
      <c r="AA443" s="20"/>
      <c r="AB443" s="20"/>
      <c r="AC443" s="15"/>
      <c r="AD443" s="15"/>
      <c r="AE443" s="19"/>
      <c r="AF443" s="20"/>
      <c r="AG443" s="15"/>
      <c r="AH443" s="15"/>
      <c r="AI443" s="15"/>
      <c r="AJ443" s="15"/>
      <c r="AK443" s="15"/>
      <c r="AL443" s="15"/>
      <c r="AM443" s="29"/>
      <c r="AN443" s="19"/>
      <c r="AO443" s="21"/>
      <c r="AP443" s="22"/>
      <c r="AQ443" s="26"/>
      <c r="AR443" s="37"/>
      <c r="AS443" s="38"/>
      <c r="AT443" s="38"/>
      <c r="AU443" s="27"/>
    </row>
    <row r="444" spans="1:47" s="1" customFormat="1" ht="21" customHeight="1" x14ac:dyDescent="0.25">
      <c r="A444" s="45"/>
      <c r="B444" s="47"/>
      <c r="C444" s="79"/>
      <c r="D444" s="47"/>
      <c r="E444" s="48"/>
      <c r="F444" s="48"/>
      <c r="G444" s="48"/>
      <c r="H444" s="30"/>
      <c r="I444" s="30"/>
      <c r="J444" s="28"/>
      <c r="K444" s="31"/>
      <c r="L444" s="31"/>
      <c r="M444" s="32"/>
      <c r="N444" s="36"/>
      <c r="O444" s="36"/>
      <c r="P444" s="36"/>
      <c r="Q444" s="15"/>
      <c r="R444" s="20"/>
      <c r="S444" s="20"/>
      <c r="T444" s="20"/>
      <c r="U444" s="20"/>
      <c r="V444" s="20"/>
      <c r="W444" s="19"/>
      <c r="X444" s="19"/>
      <c r="Y444" s="20"/>
      <c r="Z444" s="20"/>
      <c r="AA444" s="20"/>
      <c r="AB444" s="20"/>
      <c r="AC444" s="15"/>
      <c r="AD444" s="15"/>
      <c r="AE444" s="19"/>
      <c r="AF444" s="20"/>
      <c r="AG444" s="15"/>
      <c r="AH444" s="15"/>
      <c r="AI444" s="15"/>
      <c r="AJ444" s="15"/>
      <c r="AK444" s="15"/>
      <c r="AL444" s="15"/>
      <c r="AM444" s="29"/>
      <c r="AN444" s="19"/>
      <c r="AO444" s="21"/>
      <c r="AP444" s="22"/>
      <c r="AQ444" s="26"/>
      <c r="AR444" s="37"/>
      <c r="AS444" s="38"/>
      <c r="AT444" s="38"/>
      <c r="AU444" s="27"/>
    </row>
    <row r="445" spans="1:47" s="1" customFormat="1" ht="21" customHeight="1" x14ac:dyDescent="0.25">
      <c r="A445" s="45"/>
      <c r="B445" s="47"/>
      <c r="C445" s="79"/>
      <c r="D445" s="47"/>
      <c r="E445" s="48"/>
      <c r="F445" s="48"/>
      <c r="G445" s="48"/>
      <c r="H445" s="30"/>
      <c r="I445" s="30"/>
      <c r="J445" s="28"/>
      <c r="K445" s="31"/>
      <c r="L445" s="31"/>
      <c r="M445" s="32"/>
      <c r="N445" s="36"/>
      <c r="O445" s="36"/>
      <c r="P445" s="36"/>
      <c r="Q445" s="15"/>
      <c r="R445" s="20"/>
      <c r="S445" s="20"/>
      <c r="T445" s="20"/>
      <c r="U445" s="20"/>
      <c r="V445" s="20"/>
      <c r="W445" s="19"/>
      <c r="X445" s="19"/>
      <c r="Y445" s="20"/>
      <c r="Z445" s="20"/>
      <c r="AA445" s="20"/>
      <c r="AB445" s="20"/>
      <c r="AC445" s="15"/>
      <c r="AD445" s="15"/>
      <c r="AE445" s="19"/>
      <c r="AF445" s="20"/>
      <c r="AG445" s="15"/>
      <c r="AH445" s="15"/>
      <c r="AI445" s="15"/>
      <c r="AJ445" s="15"/>
      <c r="AK445" s="15"/>
      <c r="AL445" s="15"/>
      <c r="AM445" s="29"/>
      <c r="AN445" s="19"/>
      <c r="AO445" s="21"/>
      <c r="AP445" s="22"/>
      <c r="AQ445" s="26"/>
      <c r="AR445" s="37"/>
      <c r="AS445" s="38"/>
      <c r="AT445" s="38"/>
      <c r="AU445" s="27"/>
    </row>
    <row r="446" spans="1:47" s="1" customFormat="1" ht="21" customHeight="1" x14ac:dyDescent="0.25">
      <c r="A446" s="45"/>
      <c r="B446" s="47"/>
      <c r="C446" s="79"/>
      <c r="D446" s="47"/>
      <c r="E446" s="48"/>
      <c r="F446" s="48"/>
      <c r="G446" s="48"/>
      <c r="H446" s="30"/>
      <c r="I446" s="30"/>
      <c r="J446" s="28"/>
      <c r="K446" s="31"/>
      <c r="L446" s="31"/>
      <c r="M446" s="32"/>
      <c r="N446" s="36"/>
      <c r="O446" s="36"/>
      <c r="P446" s="36"/>
      <c r="Q446" s="15"/>
      <c r="R446" s="20"/>
      <c r="S446" s="20"/>
      <c r="T446" s="20"/>
      <c r="U446" s="20"/>
      <c r="V446" s="20"/>
      <c r="W446" s="19"/>
      <c r="X446" s="19"/>
      <c r="Y446" s="20"/>
      <c r="Z446" s="20"/>
      <c r="AA446" s="20"/>
      <c r="AB446" s="20"/>
      <c r="AC446" s="15"/>
      <c r="AD446" s="15"/>
      <c r="AE446" s="19"/>
      <c r="AF446" s="20"/>
      <c r="AG446" s="15"/>
      <c r="AH446" s="15"/>
      <c r="AI446" s="15"/>
      <c r="AJ446" s="15"/>
      <c r="AK446" s="15"/>
      <c r="AL446" s="15"/>
      <c r="AM446" s="29"/>
      <c r="AN446" s="19"/>
      <c r="AO446" s="21"/>
      <c r="AP446" s="22"/>
      <c r="AQ446" s="26"/>
      <c r="AR446" s="37"/>
      <c r="AS446" s="38"/>
      <c r="AT446" s="38"/>
      <c r="AU446" s="27"/>
    </row>
    <row r="447" spans="1:47" s="1" customFormat="1" ht="21" customHeight="1" x14ac:dyDescent="0.25">
      <c r="A447" s="45"/>
      <c r="B447" s="47"/>
      <c r="C447" s="79"/>
      <c r="D447" s="47"/>
      <c r="E447" s="48"/>
      <c r="F447" s="48"/>
      <c r="G447" s="48"/>
      <c r="H447" s="30"/>
      <c r="I447" s="30"/>
      <c r="J447" s="28"/>
      <c r="K447" s="31"/>
      <c r="L447" s="31"/>
      <c r="M447" s="32"/>
      <c r="N447" s="36"/>
      <c r="O447" s="36"/>
      <c r="P447" s="36"/>
      <c r="Q447" s="15"/>
      <c r="R447" s="20"/>
      <c r="S447" s="20"/>
      <c r="T447" s="20"/>
      <c r="U447" s="20"/>
      <c r="V447" s="20"/>
      <c r="W447" s="19"/>
      <c r="X447" s="19"/>
      <c r="Y447" s="20"/>
      <c r="Z447" s="20"/>
      <c r="AA447" s="20"/>
      <c r="AB447" s="20"/>
      <c r="AC447" s="15"/>
      <c r="AD447" s="15"/>
      <c r="AE447" s="19"/>
      <c r="AF447" s="20"/>
      <c r="AG447" s="15"/>
      <c r="AH447" s="15"/>
      <c r="AI447" s="15"/>
      <c r="AJ447" s="15"/>
      <c r="AK447" s="15"/>
      <c r="AL447" s="15"/>
      <c r="AM447" s="29"/>
      <c r="AN447" s="19"/>
      <c r="AO447" s="21"/>
      <c r="AP447" s="22"/>
      <c r="AQ447" s="26"/>
      <c r="AR447" s="37"/>
      <c r="AS447" s="38"/>
      <c r="AT447" s="38"/>
      <c r="AU447" s="27"/>
    </row>
    <row r="448" spans="1:47" s="1" customFormat="1" ht="21" customHeight="1" x14ac:dyDescent="0.25">
      <c r="A448" s="45"/>
      <c r="B448" s="47"/>
      <c r="C448" s="81"/>
      <c r="D448" s="47"/>
      <c r="E448" s="48"/>
      <c r="F448" s="48"/>
      <c r="G448" s="48"/>
      <c r="H448" s="30"/>
      <c r="I448" s="30"/>
      <c r="J448" s="28"/>
      <c r="K448" s="31"/>
      <c r="L448" s="31"/>
      <c r="M448" s="32"/>
      <c r="N448" s="36"/>
      <c r="O448" s="36"/>
      <c r="P448" s="36"/>
      <c r="Q448" s="15"/>
      <c r="R448" s="20"/>
      <c r="S448" s="20"/>
      <c r="T448" s="20"/>
      <c r="U448" s="20"/>
      <c r="V448" s="20"/>
      <c r="W448" s="19"/>
      <c r="X448" s="19"/>
      <c r="Y448" s="20"/>
      <c r="Z448" s="20"/>
      <c r="AA448" s="20"/>
      <c r="AB448" s="20"/>
      <c r="AC448" s="15"/>
      <c r="AD448" s="15"/>
      <c r="AE448" s="19"/>
      <c r="AF448" s="20"/>
      <c r="AG448" s="15"/>
      <c r="AH448" s="15"/>
      <c r="AI448" s="15"/>
      <c r="AJ448" s="15"/>
      <c r="AK448" s="15"/>
      <c r="AL448" s="15"/>
      <c r="AM448" s="29"/>
      <c r="AN448" s="19"/>
      <c r="AO448" s="21"/>
      <c r="AP448" s="22"/>
      <c r="AQ448" s="26"/>
      <c r="AR448" s="37"/>
      <c r="AS448" s="38"/>
      <c r="AT448" s="38"/>
      <c r="AU448" s="27"/>
    </row>
    <row r="449" spans="1:47" s="1" customFormat="1" ht="21" customHeight="1" x14ac:dyDescent="0.25">
      <c r="A449" s="45"/>
      <c r="B449" s="47"/>
      <c r="C449" s="81"/>
      <c r="D449" s="47"/>
      <c r="E449" s="48"/>
      <c r="F449" s="48"/>
      <c r="G449" s="48"/>
      <c r="H449" s="30"/>
      <c r="I449" s="30"/>
      <c r="J449" s="28"/>
      <c r="K449" s="31"/>
      <c r="L449" s="31"/>
      <c r="M449" s="32"/>
      <c r="N449" s="36"/>
      <c r="O449" s="36"/>
      <c r="P449" s="36"/>
      <c r="Q449" s="15"/>
      <c r="R449" s="20"/>
      <c r="S449" s="20"/>
      <c r="T449" s="20"/>
      <c r="U449" s="20"/>
      <c r="V449" s="20"/>
      <c r="W449" s="19"/>
      <c r="X449" s="19"/>
      <c r="Y449" s="20"/>
      <c r="Z449" s="20"/>
      <c r="AA449" s="20"/>
      <c r="AB449" s="20"/>
      <c r="AC449" s="15"/>
      <c r="AD449" s="15"/>
      <c r="AE449" s="19"/>
      <c r="AF449" s="20"/>
      <c r="AG449" s="15"/>
      <c r="AH449" s="15"/>
      <c r="AI449" s="15"/>
      <c r="AJ449" s="15"/>
      <c r="AK449" s="15"/>
      <c r="AL449" s="15"/>
      <c r="AM449" s="29"/>
      <c r="AN449" s="19"/>
      <c r="AO449" s="21"/>
      <c r="AP449" s="22"/>
      <c r="AQ449" s="26"/>
      <c r="AR449" s="37"/>
      <c r="AS449" s="38"/>
      <c r="AT449" s="38"/>
      <c r="AU449" s="27"/>
    </row>
    <row r="450" spans="1:47" s="1" customFormat="1" ht="21" customHeight="1" x14ac:dyDescent="0.25">
      <c r="A450" s="45"/>
      <c r="B450" s="47"/>
      <c r="C450" s="81"/>
      <c r="D450" s="47"/>
      <c r="E450" s="48"/>
      <c r="F450" s="48"/>
      <c r="G450" s="48"/>
      <c r="H450" s="30"/>
      <c r="I450" s="30"/>
      <c r="J450" s="28"/>
      <c r="K450" s="31"/>
      <c r="L450" s="31"/>
      <c r="M450" s="32"/>
      <c r="N450" s="36"/>
      <c r="O450" s="36"/>
      <c r="P450" s="36"/>
      <c r="Q450" s="15"/>
      <c r="R450" s="20"/>
      <c r="S450" s="20"/>
      <c r="T450" s="20"/>
      <c r="U450" s="20"/>
      <c r="V450" s="20"/>
      <c r="W450" s="19"/>
      <c r="X450" s="19"/>
      <c r="Y450" s="20"/>
      <c r="Z450" s="20"/>
      <c r="AA450" s="20"/>
      <c r="AB450" s="20"/>
      <c r="AC450" s="15"/>
      <c r="AD450" s="15"/>
      <c r="AE450" s="19"/>
      <c r="AF450" s="20"/>
      <c r="AG450" s="15"/>
      <c r="AH450" s="15"/>
      <c r="AI450" s="15"/>
      <c r="AJ450" s="15"/>
      <c r="AK450" s="15"/>
      <c r="AL450" s="15"/>
      <c r="AM450" s="29"/>
      <c r="AN450" s="19"/>
      <c r="AO450" s="21"/>
      <c r="AP450" s="22"/>
      <c r="AQ450" s="26"/>
      <c r="AR450" s="37"/>
      <c r="AS450" s="38"/>
      <c r="AT450" s="38"/>
      <c r="AU450" s="27"/>
    </row>
    <row r="451" spans="1:47" s="1" customFormat="1" ht="21" customHeight="1" x14ac:dyDescent="0.25">
      <c r="A451" s="45"/>
      <c r="B451" s="47"/>
      <c r="C451" s="81"/>
      <c r="D451" s="47"/>
      <c r="E451" s="48"/>
      <c r="F451" s="48"/>
      <c r="G451" s="48"/>
      <c r="H451" s="30"/>
      <c r="I451" s="30"/>
      <c r="J451" s="28"/>
      <c r="K451" s="31"/>
      <c r="L451" s="31"/>
      <c r="M451" s="32"/>
      <c r="N451" s="36"/>
      <c r="O451" s="36"/>
      <c r="P451" s="36"/>
      <c r="Q451" s="15"/>
      <c r="R451" s="20"/>
      <c r="S451" s="20"/>
      <c r="T451" s="20"/>
      <c r="U451" s="20"/>
      <c r="V451" s="20"/>
      <c r="W451" s="19"/>
      <c r="X451" s="19"/>
      <c r="Y451" s="20"/>
      <c r="Z451" s="20"/>
      <c r="AA451" s="20"/>
      <c r="AB451" s="20"/>
      <c r="AC451" s="15"/>
      <c r="AD451" s="15"/>
      <c r="AE451" s="19"/>
      <c r="AF451" s="20"/>
      <c r="AG451" s="15"/>
      <c r="AH451" s="15"/>
      <c r="AI451" s="15"/>
      <c r="AJ451" s="15"/>
      <c r="AK451" s="15"/>
      <c r="AL451" s="15"/>
      <c r="AM451" s="29"/>
      <c r="AN451" s="19"/>
      <c r="AO451" s="21"/>
      <c r="AP451" s="22"/>
      <c r="AQ451" s="26"/>
      <c r="AR451" s="37"/>
      <c r="AS451" s="38"/>
      <c r="AT451" s="38"/>
      <c r="AU451" s="27"/>
    </row>
    <row r="452" spans="1:47" s="1" customFormat="1" ht="21" customHeight="1" x14ac:dyDescent="0.25">
      <c r="A452" s="45"/>
      <c r="B452" s="47"/>
      <c r="C452" s="81"/>
      <c r="D452" s="47"/>
      <c r="E452" s="48"/>
      <c r="F452" s="48"/>
      <c r="G452" s="48"/>
      <c r="H452" s="30"/>
      <c r="I452" s="30"/>
      <c r="J452" s="28"/>
      <c r="K452" s="31"/>
      <c r="L452" s="31"/>
      <c r="M452" s="32"/>
      <c r="N452" s="36"/>
      <c r="O452" s="36"/>
      <c r="P452" s="36"/>
      <c r="Q452" s="15"/>
      <c r="R452" s="20"/>
      <c r="S452" s="20"/>
      <c r="T452" s="20"/>
      <c r="U452" s="20"/>
      <c r="V452" s="20"/>
      <c r="W452" s="19"/>
      <c r="X452" s="19"/>
      <c r="Y452" s="20"/>
      <c r="Z452" s="20"/>
      <c r="AA452" s="20"/>
      <c r="AB452" s="20"/>
      <c r="AC452" s="15"/>
      <c r="AD452" s="15"/>
      <c r="AE452" s="19"/>
      <c r="AF452" s="20"/>
      <c r="AG452" s="15"/>
      <c r="AH452" s="15"/>
      <c r="AI452" s="15"/>
      <c r="AJ452" s="15"/>
      <c r="AK452" s="15"/>
      <c r="AL452" s="15"/>
      <c r="AM452" s="29"/>
      <c r="AN452" s="19"/>
      <c r="AO452" s="21"/>
      <c r="AP452" s="22"/>
      <c r="AQ452" s="26"/>
      <c r="AR452" s="37"/>
      <c r="AS452" s="38"/>
      <c r="AT452" s="38"/>
      <c r="AU452" s="27"/>
    </row>
    <row r="453" spans="1:47" s="1" customFormat="1" ht="21" customHeight="1" x14ac:dyDescent="0.25">
      <c r="A453" s="45"/>
      <c r="B453" s="47"/>
      <c r="C453" s="81"/>
      <c r="D453" s="47"/>
      <c r="E453" s="48"/>
      <c r="F453" s="48"/>
      <c r="G453" s="48"/>
      <c r="H453" s="30"/>
      <c r="I453" s="30"/>
      <c r="J453" s="28"/>
      <c r="K453" s="31"/>
      <c r="L453" s="31"/>
      <c r="M453" s="32"/>
      <c r="N453" s="36"/>
      <c r="O453" s="36"/>
      <c r="P453" s="36"/>
      <c r="Q453" s="15"/>
      <c r="R453" s="20"/>
      <c r="S453" s="20"/>
      <c r="T453" s="20"/>
      <c r="U453" s="20"/>
      <c r="V453" s="20"/>
      <c r="W453" s="19"/>
      <c r="X453" s="19"/>
      <c r="Y453" s="20"/>
      <c r="Z453" s="20"/>
      <c r="AA453" s="20"/>
      <c r="AB453" s="20"/>
      <c r="AC453" s="15"/>
      <c r="AD453" s="15"/>
      <c r="AE453" s="19"/>
      <c r="AF453" s="20"/>
      <c r="AG453" s="15"/>
      <c r="AH453" s="15"/>
      <c r="AI453" s="15"/>
      <c r="AJ453" s="15"/>
      <c r="AK453" s="15"/>
      <c r="AL453" s="15"/>
      <c r="AM453" s="29"/>
      <c r="AN453" s="19"/>
      <c r="AO453" s="21"/>
      <c r="AP453" s="22"/>
      <c r="AQ453" s="26"/>
      <c r="AR453" s="37"/>
      <c r="AS453" s="38"/>
      <c r="AT453" s="38"/>
      <c r="AU453" s="27"/>
    </row>
    <row r="454" spans="1:47" s="1" customFormat="1" ht="21" customHeight="1" x14ac:dyDescent="0.25">
      <c r="A454" s="45"/>
      <c r="B454" s="47"/>
      <c r="C454" s="81"/>
      <c r="D454" s="47"/>
      <c r="E454" s="48"/>
      <c r="F454" s="48"/>
      <c r="G454" s="48"/>
      <c r="H454" s="30"/>
      <c r="I454" s="30"/>
      <c r="J454" s="28"/>
      <c r="K454" s="31"/>
      <c r="L454" s="31"/>
      <c r="M454" s="32"/>
      <c r="N454" s="36"/>
      <c r="O454" s="36"/>
      <c r="P454" s="36"/>
      <c r="Q454" s="15"/>
      <c r="R454" s="20"/>
      <c r="S454" s="20"/>
      <c r="T454" s="20"/>
      <c r="U454" s="20"/>
      <c r="V454" s="20"/>
      <c r="W454" s="19"/>
      <c r="X454" s="19"/>
      <c r="Y454" s="20"/>
      <c r="Z454" s="20"/>
      <c r="AA454" s="20"/>
      <c r="AB454" s="20"/>
      <c r="AC454" s="15"/>
      <c r="AD454" s="15"/>
      <c r="AE454" s="19"/>
      <c r="AF454" s="20"/>
      <c r="AG454" s="15"/>
      <c r="AH454" s="15"/>
      <c r="AI454" s="15"/>
      <c r="AJ454" s="15"/>
      <c r="AK454" s="15"/>
      <c r="AL454" s="15"/>
      <c r="AM454" s="29"/>
      <c r="AN454" s="19"/>
      <c r="AO454" s="21"/>
      <c r="AP454" s="22"/>
      <c r="AQ454" s="26"/>
      <c r="AR454" s="37"/>
      <c r="AS454" s="38"/>
      <c r="AT454" s="38"/>
      <c r="AU454" s="27"/>
    </row>
    <row r="455" spans="1:47" s="1" customFormat="1" ht="21" customHeight="1" x14ac:dyDescent="0.25">
      <c r="A455" s="45"/>
      <c r="B455" s="47"/>
      <c r="C455" s="81"/>
      <c r="D455" s="47"/>
      <c r="E455" s="48"/>
      <c r="F455" s="48"/>
      <c r="G455" s="48"/>
      <c r="H455" s="30"/>
      <c r="I455" s="30"/>
      <c r="J455" s="28"/>
      <c r="K455" s="31"/>
      <c r="L455" s="31"/>
      <c r="M455" s="32"/>
      <c r="N455" s="36"/>
      <c r="O455" s="36"/>
      <c r="P455" s="36"/>
      <c r="Q455" s="15"/>
      <c r="R455" s="20"/>
      <c r="S455" s="20"/>
      <c r="T455" s="20"/>
      <c r="U455" s="20"/>
      <c r="V455" s="20"/>
      <c r="W455" s="19"/>
      <c r="X455" s="19"/>
      <c r="Y455" s="20"/>
      <c r="Z455" s="20"/>
      <c r="AA455" s="20"/>
      <c r="AB455" s="20"/>
      <c r="AC455" s="15"/>
      <c r="AD455" s="15"/>
      <c r="AE455" s="19"/>
      <c r="AF455" s="20"/>
      <c r="AG455" s="15"/>
      <c r="AH455" s="15"/>
      <c r="AI455" s="15"/>
      <c r="AJ455" s="15"/>
      <c r="AK455" s="15"/>
      <c r="AL455" s="15"/>
      <c r="AM455" s="29"/>
      <c r="AN455" s="19"/>
      <c r="AO455" s="21"/>
      <c r="AP455" s="22"/>
      <c r="AQ455" s="26"/>
      <c r="AR455" s="37"/>
      <c r="AS455" s="38"/>
      <c r="AT455" s="38"/>
      <c r="AU455" s="27"/>
    </row>
    <row r="456" spans="1:47" s="1" customFormat="1" ht="21" customHeight="1" x14ac:dyDescent="0.25">
      <c r="A456" s="83"/>
      <c r="B456" s="47"/>
      <c r="C456" s="80"/>
      <c r="D456" s="47"/>
      <c r="E456" s="48"/>
      <c r="F456" s="48"/>
      <c r="G456" s="48"/>
      <c r="H456" s="30"/>
      <c r="I456" s="30"/>
      <c r="J456" s="28"/>
      <c r="K456" s="31"/>
      <c r="L456" s="31"/>
      <c r="M456" s="32"/>
      <c r="N456" s="36"/>
      <c r="O456" s="36"/>
      <c r="P456" s="36"/>
      <c r="Q456" s="15"/>
      <c r="R456" s="20"/>
      <c r="S456" s="20"/>
      <c r="T456" s="20"/>
      <c r="U456" s="20"/>
      <c r="V456" s="20"/>
      <c r="W456" s="19"/>
      <c r="X456" s="19"/>
      <c r="Y456" s="20"/>
      <c r="Z456" s="20"/>
      <c r="AA456" s="20"/>
      <c r="AB456" s="20"/>
      <c r="AC456" s="15"/>
      <c r="AD456" s="15"/>
      <c r="AE456" s="19"/>
      <c r="AF456" s="20"/>
      <c r="AG456" s="15"/>
      <c r="AH456" s="15"/>
      <c r="AI456" s="15"/>
      <c r="AJ456" s="15"/>
      <c r="AK456" s="15"/>
      <c r="AL456" s="15"/>
      <c r="AM456" s="29"/>
      <c r="AN456" s="19"/>
      <c r="AO456" s="21"/>
      <c r="AP456" s="22"/>
      <c r="AQ456" s="26"/>
      <c r="AR456" s="37"/>
      <c r="AS456" s="38"/>
      <c r="AT456" s="38"/>
      <c r="AU456" s="27"/>
    </row>
    <row r="457" spans="1:47" s="1" customFormat="1" ht="21" customHeight="1" x14ac:dyDescent="0.25">
      <c r="A457" s="83"/>
      <c r="B457" s="47"/>
      <c r="C457" s="80"/>
      <c r="D457" s="47"/>
      <c r="E457" s="48"/>
      <c r="F457" s="48"/>
      <c r="G457" s="48"/>
      <c r="H457" s="30"/>
      <c r="I457" s="30"/>
      <c r="J457" s="28"/>
      <c r="K457" s="31"/>
      <c r="L457" s="31"/>
      <c r="M457" s="32"/>
      <c r="N457" s="36"/>
      <c r="O457" s="36"/>
      <c r="P457" s="36"/>
      <c r="Q457" s="15"/>
      <c r="R457" s="20"/>
      <c r="S457" s="20"/>
      <c r="T457" s="20"/>
      <c r="U457" s="20"/>
      <c r="V457" s="20"/>
      <c r="W457" s="19"/>
      <c r="X457" s="19"/>
      <c r="Y457" s="20"/>
      <c r="Z457" s="20"/>
      <c r="AA457" s="20"/>
      <c r="AB457" s="20"/>
      <c r="AC457" s="15"/>
      <c r="AD457" s="15"/>
      <c r="AE457" s="19"/>
      <c r="AF457" s="20"/>
      <c r="AG457" s="15"/>
      <c r="AH457" s="15"/>
      <c r="AI457" s="15"/>
      <c r="AJ457" s="15"/>
      <c r="AK457" s="15"/>
      <c r="AL457" s="15"/>
      <c r="AM457" s="29"/>
      <c r="AN457" s="19"/>
      <c r="AO457" s="21"/>
      <c r="AP457" s="22"/>
      <c r="AQ457" s="26"/>
      <c r="AR457" s="37"/>
      <c r="AS457" s="38"/>
      <c r="AT457" s="38"/>
      <c r="AU457" s="27"/>
    </row>
    <row r="458" spans="1:47" s="1" customFormat="1" ht="21" customHeight="1" x14ac:dyDescent="0.25">
      <c r="A458" s="83"/>
      <c r="B458" s="47"/>
      <c r="C458" s="80"/>
      <c r="D458" s="47"/>
      <c r="E458" s="48"/>
      <c r="F458" s="48"/>
      <c r="G458" s="48"/>
      <c r="H458" s="30"/>
      <c r="I458" s="30"/>
      <c r="J458" s="28"/>
      <c r="K458" s="31"/>
      <c r="L458" s="31"/>
      <c r="M458" s="32"/>
      <c r="N458" s="36"/>
      <c r="O458" s="36"/>
      <c r="P458" s="36"/>
      <c r="Q458" s="15"/>
      <c r="R458" s="20"/>
      <c r="S458" s="20"/>
      <c r="T458" s="20"/>
      <c r="U458" s="20"/>
      <c r="V458" s="20"/>
      <c r="W458" s="19"/>
      <c r="X458" s="19"/>
      <c r="Y458" s="20"/>
      <c r="Z458" s="20"/>
      <c r="AA458" s="20"/>
      <c r="AB458" s="20"/>
      <c r="AC458" s="15"/>
      <c r="AD458" s="15"/>
      <c r="AE458" s="19"/>
      <c r="AF458" s="20"/>
      <c r="AG458" s="15"/>
      <c r="AH458" s="15"/>
      <c r="AI458" s="15"/>
      <c r="AJ458" s="15"/>
      <c r="AK458" s="15"/>
      <c r="AL458" s="15"/>
      <c r="AM458" s="29"/>
      <c r="AN458" s="19"/>
      <c r="AO458" s="21"/>
      <c r="AP458" s="22"/>
      <c r="AQ458" s="26"/>
      <c r="AR458" s="37"/>
      <c r="AS458" s="38"/>
      <c r="AT458" s="38"/>
      <c r="AU458" s="27"/>
    </row>
    <row r="459" spans="1:47" s="1" customFormat="1" ht="21" customHeight="1" x14ac:dyDescent="0.25">
      <c r="A459" s="83"/>
      <c r="B459" s="47"/>
      <c r="C459" s="80"/>
      <c r="D459" s="47"/>
      <c r="E459" s="48"/>
      <c r="F459" s="48"/>
      <c r="G459" s="48"/>
      <c r="H459" s="30"/>
      <c r="I459" s="30"/>
      <c r="J459" s="28"/>
      <c r="K459" s="31"/>
      <c r="L459" s="31"/>
      <c r="M459" s="32"/>
      <c r="N459" s="36"/>
      <c r="O459" s="36"/>
      <c r="P459" s="36"/>
      <c r="Q459" s="15"/>
      <c r="R459" s="20"/>
      <c r="S459" s="20"/>
      <c r="T459" s="20"/>
      <c r="U459" s="20"/>
      <c r="V459" s="20"/>
      <c r="W459" s="19"/>
      <c r="X459" s="19"/>
      <c r="Y459" s="20"/>
      <c r="Z459" s="20"/>
      <c r="AA459" s="20"/>
      <c r="AB459" s="20"/>
      <c r="AC459" s="15"/>
      <c r="AD459" s="15"/>
      <c r="AE459" s="19"/>
      <c r="AF459" s="20"/>
      <c r="AG459" s="15"/>
      <c r="AH459" s="15"/>
      <c r="AI459" s="15"/>
      <c r="AJ459" s="15"/>
      <c r="AK459" s="15"/>
      <c r="AL459" s="15"/>
      <c r="AM459" s="29"/>
      <c r="AN459" s="19"/>
      <c r="AO459" s="21"/>
      <c r="AP459" s="22"/>
      <c r="AQ459" s="26"/>
      <c r="AR459" s="37"/>
      <c r="AS459" s="38"/>
      <c r="AT459" s="38"/>
      <c r="AU459" s="27"/>
    </row>
    <row r="460" spans="1:47" s="1" customFormat="1" ht="21" customHeight="1" x14ac:dyDescent="0.25">
      <c r="A460" s="83"/>
      <c r="B460" s="47"/>
      <c r="C460" s="80"/>
      <c r="D460" s="47"/>
      <c r="E460" s="48"/>
      <c r="F460" s="48"/>
      <c r="G460" s="48"/>
      <c r="H460" s="30"/>
      <c r="I460" s="30"/>
      <c r="J460" s="28"/>
      <c r="K460" s="31"/>
      <c r="L460" s="31"/>
      <c r="M460" s="32"/>
      <c r="N460" s="36"/>
      <c r="O460" s="36"/>
      <c r="P460" s="36"/>
      <c r="Q460" s="15"/>
      <c r="R460" s="20"/>
      <c r="S460" s="20"/>
      <c r="T460" s="20"/>
      <c r="U460" s="20"/>
      <c r="V460" s="20"/>
      <c r="W460" s="19"/>
      <c r="X460" s="19"/>
      <c r="Y460" s="20"/>
      <c r="Z460" s="20"/>
      <c r="AA460" s="20"/>
      <c r="AB460" s="20"/>
      <c r="AC460" s="15"/>
      <c r="AD460" s="15"/>
      <c r="AE460" s="19"/>
      <c r="AF460" s="20"/>
      <c r="AG460" s="15"/>
      <c r="AH460" s="15"/>
      <c r="AI460" s="15"/>
      <c r="AJ460" s="15"/>
      <c r="AK460" s="15"/>
      <c r="AL460" s="15"/>
      <c r="AM460" s="29"/>
      <c r="AN460" s="19"/>
      <c r="AO460" s="21"/>
      <c r="AP460" s="22"/>
      <c r="AQ460" s="26"/>
      <c r="AR460" s="37"/>
      <c r="AS460" s="38"/>
      <c r="AT460" s="38"/>
      <c r="AU460" s="27"/>
    </row>
    <row r="461" spans="1:47" s="1" customFormat="1" ht="21" customHeight="1" x14ac:dyDescent="0.25">
      <c r="A461" s="83"/>
      <c r="B461" s="47"/>
      <c r="C461" s="80"/>
      <c r="D461" s="47"/>
      <c r="E461" s="48"/>
      <c r="F461" s="48"/>
      <c r="G461" s="48"/>
      <c r="H461" s="30"/>
      <c r="I461" s="30"/>
      <c r="J461" s="28"/>
      <c r="K461" s="31"/>
      <c r="L461" s="31"/>
      <c r="M461" s="32"/>
      <c r="N461" s="36"/>
      <c r="O461" s="36"/>
      <c r="P461" s="36"/>
      <c r="Q461" s="15"/>
      <c r="R461" s="20"/>
      <c r="S461" s="20"/>
      <c r="T461" s="20"/>
      <c r="U461" s="20"/>
      <c r="V461" s="20"/>
      <c r="W461" s="19"/>
      <c r="X461" s="19"/>
      <c r="Y461" s="20"/>
      <c r="Z461" s="20"/>
      <c r="AA461" s="20"/>
      <c r="AB461" s="20"/>
      <c r="AC461" s="15"/>
      <c r="AD461" s="15"/>
      <c r="AE461" s="19"/>
      <c r="AF461" s="20"/>
      <c r="AG461" s="15"/>
      <c r="AH461" s="15"/>
      <c r="AI461" s="15"/>
      <c r="AJ461" s="15"/>
      <c r="AK461" s="15"/>
      <c r="AL461" s="15"/>
      <c r="AM461" s="29"/>
      <c r="AN461" s="19"/>
      <c r="AO461" s="21"/>
      <c r="AP461" s="22"/>
      <c r="AQ461" s="26"/>
      <c r="AR461" s="37"/>
      <c r="AS461" s="38"/>
      <c r="AT461" s="38"/>
      <c r="AU461" s="27"/>
    </row>
    <row r="462" spans="1:47" s="1" customFormat="1" ht="21" customHeight="1" x14ac:dyDescent="0.25">
      <c r="A462" s="83"/>
      <c r="B462" s="47"/>
      <c r="C462" s="80"/>
      <c r="D462" s="47"/>
      <c r="E462" s="48"/>
      <c r="F462" s="48"/>
      <c r="G462" s="48"/>
      <c r="H462" s="30"/>
      <c r="I462" s="30"/>
      <c r="J462" s="28"/>
      <c r="K462" s="31"/>
      <c r="L462" s="31"/>
      <c r="M462" s="32"/>
      <c r="N462" s="36"/>
      <c r="O462" s="36"/>
      <c r="P462" s="36"/>
      <c r="Q462" s="15"/>
      <c r="R462" s="20"/>
      <c r="S462" s="20"/>
      <c r="T462" s="20"/>
      <c r="U462" s="20"/>
      <c r="V462" s="20"/>
      <c r="W462" s="19"/>
      <c r="X462" s="19"/>
      <c r="Y462" s="20"/>
      <c r="Z462" s="20"/>
      <c r="AA462" s="20"/>
      <c r="AB462" s="20"/>
      <c r="AC462" s="15"/>
      <c r="AD462" s="15"/>
      <c r="AE462" s="19"/>
      <c r="AF462" s="20"/>
      <c r="AG462" s="15"/>
      <c r="AH462" s="15"/>
      <c r="AI462" s="15"/>
      <c r="AJ462" s="15"/>
      <c r="AK462" s="15"/>
      <c r="AL462" s="15"/>
      <c r="AM462" s="29"/>
      <c r="AN462" s="19"/>
      <c r="AO462" s="21"/>
      <c r="AP462" s="22"/>
      <c r="AQ462" s="26"/>
      <c r="AR462" s="37"/>
      <c r="AS462" s="38"/>
      <c r="AT462" s="38"/>
      <c r="AU462" s="27"/>
    </row>
    <row r="463" spans="1:47" s="1" customFormat="1" ht="21" customHeight="1" x14ac:dyDescent="0.25">
      <c r="A463" s="83"/>
      <c r="B463" s="47"/>
      <c r="C463" s="80"/>
      <c r="D463" s="47"/>
      <c r="E463" s="48"/>
      <c r="F463" s="48"/>
      <c r="G463" s="48"/>
      <c r="H463" s="30"/>
      <c r="I463" s="30"/>
      <c r="J463" s="28"/>
      <c r="K463" s="31"/>
      <c r="L463" s="31"/>
      <c r="M463" s="32"/>
      <c r="N463" s="36"/>
      <c r="O463" s="36"/>
      <c r="P463" s="36"/>
      <c r="Q463" s="15"/>
      <c r="R463" s="20"/>
      <c r="S463" s="20"/>
      <c r="T463" s="20"/>
      <c r="U463" s="20"/>
      <c r="V463" s="20"/>
      <c r="W463" s="19"/>
      <c r="X463" s="19"/>
      <c r="Y463" s="20"/>
      <c r="Z463" s="20"/>
      <c r="AA463" s="20"/>
      <c r="AB463" s="20"/>
      <c r="AC463" s="15"/>
      <c r="AD463" s="15"/>
      <c r="AE463" s="19"/>
      <c r="AF463" s="20"/>
      <c r="AG463" s="15"/>
      <c r="AH463" s="15"/>
      <c r="AI463" s="15"/>
      <c r="AJ463" s="15"/>
      <c r="AK463" s="15"/>
      <c r="AL463" s="15"/>
      <c r="AM463" s="29"/>
      <c r="AN463" s="19"/>
      <c r="AO463" s="21"/>
      <c r="AP463" s="22"/>
      <c r="AQ463" s="26"/>
      <c r="AR463" s="37"/>
      <c r="AS463" s="38"/>
      <c r="AT463" s="38"/>
      <c r="AU463" s="27"/>
    </row>
    <row r="464" spans="1:47" s="1" customFormat="1" ht="21" customHeight="1" x14ac:dyDescent="0.25">
      <c r="A464" s="83"/>
      <c r="B464" s="47"/>
      <c r="C464" s="82"/>
      <c r="D464" s="47"/>
      <c r="E464" s="48"/>
      <c r="F464" s="48"/>
      <c r="G464" s="48"/>
      <c r="H464" s="30"/>
      <c r="I464" s="30"/>
      <c r="J464" s="28"/>
      <c r="K464" s="31"/>
      <c r="L464" s="31"/>
      <c r="M464" s="32"/>
      <c r="N464" s="36"/>
      <c r="O464" s="36"/>
      <c r="P464" s="36"/>
      <c r="Q464" s="15"/>
      <c r="R464" s="20"/>
      <c r="S464" s="20"/>
      <c r="T464" s="20"/>
      <c r="U464" s="20"/>
      <c r="V464" s="20"/>
      <c r="W464" s="19"/>
      <c r="X464" s="19"/>
      <c r="Y464" s="20"/>
      <c r="Z464" s="20"/>
      <c r="AA464" s="20"/>
      <c r="AB464" s="20"/>
      <c r="AC464" s="15"/>
      <c r="AD464" s="15"/>
      <c r="AE464" s="19"/>
      <c r="AF464" s="20"/>
      <c r="AG464" s="15"/>
      <c r="AH464" s="15"/>
      <c r="AI464" s="15"/>
      <c r="AJ464" s="15"/>
      <c r="AK464" s="15"/>
      <c r="AL464" s="15"/>
      <c r="AM464" s="29"/>
      <c r="AN464" s="19"/>
      <c r="AO464" s="21"/>
      <c r="AP464" s="22"/>
      <c r="AQ464" s="26"/>
      <c r="AR464" s="37"/>
      <c r="AS464" s="38"/>
      <c r="AT464" s="38"/>
      <c r="AU464" s="27"/>
    </row>
    <row r="465" spans="1:47" s="1" customFormat="1" ht="21" customHeight="1" x14ac:dyDescent="0.25">
      <c r="A465" s="83"/>
      <c r="B465" s="47"/>
      <c r="C465" s="82"/>
      <c r="D465" s="47"/>
      <c r="E465" s="48"/>
      <c r="F465" s="48"/>
      <c r="G465" s="48"/>
      <c r="H465" s="30"/>
      <c r="I465" s="30"/>
      <c r="J465" s="28"/>
      <c r="K465" s="31"/>
      <c r="L465" s="31"/>
      <c r="M465" s="32"/>
      <c r="N465" s="36"/>
      <c r="O465" s="36"/>
      <c r="P465" s="36"/>
      <c r="Q465" s="15"/>
      <c r="R465" s="20"/>
      <c r="S465" s="20"/>
      <c r="T465" s="20"/>
      <c r="U465" s="20"/>
      <c r="V465" s="20"/>
      <c r="W465" s="19"/>
      <c r="X465" s="19"/>
      <c r="Y465" s="20"/>
      <c r="Z465" s="20"/>
      <c r="AA465" s="20"/>
      <c r="AB465" s="20"/>
      <c r="AC465" s="15"/>
      <c r="AD465" s="15"/>
      <c r="AE465" s="19"/>
      <c r="AF465" s="20"/>
      <c r="AG465" s="15"/>
      <c r="AH465" s="15"/>
      <c r="AI465" s="15"/>
      <c r="AJ465" s="15"/>
      <c r="AK465" s="15"/>
      <c r="AL465" s="15"/>
      <c r="AM465" s="29"/>
      <c r="AN465" s="19"/>
      <c r="AO465" s="21"/>
      <c r="AP465" s="22"/>
      <c r="AQ465" s="26"/>
      <c r="AR465" s="37"/>
      <c r="AS465" s="38"/>
      <c r="AT465" s="38"/>
      <c r="AU465" s="27"/>
    </row>
    <row r="466" spans="1:47" s="1" customFormat="1" ht="21" customHeight="1" x14ac:dyDescent="0.25">
      <c r="A466" s="83"/>
      <c r="B466" s="47"/>
      <c r="C466" s="82"/>
      <c r="D466" s="47"/>
      <c r="E466" s="48"/>
      <c r="F466" s="48"/>
      <c r="G466" s="48"/>
      <c r="H466" s="30"/>
      <c r="I466" s="30"/>
      <c r="J466" s="28"/>
      <c r="K466" s="31"/>
      <c r="L466" s="31"/>
      <c r="M466" s="32"/>
      <c r="N466" s="36"/>
      <c r="O466" s="36"/>
      <c r="P466" s="36"/>
      <c r="Q466" s="15"/>
      <c r="R466" s="20"/>
      <c r="S466" s="20"/>
      <c r="T466" s="20"/>
      <c r="U466" s="20"/>
      <c r="V466" s="20"/>
      <c r="W466" s="19"/>
      <c r="X466" s="19"/>
      <c r="Y466" s="20"/>
      <c r="Z466" s="20"/>
      <c r="AA466" s="20"/>
      <c r="AB466" s="20"/>
      <c r="AC466" s="15"/>
      <c r="AD466" s="15"/>
      <c r="AE466" s="19"/>
      <c r="AF466" s="20"/>
      <c r="AG466" s="15"/>
      <c r="AH466" s="15"/>
      <c r="AI466" s="15"/>
      <c r="AJ466" s="15"/>
      <c r="AK466" s="15"/>
      <c r="AL466" s="15"/>
      <c r="AM466" s="29"/>
      <c r="AN466" s="19"/>
      <c r="AO466" s="21"/>
      <c r="AP466" s="22"/>
      <c r="AQ466" s="26"/>
      <c r="AR466" s="37"/>
      <c r="AS466" s="38"/>
      <c r="AT466" s="38"/>
      <c r="AU466" s="27"/>
    </row>
    <row r="467" spans="1:47" s="1" customFormat="1" ht="21" customHeight="1" x14ac:dyDescent="0.25">
      <c r="A467" s="83"/>
      <c r="B467" s="47"/>
      <c r="C467" s="82"/>
      <c r="D467" s="47"/>
      <c r="E467" s="48"/>
      <c r="F467" s="48"/>
      <c r="G467" s="48"/>
      <c r="H467" s="30"/>
      <c r="I467" s="30"/>
      <c r="J467" s="28"/>
      <c r="K467" s="31"/>
      <c r="L467" s="31"/>
      <c r="M467" s="32"/>
      <c r="N467" s="36"/>
      <c r="O467" s="36"/>
      <c r="P467" s="36"/>
      <c r="Q467" s="15"/>
      <c r="R467" s="20"/>
      <c r="S467" s="20"/>
      <c r="T467" s="20"/>
      <c r="U467" s="20"/>
      <c r="V467" s="20"/>
      <c r="W467" s="19"/>
      <c r="X467" s="19"/>
      <c r="Y467" s="20"/>
      <c r="Z467" s="20"/>
      <c r="AA467" s="20"/>
      <c r="AB467" s="20"/>
      <c r="AC467" s="15"/>
      <c r="AD467" s="15"/>
      <c r="AE467" s="19"/>
      <c r="AF467" s="20"/>
      <c r="AG467" s="15"/>
      <c r="AH467" s="15"/>
      <c r="AI467" s="15"/>
      <c r="AJ467" s="15"/>
      <c r="AK467" s="15"/>
      <c r="AL467" s="15"/>
      <c r="AM467" s="29"/>
      <c r="AN467" s="19"/>
      <c r="AO467" s="21"/>
      <c r="AP467" s="22"/>
      <c r="AQ467" s="26"/>
      <c r="AR467" s="37"/>
      <c r="AS467" s="38"/>
      <c r="AT467" s="38"/>
      <c r="AU467" s="27"/>
    </row>
    <row r="468" spans="1:47" s="1" customFormat="1" ht="21" customHeight="1" x14ac:dyDescent="0.25">
      <c r="A468" s="83"/>
      <c r="B468" s="47"/>
      <c r="C468" s="82"/>
      <c r="D468" s="47"/>
      <c r="E468" s="48"/>
      <c r="F468" s="48"/>
      <c r="G468" s="48"/>
      <c r="H468" s="30"/>
      <c r="I468" s="30"/>
      <c r="J468" s="28"/>
      <c r="K468" s="31"/>
      <c r="L468" s="31"/>
      <c r="M468" s="32"/>
      <c r="N468" s="36"/>
      <c r="O468" s="36"/>
      <c r="P468" s="36"/>
      <c r="Q468" s="15"/>
      <c r="R468" s="20"/>
      <c r="S468" s="20"/>
      <c r="T468" s="20"/>
      <c r="U468" s="20"/>
      <c r="V468" s="20"/>
      <c r="W468" s="19"/>
      <c r="X468" s="19"/>
      <c r="Y468" s="20"/>
      <c r="Z468" s="20"/>
      <c r="AA468" s="20"/>
      <c r="AB468" s="20"/>
      <c r="AC468" s="15"/>
      <c r="AD468" s="15"/>
      <c r="AE468" s="19"/>
      <c r="AF468" s="20"/>
      <c r="AG468" s="15"/>
      <c r="AH468" s="15"/>
      <c r="AI468" s="15"/>
      <c r="AJ468" s="15"/>
      <c r="AK468" s="15"/>
      <c r="AL468" s="15"/>
      <c r="AM468" s="29"/>
      <c r="AN468" s="19"/>
      <c r="AO468" s="21"/>
      <c r="AP468" s="22"/>
      <c r="AQ468" s="26"/>
      <c r="AR468" s="37"/>
      <c r="AS468" s="38"/>
      <c r="AT468" s="38"/>
      <c r="AU468" s="27"/>
    </row>
    <row r="469" spans="1:47" s="1" customFormat="1" ht="21" customHeight="1" x14ac:dyDescent="0.25">
      <c r="A469" s="83"/>
      <c r="B469" s="47"/>
      <c r="C469" s="82"/>
      <c r="D469" s="47"/>
      <c r="E469" s="48"/>
      <c r="F469" s="48"/>
      <c r="G469" s="48"/>
      <c r="H469" s="30"/>
      <c r="I469" s="30"/>
      <c r="J469" s="28"/>
      <c r="K469" s="31"/>
      <c r="L469" s="31"/>
      <c r="M469" s="32"/>
      <c r="N469" s="36"/>
      <c r="O469" s="36"/>
      <c r="P469" s="36"/>
      <c r="Q469" s="15"/>
      <c r="R469" s="20"/>
      <c r="S469" s="20"/>
      <c r="T469" s="20"/>
      <c r="U469" s="20"/>
      <c r="V469" s="20"/>
      <c r="W469" s="19"/>
      <c r="X469" s="19"/>
      <c r="Y469" s="20"/>
      <c r="Z469" s="20"/>
      <c r="AA469" s="20"/>
      <c r="AB469" s="20"/>
      <c r="AC469" s="15"/>
      <c r="AD469" s="15"/>
      <c r="AE469" s="19"/>
      <c r="AF469" s="20"/>
      <c r="AG469" s="15"/>
      <c r="AH469" s="15"/>
      <c r="AI469" s="15"/>
      <c r="AJ469" s="15"/>
      <c r="AK469" s="15"/>
      <c r="AL469" s="15"/>
      <c r="AM469" s="29"/>
      <c r="AN469" s="19"/>
      <c r="AO469" s="21"/>
      <c r="AP469" s="22"/>
      <c r="AQ469" s="26"/>
      <c r="AR469" s="37"/>
      <c r="AS469" s="38"/>
      <c r="AT469" s="38"/>
      <c r="AU469" s="27"/>
    </row>
    <row r="470" spans="1:47" s="1" customFormat="1" ht="21" customHeight="1" x14ac:dyDescent="0.25">
      <c r="A470" s="83"/>
      <c r="B470" s="47"/>
      <c r="C470" s="82"/>
      <c r="D470" s="47"/>
      <c r="E470" s="48"/>
      <c r="F470" s="48"/>
      <c r="G470" s="48"/>
      <c r="H470" s="30"/>
      <c r="I470" s="30"/>
      <c r="J470" s="28"/>
      <c r="K470" s="31"/>
      <c r="L470" s="31"/>
      <c r="M470" s="32"/>
      <c r="N470" s="36"/>
      <c r="O470" s="36"/>
      <c r="P470" s="36"/>
      <c r="Q470" s="15"/>
      <c r="R470" s="20"/>
      <c r="S470" s="20"/>
      <c r="T470" s="20"/>
      <c r="U470" s="20"/>
      <c r="V470" s="20"/>
      <c r="W470" s="19"/>
      <c r="X470" s="19"/>
      <c r="Y470" s="20"/>
      <c r="Z470" s="20"/>
      <c r="AA470" s="20"/>
      <c r="AB470" s="20"/>
      <c r="AC470" s="15"/>
      <c r="AD470" s="15"/>
      <c r="AE470" s="19"/>
      <c r="AF470" s="20"/>
      <c r="AG470" s="15"/>
      <c r="AH470" s="15"/>
      <c r="AI470" s="15"/>
      <c r="AJ470" s="15"/>
      <c r="AK470" s="15"/>
      <c r="AL470" s="15"/>
      <c r="AM470" s="29"/>
      <c r="AN470" s="19"/>
      <c r="AO470" s="21"/>
      <c r="AP470" s="22"/>
      <c r="AQ470" s="26"/>
      <c r="AR470" s="37"/>
      <c r="AS470" s="38"/>
      <c r="AT470" s="38"/>
      <c r="AU470" s="27"/>
    </row>
    <row r="471" spans="1:47" s="1" customFormat="1" ht="21" customHeight="1" x14ac:dyDescent="0.25">
      <c r="A471" s="83"/>
      <c r="B471" s="47"/>
      <c r="C471" s="82"/>
      <c r="D471" s="47"/>
      <c r="E471" s="48"/>
      <c r="F471" s="48"/>
      <c r="G471" s="48"/>
      <c r="H471" s="30"/>
      <c r="I471" s="30"/>
      <c r="J471" s="28"/>
      <c r="K471" s="31"/>
      <c r="L471" s="31"/>
      <c r="M471" s="32"/>
      <c r="N471" s="36"/>
      <c r="O471" s="36"/>
      <c r="P471" s="36"/>
      <c r="Q471" s="15"/>
      <c r="R471" s="20"/>
      <c r="S471" s="20"/>
      <c r="T471" s="20"/>
      <c r="U471" s="20"/>
      <c r="V471" s="20"/>
      <c r="W471" s="19"/>
      <c r="X471" s="19"/>
      <c r="Y471" s="20"/>
      <c r="Z471" s="20"/>
      <c r="AA471" s="20"/>
      <c r="AB471" s="20"/>
      <c r="AC471" s="15"/>
      <c r="AD471" s="15"/>
      <c r="AE471" s="19"/>
      <c r="AF471" s="20"/>
      <c r="AG471" s="15"/>
      <c r="AH471" s="15"/>
      <c r="AI471" s="15"/>
      <c r="AJ471" s="15"/>
      <c r="AK471" s="15"/>
      <c r="AL471" s="15"/>
      <c r="AM471" s="29"/>
      <c r="AN471" s="19"/>
      <c r="AO471" s="21"/>
      <c r="AP471" s="22"/>
      <c r="AQ471" s="26"/>
      <c r="AR471" s="37"/>
      <c r="AS471" s="38"/>
      <c r="AT471" s="38"/>
      <c r="AU471" s="27"/>
    </row>
    <row r="472" spans="1:47" s="1" customFormat="1" ht="21" customHeight="1" x14ac:dyDescent="0.25">
      <c r="A472" s="83"/>
      <c r="B472" s="47"/>
      <c r="C472" s="82"/>
      <c r="D472" s="47"/>
      <c r="E472" s="48"/>
      <c r="F472" s="48"/>
      <c r="G472" s="48"/>
      <c r="H472" s="30"/>
      <c r="I472" s="30"/>
      <c r="J472" s="28"/>
      <c r="K472" s="31"/>
      <c r="L472" s="31"/>
      <c r="M472" s="32"/>
      <c r="N472" s="36"/>
      <c r="O472" s="36"/>
      <c r="P472" s="36"/>
      <c r="Q472" s="15"/>
      <c r="R472" s="20"/>
      <c r="S472" s="20"/>
      <c r="T472" s="20"/>
      <c r="U472" s="20"/>
      <c r="V472" s="20"/>
      <c r="W472" s="19"/>
      <c r="X472" s="19"/>
      <c r="Y472" s="20"/>
      <c r="Z472" s="20"/>
      <c r="AA472" s="20"/>
      <c r="AB472" s="20"/>
      <c r="AC472" s="15"/>
      <c r="AD472" s="15"/>
      <c r="AE472" s="19"/>
      <c r="AF472" s="20"/>
      <c r="AG472" s="15"/>
      <c r="AH472" s="15"/>
      <c r="AI472" s="15"/>
      <c r="AJ472" s="15"/>
      <c r="AK472" s="15"/>
      <c r="AL472" s="15"/>
      <c r="AM472" s="29"/>
      <c r="AN472" s="19"/>
      <c r="AO472" s="21"/>
      <c r="AP472" s="22"/>
      <c r="AQ472" s="26"/>
      <c r="AR472" s="37"/>
      <c r="AS472" s="38"/>
      <c r="AT472" s="38"/>
      <c r="AU472" s="27"/>
    </row>
    <row r="473" spans="1:47" s="1" customFormat="1" ht="21" customHeight="1" x14ac:dyDescent="0.25">
      <c r="A473" s="83"/>
      <c r="B473" s="47"/>
      <c r="C473" s="82"/>
      <c r="D473" s="47"/>
      <c r="E473" s="48"/>
      <c r="F473" s="48"/>
      <c r="G473" s="48"/>
      <c r="H473" s="30"/>
      <c r="I473" s="30"/>
      <c r="J473" s="28"/>
      <c r="K473" s="31"/>
      <c r="L473" s="31"/>
      <c r="M473" s="32"/>
      <c r="N473" s="36"/>
      <c r="O473" s="36"/>
      <c r="P473" s="36"/>
      <c r="Q473" s="15"/>
      <c r="R473" s="20"/>
      <c r="S473" s="20"/>
      <c r="T473" s="20"/>
      <c r="U473" s="20"/>
      <c r="V473" s="20"/>
      <c r="W473" s="19"/>
      <c r="X473" s="19"/>
      <c r="Y473" s="20"/>
      <c r="Z473" s="20"/>
      <c r="AA473" s="20"/>
      <c r="AB473" s="20"/>
      <c r="AC473" s="15"/>
      <c r="AD473" s="15"/>
      <c r="AE473" s="19"/>
      <c r="AF473" s="20"/>
      <c r="AG473" s="15"/>
      <c r="AH473" s="15"/>
      <c r="AI473" s="15"/>
      <c r="AJ473" s="15"/>
      <c r="AK473" s="15"/>
      <c r="AL473" s="15"/>
      <c r="AM473" s="29"/>
      <c r="AN473" s="19"/>
      <c r="AO473" s="21"/>
      <c r="AP473" s="22"/>
      <c r="AQ473" s="26"/>
      <c r="AR473" s="37"/>
      <c r="AS473" s="38"/>
      <c r="AT473" s="38"/>
      <c r="AU473" s="27"/>
    </row>
    <row r="474" spans="1:47" s="1" customFormat="1" ht="21" customHeight="1" x14ac:dyDescent="0.25">
      <c r="A474" s="83"/>
      <c r="B474" s="47"/>
      <c r="C474" s="82"/>
      <c r="D474" s="47"/>
      <c r="E474" s="48"/>
      <c r="F474" s="48"/>
      <c r="G474" s="48"/>
      <c r="H474" s="30"/>
      <c r="I474" s="30"/>
      <c r="J474" s="28"/>
      <c r="K474" s="31"/>
      <c r="L474" s="31"/>
      <c r="M474" s="32"/>
      <c r="N474" s="36"/>
      <c r="O474" s="36"/>
      <c r="P474" s="36"/>
      <c r="Q474" s="15"/>
      <c r="R474" s="20"/>
      <c r="S474" s="20"/>
      <c r="T474" s="20"/>
      <c r="U474" s="20"/>
      <c r="V474" s="20"/>
      <c r="W474" s="19"/>
      <c r="X474" s="19"/>
      <c r="Y474" s="20"/>
      <c r="Z474" s="20"/>
      <c r="AA474" s="20"/>
      <c r="AB474" s="20"/>
      <c r="AC474" s="15"/>
      <c r="AD474" s="15"/>
      <c r="AE474" s="19"/>
      <c r="AF474" s="20"/>
      <c r="AG474" s="15"/>
      <c r="AH474" s="15"/>
      <c r="AI474" s="15"/>
      <c r="AJ474" s="15"/>
      <c r="AK474" s="15"/>
      <c r="AL474" s="15"/>
      <c r="AM474" s="29"/>
      <c r="AN474" s="19"/>
      <c r="AO474" s="21"/>
      <c r="AP474" s="22"/>
      <c r="AQ474" s="26"/>
      <c r="AR474" s="37"/>
      <c r="AS474" s="38"/>
      <c r="AT474" s="38"/>
      <c r="AU474" s="27"/>
    </row>
    <row r="475" spans="1:47" s="1" customFormat="1" ht="21" customHeight="1" x14ac:dyDescent="0.25">
      <c r="A475" s="83"/>
      <c r="B475" s="47"/>
      <c r="C475" s="80"/>
      <c r="D475" s="47"/>
      <c r="E475" s="48"/>
      <c r="F475" s="48"/>
      <c r="G475" s="48"/>
      <c r="H475" s="30"/>
      <c r="I475" s="30"/>
      <c r="J475" s="28"/>
      <c r="K475" s="31"/>
      <c r="L475" s="31"/>
      <c r="M475" s="32"/>
      <c r="N475" s="36"/>
      <c r="O475" s="36"/>
      <c r="P475" s="36"/>
      <c r="Q475" s="15"/>
      <c r="R475" s="20"/>
      <c r="S475" s="20"/>
      <c r="T475" s="20"/>
      <c r="U475" s="20"/>
      <c r="V475" s="20"/>
      <c r="W475" s="19"/>
      <c r="X475" s="19"/>
      <c r="Y475" s="20"/>
      <c r="Z475" s="20"/>
      <c r="AA475" s="20"/>
      <c r="AB475" s="20"/>
      <c r="AC475" s="15"/>
      <c r="AD475" s="15"/>
      <c r="AE475" s="19"/>
      <c r="AF475" s="20"/>
      <c r="AG475" s="15"/>
      <c r="AH475" s="15"/>
      <c r="AI475" s="15"/>
      <c r="AJ475" s="15"/>
      <c r="AK475" s="15"/>
      <c r="AL475" s="15"/>
      <c r="AM475" s="29"/>
      <c r="AN475" s="19"/>
      <c r="AO475" s="21"/>
      <c r="AP475" s="22"/>
      <c r="AQ475" s="26"/>
      <c r="AR475" s="37"/>
      <c r="AS475" s="38"/>
      <c r="AT475" s="38"/>
      <c r="AU475" s="27"/>
    </row>
    <row r="476" spans="1:47" s="1" customFormat="1" ht="21" customHeight="1" x14ac:dyDescent="0.25">
      <c r="A476" s="83"/>
      <c r="B476" s="47"/>
      <c r="C476" s="80"/>
      <c r="D476" s="47"/>
      <c r="E476" s="48"/>
      <c r="F476" s="48"/>
      <c r="G476" s="48"/>
      <c r="H476" s="30"/>
      <c r="I476" s="30"/>
      <c r="J476" s="28"/>
      <c r="K476" s="31"/>
      <c r="L476" s="31"/>
      <c r="M476" s="32"/>
      <c r="N476" s="36"/>
      <c r="O476" s="36"/>
      <c r="P476" s="36"/>
      <c r="Q476" s="15"/>
      <c r="R476" s="20"/>
      <c r="S476" s="20"/>
      <c r="T476" s="20"/>
      <c r="U476" s="20"/>
      <c r="V476" s="20"/>
      <c r="W476" s="19"/>
      <c r="X476" s="19"/>
      <c r="Y476" s="20"/>
      <c r="Z476" s="20"/>
      <c r="AA476" s="20"/>
      <c r="AB476" s="20"/>
      <c r="AC476" s="15"/>
      <c r="AD476" s="15"/>
      <c r="AE476" s="19"/>
      <c r="AF476" s="20"/>
      <c r="AG476" s="15"/>
      <c r="AH476" s="15"/>
      <c r="AI476" s="15"/>
      <c r="AJ476" s="15"/>
      <c r="AK476" s="15"/>
      <c r="AL476" s="15"/>
      <c r="AM476" s="29"/>
      <c r="AN476" s="19"/>
      <c r="AO476" s="21"/>
      <c r="AP476" s="22"/>
      <c r="AQ476" s="26"/>
      <c r="AR476" s="37"/>
      <c r="AS476" s="38"/>
      <c r="AT476" s="38"/>
      <c r="AU476" s="27"/>
    </row>
    <row r="477" spans="1:47" s="1" customFormat="1" ht="21" customHeight="1" x14ac:dyDescent="0.25">
      <c r="A477" s="83"/>
      <c r="B477" s="47"/>
      <c r="C477" s="80"/>
      <c r="D477" s="47"/>
      <c r="E477" s="48"/>
      <c r="F477" s="48"/>
      <c r="G477" s="48"/>
      <c r="H477" s="30"/>
      <c r="I477" s="30"/>
      <c r="J477" s="28"/>
      <c r="K477" s="31"/>
      <c r="L477" s="31"/>
      <c r="M477" s="32"/>
      <c r="N477" s="36"/>
      <c r="O477" s="36"/>
      <c r="P477" s="36"/>
      <c r="Q477" s="15"/>
      <c r="R477" s="20"/>
      <c r="S477" s="20"/>
      <c r="T477" s="20"/>
      <c r="U477" s="20"/>
      <c r="V477" s="20"/>
      <c r="W477" s="19"/>
      <c r="X477" s="19"/>
      <c r="Y477" s="20"/>
      <c r="Z477" s="20"/>
      <c r="AA477" s="20"/>
      <c r="AB477" s="20"/>
      <c r="AC477" s="15"/>
      <c r="AD477" s="15"/>
      <c r="AE477" s="19"/>
      <c r="AF477" s="20"/>
      <c r="AG477" s="15"/>
      <c r="AH477" s="15"/>
      <c r="AI477" s="15"/>
      <c r="AJ477" s="15"/>
      <c r="AK477" s="15"/>
      <c r="AL477" s="15"/>
      <c r="AM477" s="29"/>
      <c r="AN477" s="19"/>
      <c r="AO477" s="21"/>
      <c r="AP477" s="22"/>
      <c r="AQ477" s="26"/>
      <c r="AR477" s="37"/>
      <c r="AS477" s="38"/>
      <c r="AT477" s="38"/>
      <c r="AU477" s="27"/>
    </row>
    <row r="478" spans="1:47" s="1" customFormat="1" ht="21" customHeight="1" x14ac:dyDescent="0.25">
      <c r="A478" s="83"/>
      <c r="B478" s="47"/>
      <c r="C478" s="80"/>
      <c r="D478" s="47"/>
      <c r="E478" s="48"/>
      <c r="F478" s="48"/>
      <c r="G478" s="48"/>
      <c r="H478" s="30"/>
      <c r="I478" s="30"/>
      <c r="J478" s="28"/>
      <c r="K478" s="31"/>
      <c r="L478" s="31"/>
      <c r="M478" s="32"/>
      <c r="N478" s="36"/>
      <c r="O478" s="36"/>
      <c r="P478" s="36"/>
      <c r="Q478" s="15"/>
      <c r="R478" s="20"/>
      <c r="S478" s="20"/>
      <c r="T478" s="20"/>
      <c r="U478" s="20"/>
      <c r="V478" s="20"/>
      <c r="W478" s="19"/>
      <c r="X478" s="19"/>
      <c r="Y478" s="20"/>
      <c r="Z478" s="20"/>
      <c r="AA478" s="20"/>
      <c r="AB478" s="20"/>
      <c r="AC478" s="15"/>
      <c r="AD478" s="15"/>
      <c r="AE478" s="19"/>
      <c r="AF478" s="20"/>
      <c r="AG478" s="15"/>
      <c r="AH478" s="15"/>
      <c r="AI478" s="15"/>
      <c r="AJ478" s="15"/>
      <c r="AK478" s="15"/>
      <c r="AL478" s="15"/>
      <c r="AM478" s="29"/>
      <c r="AN478" s="19"/>
      <c r="AO478" s="21"/>
      <c r="AP478" s="22"/>
      <c r="AQ478" s="26"/>
      <c r="AR478" s="37"/>
      <c r="AS478" s="38"/>
      <c r="AT478" s="38"/>
      <c r="AU478" s="27"/>
    </row>
    <row r="479" spans="1:47" s="1" customFormat="1" ht="21" customHeight="1" x14ac:dyDescent="0.25">
      <c r="A479" s="83"/>
      <c r="B479" s="47"/>
      <c r="C479" s="80"/>
      <c r="D479" s="33"/>
      <c r="E479" s="48"/>
      <c r="F479" s="48"/>
      <c r="G479" s="48"/>
      <c r="H479" s="30"/>
      <c r="I479" s="30"/>
      <c r="J479" s="28"/>
      <c r="K479" s="31"/>
      <c r="L479" s="31"/>
      <c r="M479" s="32"/>
      <c r="N479" s="36"/>
      <c r="O479" s="36"/>
      <c r="P479" s="36"/>
      <c r="Q479" s="15"/>
      <c r="R479" s="20"/>
      <c r="S479" s="20"/>
      <c r="T479" s="20"/>
      <c r="U479" s="20"/>
      <c r="V479" s="20"/>
      <c r="W479" s="19"/>
      <c r="X479" s="19"/>
      <c r="Y479" s="20"/>
      <c r="Z479" s="20"/>
      <c r="AA479" s="20"/>
      <c r="AB479" s="20"/>
      <c r="AC479" s="15"/>
      <c r="AD479" s="15"/>
      <c r="AE479" s="19"/>
      <c r="AF479" s="20"/>
      <c r="AG479" s="15"/>
      <c r="AH479" s="15"/>
      <c r="AI479" s="15"/>
      <c r="AJ479" s="15"/>
      <c r="AK479" s="15"/>
      <c r="AL479" s="15"/>
      <c r="AM479" s="29"/>
      <c r="AN479" s="19"/>
      <c r="AO479" s="21"/>
      <c r="AP479" s="22"/>
      <c r="AQ479" s="26"/>
      <c r="AR479" s="37"/>
      <c r="AS479" s="38"/>
      <c r="AT479" s="38"/>
      <c r="AU479" s="27"/>
    </row>
    <row r="480" spans="1:47" s="1" customFormat="1" ht="21" customHeight="1" x14ac:dyDescent="0.25">
      <c r="A480" s="83"/>
      <c r="B480" s="47"/>
      <c r="C480" s="80"/>
      <c r="D480" s="33"/>
      <c r="E480" s="48"/>
      <c r="F480" s="48"/>
      <c r="G480" s="48"/>
      <c r="H480" s="30"/>
      <c r="I480" s="30"/>
      <c r="J480" s="28"/>
      <c r="K480" s="31"/>
      <c r="L480" s="31"/>
      <c r="M480" s="32"/>
      <c r="N480" s="36"/>
      <c r="O480" s="36"/>
      <c r="P480" s="36"/>
      <c r="Q480" s="15"/>
      <c r="R480" s="20"/>
      <c r="S480" s="20"/>
      <c r="T480" s="20"/>
      <c r="U480" s="20"/>
      <c r="V480" s="20"/>
      <c r="W480" s="19"/>
      <c r="X480" s="19"/>
      <c r="Y480" s="20"/>
      <c r="Z480" s="20"/>
      <c r="AA480" s="20"/>
      <c r="AB480" s="20"/>
      <c r="AC480" s="15"/>
      <c r="AD480" s="15"/>
      <c r="AE480" s="19"/>
      <c r="AF480" s="20"/>
      <c r="AG480" s="15"/>
      <c r="AH480" s="15"/>
      <c r="AI480" s="15"/>
      <c r="AJ480" s="15"/>
      <c r="AK480" s="15"/>
      <c r="AL480" s="15"/>
      <c r="AM480" s="29"/>
      <c r="AN480" s="19"/>
      <c r="AO480" s="21"/>
      <c r="AP480" s="22"/>
      <c r="AQ480" s="26"/>
      <c r="AR480" s="37"/>
      <c r="AS480" s="38"/>
      <c r="AT480" s="38"/>
      <c r="AU480" s="27"/>
    </row>
    <row r="481" spans="1:47" s="1" customFormat="1" ht="21" customHeight="1" x14ac:dyDescent="0.25">
      <c r="A481" s="83"/>
      <c r="B481" s="47"/>
      <c r="C481" s="80"/>
      <c r="D481" s="33"/>
      <c r="E481" s="48"/>
      <c r="F481" s="48"/>
      <c r="G481" s="48"/>
      <c r="H481" s="30"/>
      <c r="I481" s="30"/>
      <c r="J481" s="28"/>
      <c r="K481" s="31"/>
      <c r="L481" s="31"/>
      <c r="M481" s="32"/>
      <c r="N481" s="36"/>
      <c r="O481" s="36"/>
      <c r="P481" s="36"/>
      <c r="Q481" s="15"/>
      <c r="R481" s="20"/>
      <c r="S481" s="20"/>
      <c r="T481" s="20"/>
      <c r="U481" s="20"/>
      <c r="V481" s="20"/>
      <c r="W481" s="19"/>
      <c r="X481" s="19"/>
      <c r="Y481" s="20"/>
      <c r="Z481" s="20"/>
      <c r="AA481" s="20"/>
      <c r="AB481" s="20"/>
      <c r="AC481" s="15"/>
      <c r="AD481" s="15"/>
      <c r="AE481" s="19"/>
      <c r="AF481" s="20"/>
      <c r="AG481" s="15"/>
      <c r="AH481" s="15"/>
      <c r="AI481" s="15"/>
      <c r="AJ481" s="15"/>
      <c r="AK481" s="15"/>
      <c r="AL481" s="15"/>
      <c r="AM481" s="29"/>
      <c r="AN481" s="19"/>
      <c r="AO481" s="21"/>
      <c r="AP481" s="22"/>
      <c r="AQ481" s="26"/>
      <c r="AR481" s="37"/>
      <c r="AS481" s="38"/>
      <c r="AT481" s="38"/>
      <c r="AU481" s="27"/>
    </row>
    <row r="482" spans="1:47" s="1" customFormat="1" ht="21" customHeight="1" x14ac:dyDescent="0.25">
      <c r="A482" s="83"/>
      <c r="B482" s="47"/>
      <c r="C482" s="80"/>
      <c r="D482" s="33"/>
      <c r="E482" s="48"/>
      <c r="F482" s="48"/>
      <c r="G482" s="48"/>
      <c r="H482" s="30"/>
      <c r="I482" s="30"/>
      <c r="J482" s="28"/>
      <c r="K482" s="31"/>
      <c r="L482" s="31"/>
      <c r="M482" s="32"/>
      <c r="N482" s="36"/>
      <c r="O482" s="36"/>
      <c r="P482" s="36"/>
      <c r="Q482" s="15"/>
      <c r="R482" s="20"/>
      <c r="S482" s="20"/>
      <c r="T482" s="20"/>
      <c r="U482" s="20"/>
      <c r="V482" s="20"/>
      <c r="W482" s="19"/>
      <c r="X482" s="19"/>
      <c r="Y482" s="20"/>
      <c r="Z482" s="20"/>
      <c r="AA482" s="20"/>
      <c r="AB482" s="20"/>
      <c r="AC482" s="15"/>
      <c r="AD482" s="15"/>
      <c r="AE482" s="19"/>
      <c r="AF482" s="20"/>
      <c r="AG482" s="15"/>
      <c r="AH482" s="15"/>
      <c r="AI482" s="15"/>
      <c r="AJ482" s="15"/>
      <c r="AK482" s="15"/>
      <c r="AL482" s="15"/>
      <c r="AM482" s="29"/>
      <c r="AN482" s="19"/>
      <c r="AO482" s="21"/>
      <c r="AP482" s="22"/>
      <c r="AQ482" s="26"/>
      <c r="AR482" s="37"/>
      <c r="AS482" s="38"/>
      <c r="AT482" s="38"/>
      <c r="AU482" s="27"/>
    </row>
    <row r="483" spans="1:47" s="1" customFormat="1" ht="21" customHeight="1" x14ac:dyDescent="0.25">
      <c r="A483" s="83"/>
      <c r="B483" s="47"/>
      <c r="C483" s="80"/>
      <c r="D483" s="33"/>
      <c r="E483" s="48"/>
      <c r="F483" s="48"/>
      <c r="G483" s="48"/>
      <c r="H483" s="30"/>
      <c r="I483" s="30"/>
      <c r="J483" s="28"/>
      <c r="K483" s="31"/>
      <c r="L483" s="31"/>
      <c r="M483" s="32"/>
      <c r="N483" s="36"/>
      <c r="O483" s="36"/>
      <c r="P483" s="36"/>
      <c r="Q483" s="15"/>
      <c r="R483" s="20"/>
      <c r="S483" s="20"/>
      <c r="T483" s="20"/>
      <c r="U483" s="20"/>
      <c r="V483" s="20"/>
      <c r="W483" s="19"/>
      <c r="X483" s="19"/>
      <c r="Y483" s="20"/>
      <c r="Z483" s="20"/>
      <c r="AA483" s="20"/>
      <c r="AB483" s="20"/>
      <c r="AC483" s="15"/>
      <c r="AD483" s="15"/>
      <c r="AE483" s="19"/>
      <c r="AF483" s="20"/>
      <c r="AG483" s="15"/>
      <c r="AH483" s="15"/>
      <c r="AI483" s="15"/>
      <c r="AJ483" s="15"/>
      <c r="AK483" s="15"/>
      <c r="AL483" s="15"/>
      <c r="AM483" s="29"/>
      <c r="AN483" s="19"/>
      <c r="AO483" s="21"/>
      <c r="AP483" s="22"/>
      <c r="AQ483" s="26"/>
      <c r="AR483" s="37"/>
      <c r="AS483" s="38"/>
      <c r="AT483" s="38"/>
      <c r="AU483" s="27"/>
    </row>
    <row r="484" spans="1:47" s="1" customFormat="1" ht="21" customHeight="1" x14ac:dyDescent="0.25">
      <c r="A484" s="83"/>
      <c r="B484" s="47"/>
      <c r="C484" s="80"/>
      <c r="D484" s="33"/>
      <c r="E484" s="48"/>
      <c r="F484" s="48"/>
      <c r="G484" s="48"/>
      <c r="H484" s="30"/>
      <c r="I484" s="30"/>
      <c r="J484" s="28"/>
      <c r="K484" s="31"/>
      <c r="L484" s="31"/>
      <c r="M484" s="32"/>
      <c r="N484" s="36"/>
      <c r="O484" s="36"/>
      <c r="P484" s="36"/>
      <c r="Q484" s="15"/>
      <c r="R484" s="20"/>
      <c r="S484" s="20"/>
      <c r="T484" s="20"/>
      <c r="U484" s="20"/>
      <c r="V484" s="20"/>
      <c r="W484" s="19"/>
      <c r="X484" s="19"/>
      <c r="Y484" s="20"/>
      <c r="Z484" s="20"/>
      <c r="AA484" s="20"/>
      <c r="AB484" s="20"/>
      <c r="AC484" s="15"/>
      <c r="AD484" s="15"/>
      <c r="AE484" s="19"/>
      <c r="AF484" s="20"/>
      <c r="AG484" s="15"/>
      <c r="AH484" s="15"/>
      <c r="AI484" s="15"/>
      <c r="AJ484" s="15"/>
      <c r="AK484" s="15"/>
      <c r="AL484" s="15"/>
      <c r="AM484" s="29"/>
      <c r="AN484" s="19"/>
      <c r="AO484" s="21"/>
      <c r="AP484" s="22"/>
      <c r="AQ484" s="26"/>
      <c r="AR484" s="37"/>
      <c r="AS484" s="38"/>
      <c r="AT484" s="38"/>
      <c r="AU484" s="27"/>
    </row>
    <row r="485" spans="1:47" s="1" customFormat="1" ht="21" customHeight="1" x14ac:dyDescent="0.25">
      <c r="A485" s="83"/>
      <c r="B485" s="47"/>
      <c r="C485" s="80"/>
      <c r="D485" s="33"/>
      <c r="E485" s="48"/>
      <c r="F485" s="48"/>
      <c r="G485" s="48"/>
      <c r="H485" s="30"/>
      <c r="I485" s="30"/>
      <c r="J485" s="28"/>
      <c r="K485" s="31"/>
      <c r="L485" s="31"/>
      <c r="M485" s="32"/>
      <c r="N485" s="36"/>
      <c r="O485" s="36"/>
      <c r="P485" s="36"/>
      <c r="Q485" s="15"/>
      <c r="R485" s="20"/>
      <c r="S485" s="20"/>
      <c r="T485" s="20"/>
      <c r="U485" s="20"/>
      <c r="V485" s="20"/>
      <c r="W485" s="19"/>
      <c r="X485" s="19"/>
      <c r="Y485" s="20"/>
      <c r="Z485" s="20"/>
      <c r="AA485" s="20"/>
      <c r="AB485" s="20"/>
      <c r="AC485" s="15"/>
      <c r="AD485" s="15"/>
      <c r="AE485" s="19"/>
      <c r="AF485" s="20"/>
      <c r="AG485" s="15"/>
      <c r="AH485" s="15"/>
      <c r="AI485" s="15"/>
      <c r="AJ485" s="15"/>
      <c r="AK485" s="15"/>
      <c r="AL485" s="15"/>
      <c r="AM485" s="29"/>
      <c r="AN485" s="19"/>
      <c r="AO485" s="21"/>
      <c r="AP485" s="22"/>
      <c r="AQ485" s="26"/>
      <c r="AR485" s="37"/>
      <c r="AS485" s="38"/>
      <c r="AT485" s="38"/>
      <c r="AU485" s="27"/>
    </row>
    <row r="486" spans="1:47" s="1" customFormat="1" ht="21" customHeight="1" x14ac:dyDescent="0.25">
      <c r="A486" s="83"/>
      <c r="B486" s="47"/>
      <c r="C486" s="80"/>
      <c r="D486" s="33"/>
      <c r="E486" s="48"/>
      <c r="F486" s="48"/>
      <c r="G486" s="48"/>
      <c r="H486" s="30"/>
      <c r="I486" s="30"/>
      <c r="J486" s="28"/>
      <c r="K486" s="31"/>
      <c r="L486" s="31"/>
      <c r="M486" s="32"/>
      <c r="N486" s="36"/>
      <c r="O486" s="36"/>
      <c r="P486" s="36"/>
      <c r="Q486" s="15"/>
      <c r="R486" s="20"/>
      <c r="S486" s="20"/>
      <c r="T486" s="20"/>
      <c r="U486" s="20"/>
      <c r="V486" s="20"/>
      <c r="W486" s="19"/>
      <c r="X486" s="19"/>
      <c r="Y486" s="20"/>
      <c r="Z486" s="20"/>
      <c r="AA486" s="20"/>
      <c r="AB486" s="20"/>
      <c r="AC486" s="15"/>
      <c r="AD486" s="15"/>
      <c r="AE486" s="19"/>
      <c r="AF486" s="20"/>
      <c r="AG486" s="15"/>
      <c r="AH486" s="15"/>
      <c r="AI486" s="15"/>
      <c r="AJ486" s="15"/>
      <c r="AK486" s="15"/>
      <c r="AL486" s="15"/>
      <c r="AM486" s="29"/>
      <c r="AN486" s="19"/>
      <c r="AO486" s="21"/>
      <c r="AP486" s="22"/>
      <c r="AQ486" s="26"/>
      <c r="AR486" s="37"/>
      <c r="AS486" s="38"/>
      <c r="AT486" s="38"/>
      <c r="AU486" s="27"/>
    </row>
    <row r="487" spans="1:47" s="1" customFormat="1" ht="21" customHeight="1" x14ac:dyDescent="0.25">
      <c r="A487" s="83"/>
      <c r="B487" s="47"/>
      <c r="C487" s="80"/>
      <c r="D487" s="33"/>
      <c r="E487" s="48"/>
      <c r="F487" s="48"/>
      <c r="G487" s="48"/>
      <c r="H487" s="30"/>
      <c r="I487" s="30"/>
      <c r="J487" s="28"/>
      <c r="K487" s="31"/>
      <c r="L487" s="31"/>
      <c r="M487" s="32"/>
      <c r="N487" s="36"/>
      <c r="O487" s="36"/>
      <c r="P487" s="36"/>
      <c r="Q487" s="15"/>
      <c r="R487" s="20"/>
      <c r="S487" s="20"/>
      <c r="T487" s="20"/>
      <c r="U487" s="20"/>
      <c r="V487" s="20"/>
      <c r="W487" s="19"/>
      <c r="X487" s="19"/>
      <c r="Y487" s="20"/>
      <c r="Z487" s="20"/>
      <c r="AA487" s="20"/>
      <c r="AB487" s="20"/>
      <c r="AC487" s="15"/>
      <c r="AD487" s="15"/>
      <c r="AE487" s="19"/>
      <c r="AF487" s="20"/>
      <c r="AG487" s="15"/>
      <c r="AH487" s="15"/>
      <c r="AI487" s="15"/>
      <c r="AJ487" s="15"/>
      <c r="AK487" s="15"/>
      <c r="AL487" s="15"/>
      <c r="AM487" s="29"/>
      <c r="AN487" s="19"/>
      <c r="AO487" s="21"/>
      <c r="AP487" s="22"/>
      <c r="AQ487" s="26"/>
      <c r="AR487" s="37"/>
      <c r="AS487" s="38"/>
      <c r="AT487" s="38"/>
      <c r="AU487" s="27"/>
    </row>
    <row r="488" spans="1:47" s="1" customFormat="1" ht="21" customHeight="1" x14ac:dyDescent="0.25">
      <c r="A488" s="83"/>
      <c r="B488" s="47"/>
      <c r="C488" s="80"/>
      <c r="D488" s="33"/>
      <c r="E488" s="48"/>
      <c r="F488" s="48"/>
      <c r="G488" s="48"/>
      <c r="H488" s="30"/>
      <c r="I488" s="30"/>
      <c r="J488" s="28"/>
      <c r="K488" s="31"/>
      <c r="L488" s="31"/>
      <c r="M488" s="32"/>
      <c r="N488" s="36"/>
      <c r="O488" s="36"/>
      <c r="P488" s="36"/>
      <c r="Q488" s="15"/>
      <c r="R488" s="20"/>
      <c r="S488" s="20"/>
      <c r="T488" s="20"/>
      <c r="U488" s="20"/>
      <c r="V488" s="20"/>
      <c r="W488" s="19"/>
      <c r="X488" s="19"/>
      <c r="Y488" s="20"/>
      <c r="Z488" s="20"/>
      <c r="AA488" s="20"/>
      <c r="AB488" s="20"/>
      <c r="AC488" s="15"/>
      <c r="AD488" s="15"/>
      <c r="AE488" s="19"/>
      <c r="AF488" s="20"/>
      <c r="AG488" s="15"/>
      <c r="AH488" s="15"/>
      <c r="AI488" s="15"/>
      <c r="AJ488" s="15"/>
      <c r="AK488" s="15"/>
      <c r="AL488" s="15"/>
      <c r="AM488" s="29"/>
      <c r="AN488" s="19"/>
      <c r="AO488" s="21"/>
      <c r="AP488" s="22"/>
      <c r="AQ488" s="26"/>
      <c r="AR488" s="37"/>
      <c r="AS488" s="38"/>
      <c r="AT488" s="38"/>
      <c r="AU488" s="27"/>
    </row>
    <row r="489" spans="1:47" s="1" customFormat="1" ht="21" customHeight="1" x14ac:dyDescent="0.25">
      <c r="A489" s="83"/>
      <c r="B489" s="47"/>
      <c r="C489" s="80"/>
      <c r="D489" s="33"/>
      <c r="E489" s="48"/>
      <c r="F489" s="48"/>
      <c r="G489" s="48"/>
      <c r="H489" s="30"/>
      <c r="I489" s="30"/>
      <c r="J489" s="28"/>
      <c r="K489" s="31"/>
      <c r="L489" s="31"/>
      <c r="M489" s="32"/>
      <c r="N489" s="36"/>
      <c r="O489" s="36"/>
      <c r="P489" s="36"/>
      <c r="Q489" s="15"/>
      <c r="R489" s="20"/>
      <c r="S489" s="20"/>
      <c r="T489" s="20"/>
      <c r="U489" s="20"/>
      <c r="V489" s="20"/>
      <c r="W489" s="19"/>
      <c r="X489" s="19"/>
      <c r="Y489" s="20"/>
      <c r="Z489" s="20"/>
      <c r="AA489" s="20"/>
      <c r="AB489" s="20"/>
      <c r="AC489" s="15"/>
      <c r="AD489" s="15"/>
      <c r="AE489" s="19"/>
      <c r="AF489" s="20"/>
      <c r="AG489" s="15"/>
      <c r="AH489" s="15"/>
      <c r="AI489" s="15"/>
      <c r="AJ489" s="15"/>
      <c r="AK489" s="15"/>
      <c r="AL489" s="15"/>
      <c r="AM489" s="29"/>
      <c r="AN489" s="19"/>
      <c r="AO489" s="21"/>
      <c r="AP489" s="22"/>
      <c r="AQ489" s="26"/>
      <c r="AR489" s="37"/>
      <c r="AS489" s="38"/>
      <c r="AT489" s="38"/>
      <c r="AU489" s="27"/>
    </row>
    <row r="490" spans="1:47" s="1" customFormat="1" ht="21" customHeight="1" x14ac:dyDescent="0.25">
      <c r="A490" s="83"/>
      <c r="B490" s="47"/>
      <c r="C490" s="80"/>
      <c r="D490" s="33"/>
      <c r="E490" s="48"/>
      <c r="F490" s="48"/>
      <c r="G490" s="48"/>
      <c r="H490" s="30"/>
      <c r="I490" s="30"/>
      <c r="J490" s="28"/>
      <c r="K490" s="31"/>
      <c r="L490" s="31"/>
      <c r="M490" s="32"/>
      <c r="N490" s="36"/>
      <c r="O490" s="36"/>
      <c r="P490" s="36"/>
      <c r="Q490" s="15"/>
      <c r="R490" s="20"/>
      <c r="S490" s="20"/>
      <c r="T490" s="20"/>
      <c r="U490" s="20"/>
      <c r="V490" s="20"/>
      <c r="W490" s="19"/>
      <c r="X490" s="19"/>
      <c r="Y490" s="20"/>
      <c r="Z490" s="20"/>
      <c r="AA490" s="20"/>
      <c r="AB490" s="20"/>
      <c r="AC490" s="15"/>
      <c r="AD490" s="15"/>
      <c r="AE490" s="19"/>
      <c r="AF490" s="20"/>
      <c r="AG490" s="15"/>
      <c r="AH490" s="15"/>
      <c r="AI490" s="15"/>
      <c r="AJ490" s="15"/>
      <c r="AK490" s="15"/>
      <c r="AL490" s="15"/>
      <c r="AM490" s="29"/>
      <c r="AN490" s="19"/>
      <c r="AO490" s="21"/>
      <c r="AP490" s="22"/>
      <c r="AQ490" s="26"/>
      <c r="AR490" s="37"/>
      <c r="AS490" s="38"/>
      <c r="AT490" s="38"/>
      <c r="AU490" s="27"/>
    </row>
    <row r="491" spans="1:47" s="1" customFormat="1" ht="21" customHeight="1" x14ac:dyDescent="0.25">
      <c r="A491" s="83"/>
      <c r="B491" s="47"/>
      <c r="C491" s="80"/>
      <c r="D491" s="33"/>
      <c r="E491" s="48"/>
      <c r="F491" s="48"/>
      <c r="G491" s="48"/>
      <c r="H491" s="30"/>
      <c r="I491" s="30"/>
      <c r="J491" s="28"/>
      <c r="K491" s="31"/>
      <c r="L491" s="31"/>
      <c r="M491" s="32"/>
      <c r="N491" s="36"/>
      <c r="O491" s="36"/>
      <c r="P491" s="36"/>
      <c r="Q491" s="15"/>
      <c r="R491" s="20"/>
      <c r="S491" s="20"/>
      <c r="T491" s="20"/>
      <c r="U491" s="20"/>
      <c r="V491" s="20"/>
      <c r="W491" s="19"/>
      <c r="X491" s="19"/>
      <c r="Y491" s="20"/>
      <c r="Z491" s="20"/>
      <c r="AA491" s="20"/>
      <c r="AB491" s="20"/>
      <c r="AC491" s="15"/>
      <c r="AD491" s="15"/>
      <c r="AE491" s="19"/>
      <c r="AF491" s="20"/>
      <c r="AG491" s="15"/>
      <c r="AH491" s="15"/>
      <c r="AI491" s="15"/>
      <c r="AJ491" s="15"/>
      <c r="AK491" s="15"/>
      <c r="AL491" s="15"/>
      <c r="AM491" s="29"/>
      <c r="AN491" s="19"/>
      <c r="AO491" s="21"/>
      <c r="AP491" s="22"/>
      <c r="AQ491" s="26"/>
      <c r="AR491" s="37"/>
      <c r="AS491" s="38"/>
      <c r="AT491" s="38"/>
      <c r="AU491" s="27"/>
    </row>
    <row r="492" spans="1:47" s="1" customFormat="1" ht="21" customHeight="1" x14ac:dyDescent="0.25">
      <c r="A492" s="83"/>
      <c r="B492" s="47"/>
      <c r="C492" s="80"/>
      <c r="D492" s="33"/>
      <c r="E492" s="48"/>
      <c r="F492" s="48"/>
      <c r="G492" s="48"/>
      <c r="H492" s="30"/>
      <c r="I492" s="30"/>
      <c r="J492" s="28"/>
      <c r="K492" s="31"/>
      <c r="L492" s="31"/>
      <c r="M492" s="32"/>
      <c r="N492" s="36"/>
      <c r="O492" s="36"/>
      <c r="P492" s="36"/>
      <c r="Q492" s="15"/>
      <c r="R492" s="20"/>
      <c r="S492" s="20"/>
      <c r="T492" s="20"/>
      <c r="U492" s="20"/>
      <c r="V492" s="20"/>
      <c r="W492" s="19"/>
      <c r="X492" s="19"/>
      <c r="Y492" s="20"/>
      <c r="Z492" s="20"/>
      <c r="AA492" s="20"/>
      <c r="AB492" s="20"/>
      <c r="AC492" s="15"/>
      <c r="AD492" s="15"/>
      <c r="AE492" s="19"/>
      <c r="AF492" s="20"/>
      <c r="AG492" s="15"/>
      <c r="AH492" s="15"/>
      <c r="AI492" s="15"/>
      <c r="AJ492" s="15"/>
      <c r="AK492" s="15"/>
      <c r="AL492" s="15"/>
      <c r="AM492" s="29"/>
      <c r="AN492" s="19"/>
      <c r="AO492" s="21"/>
      <c r="AP492" s="22"/>
      <c r="AQ492" s="26"/>
      <c r="AR492" s="37"/>
      <c r="AS492" s="38"/>
      <c r="AT492" s="38"/>
      <c r="AU492" s="27"/>
    </row>
    <row r="493" spans="1:47" s="1" customFormat="1" ht="21" customHeight="1" x14ac:dyDescent="0.25">
      <c r="A493" s="83"/>
      <c r="B493" s="47"/>
      <c r="C493" s="80"/>
      <c r="D493" s="33"/>
      <c r="E493" s="48"/>
      <c r="F493" s="48"/>
      <c r="G493" s="48"/>
      <c r="H493" s="30"/>
      <c r="I493" s="30"/>
      <c r="J493" s="28"/>
      <c r="K493" s="31"/>
      <c r="L493" s="31"/>
      <c r="M493" s="32"/>
      <c r="N493" s="36"/>
      <c r="O493" s="36"/>
      <c r="P493" s="36"/>
      <c r="Q493" s="15"/>
      <c r="R493" s="20"/>
      <c r="S493" s="20"/>
      <c r="T493" s="20"/>
      <c r="U493" s="20"/>
      <c r="V493" s="20"/>
      <c r="W493" s="19"/>
      <c r="X493" s="19"/>
      <c r="Y493" s="20"/>
      <c r="Z493" s="20"/>
      <c r="AA493" s="20"/>
      <c r="AB493" s="20"/>
      <c r="AC493" s="15"/>
      <c r="AD493" s="15"/>
      <c r="AE493" s="19"/>
      <c r="AF493" s="20"/>
      <c r="AG493" s="15"/>
      <c r="AH493" s="15"/>
      <c r="AI493" s="15"/>
      <c r="AJ493" s="15"/>
      <c r="AK493" s="15"/>
      <c r="AL493" s="15"/>
      <c r="AM493" s="29"/>
      <c r="AN493" s="19"/>
      <c r="AO493" s="21"/>
      <c r="AP493" s="22"/>
      <c r="AQ493" s="26"/>
      <c r="AR493" s="37"/>
      <c r="AS493" s="38"/>
      <c r="AT493" s="38"/>
      <c r="AU493" s="27"/>
    </row>
    <row r="494" spans="1:47" s="1" customFormat="1" ht="21" customHeight="1" x14ac:dyDescent="0.25">
      <c r="A494" s="83"/>
      <c r="B494" s="47"/>
      <c r="C494" s="80"/>
      <c r="D494" s="33"/>
      <c r="E494" s="48"/>
      <c r="F494" s="48"/>
      <c r="G494" s="48"/>
      <c r="H494" s="30"/>
      <c r="I494" s="30"/>
      <c r="J494" s="28"/>
      <c r="K494" s="31"/>
      <c r="L494" s="31"/>
      <c r="M494" s="32"/>
      <c r="N494" s="36"/>
      <c r="O494" s="36"/>
      <c r="P494" s="36"/>
      <c r="Q494" s="15"/>
      <c r="R494" s="20"/>
      <c r="S494" s="20"/>
      <c r="T494" s="20"/>
      <c r="U494" s="20"/>
      <c r="V494" s="20"/>
      <c r="W494" s="19"/>
      <c r="X494" s="19"/>
      <c r="Y494" s="20"/>
      <c r="Z494" s="20"/>
      <c r="AA494" s="20"/>
      <c r="AB494" s="20"/>
      <c r="AC494" s="15"/>
      <c r="AD494" s="15"/>
      <c r="AE494" s="19"/>
      <c r="AF494" s="20"/>
      <c r="AG494" s="15"/>
      <c r="AH494" s="15"/>
      <c r="AI494" s="15"/>
      <c r="AJ494" s="15"/>
      <c r="AK494" s="15"/>
      <c r="AL494" s="15"/>
      <c r="AM494" s="29"/>
      <c r="AN494" s="19"/>
      <c r="AO494" s="21"/>
      <c r="AP494" s="22"/>
      <c r="AQ494" s="26"/>
      <c r="AR494" s="37"/>
      <c r="AS494" s="38"/>
      <c r="AT494" s="38"/>
      <c r="AU494" s="27"/>
    </row>
    <row r="495" spans="1:47" s="1" customFormat="1" ht="21" customHeight="1" x14ac:dyDescent="0.25">
      <c r="A495" s="83"/>
      <c r="B495" s="47"/>
      <c r="C495" s="80"/>
      <c r="D495" s="33"/>
      <c r="E495" s="48"/>
      <c r="F495" s="48"/>
      <c r="G495" s="48"/>
      <c r="H495" s="30"/>
      <c r="I495" s="30"/>
      <c r="J495" s="28"/>
      <c r="K495" s="31"/>
      <c r="L495" s="31"/>
      <c r="M495" s="32"/>
      <c r="N495" s="36"/>
      <c r="O495" s="36"/>
      <c r="P495" s="36"/>
      <c r="Q495" s="15"/>
      <c r="R495" s="20"/>
      <c r="S495" s="20"/>
      <c r="T495" s="20"/>
      <c r="U495" s="20"/>
      <c r="V495" s="20"/>
      <c r="W495" s="19"/>
      <c r="X495" s="19"/>
      <c r="Y495" s="20"/>
      <c r="Z495" s="20"/>
      <c r="AA495" s="20"/>
      <c r="AB495" s="20"/>
      <c r="AC495" s="15"/>
      <c r="AD495" s="15"/>
      <c r="AE495" s="19"/>
      <c r="AF495" s="20"/>
      <c r="AG495" s="15"/>
      <c r="AH495" s="15"/>
      <c r="AI495" s="15"/>
      <c r="AJ495" s="15"/>
      <c r="AK495" s="15"/>
      <c r="AL495" s="15"/>
      <c r="AM495" s="29"/>
      <c r="AN495" s="19"/>
      <c r="AO495" s="21"/>
      <c r="AP495" s="22"/>
      <c r="AQ495" s="26"/>
      <c r="AR495" s="37"/>
      <c r="AS495" s="38"/>
      <c r="AT495" s="38"/>
      <c r="AU495" s="27"/>
    </row>
    <row r="496" spans="1:47" s="1" customFormat="1" ht="21" customHeight="1" x14ac:dyDescent="0.25">
      <c r="A496" s="83"/>
      <c r="B496" s="47"/>
      <c r="C496" s="80"/>
      <c r="D496" s="33"/>
      <c r="E496" s="48"/>
      <c r="F496" s="48"/>
      <c r="G496" s="48"/>
      <c r="H496" s="30"/>
      <c r="I496" s="30"/>
      <c r="J496" s="28"/>
      <c r="K496" s="31"/>
      <c r="L496" s="31"/>
      <c r="M496" s="32"/>
      <c r="N496" s="36"/>
      <c r="O496" s="36"/>
      <c r="P496" s="36"/>
      <c r="Q496" s="15"/>
      <c r="R496" s="20"/>
      <c r="S496" s="20"/>
      <c r="T496" s="20"/>
      <c r="U496" s="20"/>
      <c r="V496" s="20"/>
      <c r="W496" s="19"/>
      <c r="X496" s="19"/>
      <c r="Y496" s="20"/>
      <c r="Z496" s="20"/>
      <c r="AA496" s="20"/>
      <c r="AB496" s="20"/>
      <c r="AC496" s="15"/>
      <c r="AD496" s="15"/>
      <c r="AE496" s="19"/>
      <c r="AF496" s="20"/>
      <c r="AG496" s="15"/>
      <c r="AH496" s="15"/>
      <c r="AI496" s="15"/>
      <c r="AJ496" s="15"/>
      <c r="AK496" s="15"/>
      <c r="AL496" s="15"/>
      <c r="AM496" s="29"/>
      <c r="AN496" s="19"/>
      <c r="AO496" s="21"/>
      <c r="AP496" s="22"/>
      <c r="AQ496" s="26"/>
      <c r="AR496" s="37"/>
      <c r="AS496" s="38"/>
      <c r="AT496" s="38"/>
      <c r="AU496" s="27"/>
    </row>
    <row r="497" spans="1:47" s="1" customFormat="1" ht="21" customHeight="1" x14ac:dyDescent="0.25">
      <c r="A497" s="83"/>
      <c r="B497" s="47"/>
      <c r="C497" s="80"/>
      <c r="D497" s="33"/>
      <c r="E497" s="48"/>
      <c r="F497" s="48"/>
      <c r="G497" s="48"/>
      <c r="H497" s="30"/>
      <c r="I497" s="30"/>
      <c r="J497" s="28"/>
      <c r="K497" s="31"/>
      <c r="L497" s="31"/>
      <c r="M497" s="32"/>
      <c r="N497" s="36"/>
      <c r="O497" s="36"/>
      <c r="P497" s="36"/>
      <c r="Q497" s="15"/>
      <c r="R497" s="20"/>
      <c r="S497" s="20"/>
      <c r="T497" s="20"/>
      <c r="U497" s="20"/>
      <c r="V497" s="20"/>
      <c r="W497" s="19"/>
      <c r="X497" s="19"/>
      <c r="Y497" s="20"/>
      <c r="Z497" s="20"/>
      <c r="AA497" s="20"/>
      <c r="AB497" s="20"/>
      <c r="AC497" s="15"/>
      <c r="AD497" s="15"/>
      <c r="AE497" s="19"/>
      <c r="AF497" s="20"/>
      <c r="AG497" s="15"/>
      <c r="AH497" s="15"/>
      <c r="AI497" s="15"/>
      <c r="AJ497" s="15"/>
      <c r="AK497" s="15"/>
      <c r="AL497" s="15"/>
      <c r="AM497" s="29"/>
      <c r="AN497" s="19"/>
      <c r="AO497" s="21"/>
      <c r="AP497" s="22"/>
      <c r="AQ497" s="26"/>
      <c r="AR497" s="37"/>
      <c r="AS497" s="38"/>
      <c r="AT497" s="38"/>
      <c r="AU497" s="27"/>
    </row>
    <row r="498" spans="1:47" s="1" customFormat="1" ht="21" customHeight="1" x14ac:dyDescent="0.25">
      <c r="A498" s="83"/>
      <c r="B498" s="47"/>
      <c r="C498" s="80"/>
      <c r="D498" s="33"/>
      <c r="E498" s="48"/>
      <c r="F498" s="48"/>
      <c r="G498" s="48"/>
      <c r="H498" s="30"/>
      <c r="I498" s="30"/>
      <c r="J498" s="28"/>
      <c r="K498" s="31"/>
      <c r="L498" s="31"/>
      <c r="M498" s="32"/>
      <c r="N498" s="36"/>
      <c r="O498" s="36"/>
      <c r="P498" s="36"/>
      <c r="Q498" s="15"/>
      <c r="R498" s="20"/>
      <c r="S498" s="20"/>
      <c r="T498" s="20"/>
      <c r="U498" s="20"/>
      <c r="V498" s="20"/>
      <c r="W498" s="19"/>
      <c r="X498" s="19"/>
      <c r="Y498" s="20"/>
      <c r="Z498" s="20"/>
      <c r="AA498" s="20"/>
      <c r="AB498" s="20"/>
      <c r="AC498" s="15"/>
      <c r="AD498" s="15"/>
      <c r="AE498" s="19"/>
      <c r="AF498" s="20"/>
      <c r="AG498" s="15"/>
      <c r="AH498" s="15"/>
      <c r="AI498" s="15"/>
      <c r="AJ498" s="15"/>
      <c r="AK498" s="15"/>
      <c r="AL498" s="15"/>
      <c r="AM498" s="29"/>
      <c r="AN498" s="19"/>
      <c r="AO498" s="21"/>
      <c r="AP498" s="22"/>
      <c r="AQ498" s="26"/>
      <c r="AR498" s="37"/>
      <c r="AS498" s="38"/>
      <c r="AT498" s="38"/>
      <c r="AU498" s="27"/>
    </row>
    <row r="499" spans="1:47" s="1" customFormat="1" ht="21" customHeight="1" x14ac:dyDescent="0.25">
      <c r="A499" s="83"/>
      <c r="B499" s="47"/>
      <c r="C499" s="80"/>
      <c r="D499" s="33"/>
      <c r="E499" s="48"/>
      <c r="F499" s="48"/>
      <c r="G499" s="48"/>
      <c r="H499" s="30"/>
      <c r="I499" s="30"/>
      <c r="J499" s="28"/>
      <c r="K499" s="31"/>
      <c r="L499" s="31"/>
      <c r="M499" s="32"/>
      <c r="N499" s="36"/>
      <c r="O499" s="36"/>
      <c r="P499" s="36"/>
      <c r="Q499" s="15"/>
      <c r="R499" s="20"/>
      <c r="S499" s="20"/>
      <c r="T499" s="20"/>
      <c r="U499" s="20"/>
      <c r="V499" s="20"/>
      <c r="W499" s="19"/>
      <c r="X499" s="19"/>
      <c r="Y499" s="20"/>
      <c r="Z499" s="20"/>
      <c r="AA499" s="20"/>
      <c r="AB499" s="20"/>
      <c r="AC499" s="15"/>
      <c r="AD499" s="15"/>
      <c r="AE499" s="19"/>
      <c r="AF499" s="20"/>
      <c r="AG499" s="15"/>
      <c r="AH499" s="15"/>
      <c r="AI499" s="15"/>
      <c r="AJ499" s="15"/>
      <c r="AK499" s="15"/>
      <c r="AL499" s="15"/>
      <c r="AM499" s="29"/>
      <c r="AN499" s="19"/>
      <c r="AO499" s="21"/>
      <c r="AP499" s="22"/>
      <c r="AQ499" s="26"/>
      <c r="AR499" s="37"/>
      <c r="AS499" s="38"/>
      <c r="AT499" s="38"/>
      <c r="AU499" s="27"/>
    </row>
    <row r="500" spans="1:47" s="1" customFormat="1" ht="21" customHeight="1" x14ac:dyDescent="0.25">
      <c r="A500" s="83"/>
      <c r="B500" s="47"/>
      <c r="C500" s="80"/>
      <c r="D500" s="33"/>
      <c r="E500" s="48"/>
      <c r="F500" s="48"/>
      <c r="G500" s="48"/>
      <c r="H500" s="30"/>
      <c r="I500" s="30"/>
      <c r="J500" s="28"/>
      <c r="K500" s="31"/>
      <c r="L500" s="31"/>
      <c r="M500" s="32"/>
      <c r="N500" s="36"/>
      <c r="O500" s="36"/>
      <c r="P500" s="36"/>
      <c r="Q500" s="15"/>
      <c r="R500" s="20"/>
      <c r="S500" s="20"/>
      <c r="T500" s="20"/>
      <c r="U500" s="20"/>
      <c r="V500" s="20"/>
      <c r="W500" s="19"/>
      <c r="X500" s="19"/>
      <c r="Y500" s="20"/>
      <c r="Z500" s="20"/>
      <c r="AA500" s="20"/>
      <c r="AB500" s="20"/>
      <c r="AC500" s="15"/>
      <c r="AD500" s="15"/>
      <c r="AE500" s="19"/>
      <c r="AF500" s="20"/>
      <c r="AG500" s="15"/>
      <c r="AH500" s="15"/>
      <c r="AI500" s="15"/>
      <c r="AJ500" s="15"/>
      <c r="AK500" s="15"/>
      <c r="AL500" s="15"/>
      <c r="AM500" s="29"/>
      <c r="AN500" s="19"/>
      <c r="AO500" s="21"/>
      <c r="AP500" s="22"/>
      <c r="AQ500" s="26"/>
      <c r="AR500" s="37"/>
      <c r="AS500" s="38"/>
      <c r="AT500" s="38"/>
      <c r="AU500" s="27"/>
    </row>
    <row r="501" spans="1:47" s="1" customFormat="1" ht="21" customHeight="1" x14ac:dyDescent="0.25">
      <c r="A501" s="83"/>
      <c r="B501" s="47"/>
      <c r="C501" s="80"/>
      <c r="D501" s="33"/>
      <c r="E501" s="48"/>
      <c r="F501" s="48"/>
      <c r="G501" s="48"/>
      <c r="H501" s="30"/>
      <c r="I501" s="30"/>
      <c r="J501" s="28"/>
      <c r="K501" s="31"/>
      <c r="L501" s="31"/>
      <c r="M501" s="32"/>
      <c r="N501" s="36"/>
      <c r="O501" s="36"/>
      <c r="P501" s="36"/>
      <c r="Q501" s="15"/>
      <c r="R501" s="20"/>
      <c r="S501" s="20"/>
      <c r="T501" s="20"/>
      <c r="U501" s="20"/>
      <c r="V501" s="20"/>
      <c r="W501" s="19"/>
      <c r="X501" s="19"/>
      <c r="Y501" s="20"/>
      <c r="Z501" s="20"/>
      <c r="AA501" s="20"/>
      <c r="AB501" s="20"/>
      <c r="AC501" s="15"/>
      <c r="AD501" s="15"/>
      <c r="AE501" s="19"/>
      <c r="AF501" s="20"/>
      <c r="AG501" s="15"/>
      <c r="AH501" s="15"/>
      <c r="AI501" s="15"/>
      <c r="AJ501" s="15"/>
      <c r="AK501" s="15"/>
      <c r="AL501" s="15"/>
      <c r="AM501" s="29"/>
      <c r="AN501" s="19"/>
      <c r="AO501" s="21"/>
      <c r="AP501" s="22"/>
      <c r="AQ501" s="26"/>
      <c r="AR501" s="37"/>
      <c r="AS501" s="38"/>
      <c r="AT501" s="38"/>
      <c r="AU501" s="27"/>
    </row>
    <row r="502" spans="1:47" s="1" customFormat="1" ht="21" customHeight="1" x14ac:dyDescent="0.25">
      <c r="A502" s="83"/>
      <c r="B502" s="47"/>
      <c r="C502" s="80"/>
      <c r="D502" s="33"/>
      <c r="E502" s="48"/>
      <c r="F502" s="48"/>
      <c r="G502" s="48"/>
      <c r="H502" s="30"/>
      <c r="I502" s="30"/>
      <c r="J502" s="28"/>
      <c r="K502" s="31"/>
      <c r="L502" s="31"/>
      <c r="M502" s="32"/>
      <c r="N502" s="36"/>
      <c r="O502" s="36"/>
      <c r="P502" s="36"/>
      <c r="Q502" s="15"/>
      <c r="R502" s="20"/>
      <c r="S502" s="20"/>
      <c r="T502" s="20"/>
      <c r="U502" s="20"/>
      <c r="V502" s="20"/>
      <c r="W502" s="19"/>
      <c r="X502" s="19"/>
      <c r="Y502" s="20"/>
      <c r="Z502" s="20"/>
      <c r="AA502" s="20"/>
      <c r="AB502" s="20"/>
      <c r="AC502" s="15"/>
      <c r="AD502" s="15"/>
      <c r="AE502" s="19"/>
      <c r="AF502" s="20"/>
      <c r="AG502" s="15"/>
      <c r="AH502" s="15"/>
      <c r="AI502" s="15"/>
      <c r="AJ502" s="15"/>
      <c r="AK502" s="15"/>
      <c r="AL502" s="15"/>
      <c r="AM502" s="29"/>
      <c r="AN502" s="19"/>
      <c r="AO502" s="21"/>
      <c r="AP502" s="22"/>
      <c r="AQ502" s="26"/>
      <c r="AR502" s="37"/>
      <c r="AS502" s="38"/>
      <c r="AT502" s="38"/>
      <c r="AU502" s="27"/>
    </row>
    <row r="503" spans="1:47" s="1" customFormat="1" ht="21" customHeight="1" x14ac:dyDescent="0.25">
      <c r="A503" s="83"/>
      <c r="B503" s="47"/>
      <c r="C503" s="80"/>
      <c r="D503" s="33"/>
      <c r="E503" s="48"/>
      <c r="F503" s="48"/>
      <c r="G503" s="48"/>
      <c r="H503" s="30"/>
      <c r="I503" s="30"/>
      <c r="J503" s="28"/>
      <c r="K503" s="31"/>
      <c r="L503" s="31"/>
      <c r="M503" s="32"/>
      <c r="N503" s="36"/>
      <c r="O503" s="36"/>
      <c r="P503" s="36"/>
      <c r="Q503" s="15"/>
      <c r="R503" s="20"/>
      <c r="S503" s="20"/>
      <c r="T503" s="20"/>
      <c r="U503" s="20"/>
      <c r="V503" s="20"/>
      <c r="W503" s="19"/>
      <c r="X503" s="19"/>
      <c r="Y503" s="20"/>
      <c r="Z503" s="20"/>
      <c r="AA503" s="20"/>
      <c r="AB503" s="20"/>
      <c r="AC503" s="15"/>
      <c r="AD503" s="15"/>
      <c r="AE503" s="19"/>
      <c r="AF503" s="20"/>
      <c r="AG503" s="15"/>
      <c r="AH503" s="15"/>
      <c r="AI503" s="15"/>
      <c r="AJ503" s="15"/>
      <c r="AK503" s="15"/>
      <c r="AL503" s="15"/>
      <c r="AM503" s="29"/>
      <c r="AN503" s="19"/>
      <c r="AO503" s="21"/>
      <c r="AP503" s="22"/>
      <c r="AQ503" s="26"/>
      <c r="AR503" s="37"/>
      <c r="AS503" s="38"/>
      <c r="AT503" s="38"/>
      <c r="AU503" s="27"/>
    </row>
    <row r="504" spans="1:47" s="1" customFormat="1" ht="21" customHeight="1" x14ac:dyDescent="0.25">
      <c r="A504" s="83"/>
      <c r="B504" s="47"/>
      <c r="C504" s="80"/>
      <c r="D504" s="33"/>
      <c r="E504" s="48"/>
      <c r="F504" s="48"/>
      <c r="G504" s="48"/>
      <c r="H504" s="30"/>
      <c r="I504" s="30"/>
      <c r="J504" s="28"/>
      <c r="K504" s="31"/>
      <c r="L504" s="31"/>
      <c r="M504" s="32"/>
      <c r="N504" s="36"/>
      <c r="O504" s="36"/>
      <c r="P504" s="36"/>
      <c r="Q504" s="15"/>
      <c r="R504" s="20"/>
      <c r="S504" s="20"/>
      <c r="T504" s="20"/>
      <c r="U504" s="20"/>
      <c r="V504" s="20"/>
      <c r="W504" s="19"/>
      <c r="X504" s="19"/>
      <c r="Y504" s="20"/>
      <c r="Z504" s="20"/>
      <c r="AA504" s="20"/>
      <c r="AB504" s="20"/>
      <c r="AC504" s="15"/>
      <c r="AD504" s="15"/>
      <c r="AE504" s="19"/>
      <c r="AF504" s="20"/>
      <c r="AG504" s="15"/>
      <c r="AH504" s="15"/>
      <c r="AI504" s="15"/>
      <c r="AJ504" s="15"/>
      <c r="AK504" s="15"/>
      <c r="AL504" s="15"/>
      <c r="AM504" s="29"/>
      <c r="AN504" s="19"/>
      <c r="AO504" s="21"/>
      <c r="AP504" s="22"/>
      <c r="AQ504" s="26"/>
      <c r="AR504" s="37"/>
      <c r="AS504" s="38"/>
      <c r="AT504" s="38"/>
      <c r="AU504" s="27"/>
    </row>
    <row r="505" spans="1:47" s="1" customFormat="1" ht="21" customHeight="1" x14ac:dyDescent="0.25">
      <c r="A505" s="83"/>
      <c r="B505" s="47"/>
      <c r="C505" s="80"/>
      <c r="D505" s="33"/>
      <c r="E505" s="48"/>
      <c r="F505" s="48"/>
      <c r="G505" s="48"/>
      <c r="H505" s="30"/>
      <c r="I505" s="30"/>
      <c r="J505" s="28"/>
      <c r="K505" s="31"/>
      <c r="L505" s="31"/>
      <c r="M505" s="32"/>
      <c r="N505" s="36"/>
      <c r="O505" s="36"/>
      <c r="P505" s="36"/>
      <c r="Q505" s="15"/>
      <c r="R505" s="20"/>
      <c r="S505" s="20"/>
      <c r="T505" s="20"/>
      <c r="U505" s="20"/>
      <c r="V505" s="20"/>
      <c r="W505" s="19"/>
      <c r="X505" s="19"/>
      <c r="Y505" s="20"/>
      <c r="Z505" s="20"/>
      <c r="AA505" s="20"/>
      <c r="AB505" s="20"/>
      <c r="AC505" s="15"/>
      <c r="AD505" s="15"/>
      <c r="AE505" s="19"/>
      <c r="AF505" s="20"/>
      <c r="AG505" s="15"/>
      <c r="AH505" s="15"/>
      <c r="AI505" s="15"/>
      <c r="AJ505" s="15"/>
      <c r="AK505" s="15"/>
      <c r="AL505" s="15"/>
      <c r="AM505" s="29"/>
      <c r="AN505" s="19"/>
      <c r="AO505" s="21"/>
      <c r="AP505" s="22"/>
      <c r="AQ505" s="26"/>
      <c r="AR505" s="37"/>
      <c r="AS505" s="38"/>
      <c r="AT505" s="38"/>
      <c r="AU505" s="27"/>
    </row>
    <row r="506" spans="1:47" s="1" customFormat="1" ht="21" customHeight="1" x14ac:dyDescent="0.25">
      <c r="A506" s="83"/>
      <c r="B506" s="47"/>
      <c r="C506" s="80"/>
      <c r="D506" s="33"/>
      <c r="E506" s="48"/>
      <c r="F506" s="48"/>
      <c r="G506" s="48"/>
      <c r="H506" s="30"/>
      <c r="I506" s="30"/>
      <c r="J506" s="28"/>
      <c r="K506" s="31"/>
      <c r="L506" s="31"/>
      <c r="M506" s="32"/>
      <c r="N506" s="36"/>
      <c r="O506" s="36"/>
      <c r="P506" s="36"/>
      <c r="Q506" s="15"/>
      <c r="R506" s="20"/>
      <c r="S506" s="20"/>
      <c r="T506" s="20"/>
      <c r="U506" s="20"/>
      <c r="V506" s="20"/>
      <c r="W506" s="19"/>
      <c r="X506" s="19"/>
      <c r="Y506" s="20"/>
      <c r="Z506" s="20"/>
      <c r="AA506" s="20"/>
      <c r="AB506" s="20"/>
      <c r="AC506" s="15"/>
      <c r="AD506" s="15"/>
      <c r="AE506" s="19"/>
      <c r="AF506" s="20"/>
      <c r="AG506" s="15"/>
      <c r="AH506" s="15"/>
      <c r="AI506" s="15"/>
      <c r="AJ506" s="15"/>
      <c r="AK506" s="15"/>
      <c r="AL506" s="15"/>
      <c r="AM506" s="29"/>
      <c r="AN506" s="19"/>
      <c r="AO506" s="21"/>
      <c r="AP506" s="22"/>
      <c r="AQ506" s="26"/>
      <c r="AR506" s="37"/>
      <c r="AS506" s="38"/>
      <c r="AT506" s="38"/>
      <c r="AU506" s="27"/>
    </row>
    <row r="507" spans="1:47" s="1" customFormat="1" ht="21" customHeight="1" x14ac:dyDescent="0.25">
      <c r="A507" s="83"/>
      <c r="B507" s="47"/>
      <c r="C507" s="80"/>
      <c r="D507" s="33"/>
      <c r="E507" s="48"/>
      <c r="F507" s="48"/>
      <c r="G507" s="48"/>
      <c r="H507" s="30"/>
      <c r="I507" s="30"/>
      <c r="J507" s="28"/>
      <c r="K507" s="31"/>
      <c r="L507" s="31"/>
      <c r="M507" s="32"/>
      <c r="N507" s="36"/>
      <c r="O507" s="36"/>
      <c r="P507" s="36"/>
      <c r="Q507" s="15"/>
      <c r="R507" s="20"/>
      <c r="S507" s="20"/>
      <c r="T507" s="20"/>
      <c r="U507" s="20"/>
      <c r="V507" s="20"/>
      <c r="W507" s="19"/>
      <c r="X507" s="19"/>
      <c r="Y507" s="20"/>
      <c r="Z507" s="20"/>
      <c r="AA507" s="20"/>
      <c r="AB507" s="20"/>
      <c r="AC507" s="15"/>
      <c r="AD507" s="15"/>
      <c r="AE507" s="19"/>
      <c r="AF507" s="20"/>
      <c r="AG507" s="15"/>
      <c r="AH507" s="15"/>
      <c r="AI507" s="15"/>
      <c r="AJ507" s="15"/>
      <c r="AK507" s="15"/>
      <c r="AL507" s="15"/>
      <c r="AM507" s="29"/>
      <c r="AN507" s="19"/>
      <c r="AO507" s="21"/>
      <c r="AP507" s="22"/>
      <c r="AQ507" s="26"/>
      <c r="AR507" s="37"/>
      <c r="AS507" s="38"/>
      <c r="AT507" s="38"/>
      <c r="AU507" s="27"/>
    </row>
    <row r="508" spans="1:47" s="1" customFormat="1" ht="21" customHeight="1" x14ac:dyDescent="0.25">
      <c r="A508" s="83"/>
      <c r="B508" s="47"/>
      <c r="C508" s="80"/>
      <c r="D508" s="33"/>
      <c r="E508" s="48"/>
      <c r="F508" s="48"/>
      <c r="G508" s="48"/>
      <c r="H508" s="30"/>
      <c r="I508" s="30"/>
      <c r="J508" s="28"/>
      <c r="K508" s="31"/>
      <c r="L508" s="31"/>
      <c r="M508" s="32"/>
      <c r="N508" s="36"/>
      <c r="O508" s="36"/>
      <c r="P508" s="36"/>
      <c r="Q508" s="15"/>
      <c r="R508" s="20"/>
      <c r="S508" s="20"/>
      <c r="T508" s="20"/>
      <c r="U508" s="20"/>
      <c r="V508" s="20"/>
      <c r="W508" s="19"/>
      <c r="X508" s="19"/>
      <c r="Y508" s="20"/>
      <c r="Z508" s="20"/>
      <c r="AA508" s="20"/>
      <c r="AB508" s="20"/>
      <c r="AC508" s="15"/>
      <c r="AD508" s="15"/>
      <c r="AE508" s="19"/>
      <c r="AF508" s="20"/>
      <c r="AG508" s="15"/>
      <c r="AH508" s="15"/>
      <c r="AI508" s="15"/>
      <c r="AJ508" s="15"/>
      <c r="AK508" s="15"/>
      <c r="AL508" s="15"/>
      <c r="AM508" s="29"/>
      <c r="AN508" s="19"/>
      <c r="AO508" s="21"/>
      <c r="AP508" s="22"/>
      <c r="AQ508" s="26"/>
      <c r="AR508" s="37"/>
      <c r="AS508" s="38"/>
      <c r="AT508" s="38"/>
      <c r="AU508" s="27"/>
    </row>
    <row r="509" spans="1:47" s="1" customFormat="1" ht="21" customHeight="1" x14ac:dyDescent="0.25">
      <c r="A509" s="83"/>
      <c r="B509" s="47"/>
      <c r="C509" s="80"/>
      <c r="D509" s="33"/>
      <c r="E509" s="48"/>
      <c r="F509" s="48"/>
      <c r="G509" s="48"/>
      <c r="H509" s="30"/>
      <c r="I509" s="30"/>
      <c r="J509" s="28"/>
      <c r="K509" s="31"/>
      <c r="L509" s="31"/>
      <c r="M509" s="32"/>
      <c r="N509" s="36"/>
      <c r="O509" s="36"/>
      <c r="P509" s="36"/>
      <c r="Q509" s="15"/>
      <c r="R509" s="20"/>
      <c r="S509" s="20"/>
      <c r="T509" s="20"/>
      <c r="U509" s="20"/>
      <c r="V509" s="20"/>
      <c r="W509" s="19"/>
      <c r="X509" s="19"/>
      <c r="Y509" s="20"/>
      <c r="Z509" s="20"/>
      <c r="AA509" s="20"/>
      <c r="AB509" s="20"/>
      <c r="AC509" s="15"/>
      <c r="AD509" s="15"/>
      <c r="AE509" s="19"/>
      <c r="AF509" s="20"/>
      <c r="AG509" s="15"/>
      <c r="AH509" s="15"/>
      <c r="AI509" s="15"/>
      <c r="AJ509" s="15"/>
      <c r="AK509" s="15"/>
      <c r="AL509" s="15"/>
      <c r="AM509" s="29"/>
      <c r="AN509" s="19"/>
      <c r="AO509" s="21"/>
      <c r="AP509" s="22"/>
      <c r="AQ509" s="26"/>
      <c r="AR509" s="37"/>
      <c r="AS509" s="38"/>
      <c r="AT509" s="38"/>
      <c r="AU509" s="27"/>
    </row>
    <row r="510" spans="1:47" s="1" customFormat="1" ht="21" customHeight="1" x14ac:dyDescent="0.25">
      <c r="A510" s="83"/>
      <c r="B510" s="47"/>
      <c r="C510" s="80"/>
      <c r="D510" s="33"/>
      <c r="E510" s="48"/>
      <c r="F510" s="48"/>
      <c r="G510" s="48"/>
      <c r="H510" s="30"/>
      <c r="I510" s="30"/>
      <c r="J510" s="28"/>
      <c r="K510" s="31"/>
      <c r="L510" s="31"/>
      <c r="M510" s="32"/>
      <c r="N510" s="36"/>
      <c r="O510" s="36"/>
      <c r="P510" s="36"/>
      <c r="Q510" s="15"/>
      <c r="R510" s="20"/>
      <c r="S510" s="20"/>
      <c r="T510" s="20"/>
      <c r="U510" s="20"/>
      <c r="V510" s="20"/>
      <c r="W510" s="19"/>
      <c r="X510" s="19"/>
      <c r="Y510" s="20"/>
      <c r="Z510" s="20"/>
      <c r="AA510" s="20"/>
      <c r="AB510" s="20"/>
      <c r="AC510" s="15"/>
      <c r="AD510" s="15"/>
      <c r="AE510" s="19"/>
      <c r="AF510" s="20"/>
      <c r="AG510" s="15"/>
      <c r="AH510" s="15"/>
      <c r="AI510" s="15"/>
      <c r="AJ510" s="15"/>
      <c r="AK510" s="15"/>
      <c r="AL510" s="15"/>
      <c r="AM510" s="29"/>
      <c r="AN510" s="19"/>
      <c r="AO510" s="21"/>
      <c r="AP510" s="22"/>
      <c r="AQ510" s="26"/>
      <c r="AR510" s="37"/>
      <c r="AS510" s="38"/>
      <c r="AT510" s="38"/>
      <c r="AU510" s="27"/>
    </row>
    <row r="511" spans="1:47" s="1" customFormat="1" ht="21" customHeight="1" x14ac:dyDescent="0.25">
      <c r="A511" s="83"/>
      <c r="B511" s="47"/>
      <c r="C511" s="80"/>
      <c r="D511" s="33"/>
      <c r="E511" s="48"/>
      <c r="F511" s="48"/>
      <c r="G511" s="48"/>
      <c r="H511" s="30"/>
      <c r="I511" s="30"/>
      <c r="J511" s="28"/>
      <c r="K511" s="31"/>
      <c r="L511" s="31"/>
      <c r="M511" s="32"/>
      <c r="N511" s="36"/>
      <c r="O511" s="36"/>
      <c r="P511" s="36"/>
      <c r="Q511" s="15"/>
      <c r="R511" s="20"/>
      <c r="S511" s="20"/>
      <c r="T511" s="20"/>
      <c r="U511" s="20"/>
      <c r="V511" s="20"/>
      <c r="W511" s="19"/>
      <c r="X511" s="19"/>
      <c r="Y511" s="20"/>
      <c r="Z511" s="20"/>
      <c r="AA511" s="20"/>
      <c r="AB511" s="20"/>
      <c r="AC511" s="15"/>
      <c r="AD511" s="15"/>
      <c r="AE511" s="19"/>
      <c r="AF511" s="20"/>
      <c r="AG511" s="15"/>
      <c r="AH511" s="15"/>
      <c r="AI511" s="15"/>
      <c r="AJ511" s="15"/>
      <c r="AK511" s="15"/>
      <c r="AL511" s="15"/>
      <c r="AM511" s="29"/>
      <c r="AN511" s="19"/>
      <c r="AO511" s="21"/>
      <c r="AP511" s="22"/>
      <c r="AQ511" s="26"/>
      <c r="AR511" s="37"/>
      <c r="AS511" s="38"/>
      <c r="AT511" s="38"/>
      <c r="AU511" s="27"/>
    </row>
    <row r="512" spans="1:47" s="1" customFormat="1" ht="21" customHeight="1" x14ac:dyDescent="0.25">
      <c r="A512" s="83"/>
      <c r="B512" s="47"/>
      <c r="C512" s="80"/>
      <c r="D512" s="33"/>
      <c r="E512" s="48"/>
      <c r="F512" s="48"/>
      <c r="G512" s="48"/>
      <c r="H512" s="30"/>
      <c r="I512" s="30"/>
      <c r="J512" s="28"/>
      <c r="K512" s="31"/>
      <c r="L512" s="31"/>
      <c r="M512" s="32"/>
      <c r="N512" s="36"/>
      <c r="O512" s="36"/>
      <c r="P512" s="36"/>
      <c r="Q512" s="15"/>
      <c r="R512" s="20"/>
      <c r="S512" s="20"/>
      <c r="T512" s="20"/>
      <c r="U512" s="20"/>
      <c r="V512" s="20"/>
      <c r="W512" s="19"/>
      <c r="X512" s="19"/>
      <c r="Y512" s="20"/>
      <c r="Z512" s="20"/>
      <c r="AA512" s="20"/>
      <c r="AB512" s="20"/>
      <c r="AC512" s="15"/>
      <c r="AD512" s="15"/>
      <c r="AE512" s="19"/>
      <c r="AF512" s="20"/>
      <c r="AG512" s="15"/>
      <c r="AH512" s="15"/>
      <c r="AI512" s="15"/>
      <c r="AJ512" s="15"/>
      <c r="AK512" s="15"/>
      <c r="AL512" s="15"/>
      <c r="AM512" s="29"/>
      <c r="AN512" s="19"/>
      <c r="AO512" s="21"/>
      <c r="AP512" s="22"/>
      <c r="AQ512" s="26"/>
      <c r="AR512" s="37"/>
      <c r="AS512" s="38"/>
      <c r="AT512" s="38"/>
      <c r="AU512" s="27"/>
    </row>
    <row r="513" spans="1:47" s="1" customFormat="1" ht="21" customHeight="1" x14ac:dyDescent="0.25">
      <c r="A513" s="83"/>
      <c r="B513" s="47"/>
      <c r="C513" s="80"/>
      <c r="D513" s="33"/>
      <c r="E513" s="48"/>
      <c r="F513" s="48"/>
      <c r="G513" s="48"/>
      <c r="H513" s="30"/>
      <c r="I513" s="30"/>
      <c r="J513" s="28"/>
      <c r="K513" s="31"/>
      <c r="L513" s="31"/>
      <c r="M513" s="32"/>
      <c r="N513" s="36"/>
      <c r="O513" s="36"/>
      <c r="P513" s="36"/>
      <c r="Q513" s="15"/>
      <c r="R513" s="20"/>
      <c r="S513" s="20"/>
      <c r="T513" s="20"/>
      <c r="U513" s="20"/>
      <c r="V513" s="20"/>
      <c r="W513" s="19"/>
      <c r="X513" s="19"/>
      <c r="Y513" s="20"/>
      <c r="Z513" s="20"/>
      <c r="AA513" s="20"/>
      <c r="AB513" s="20"/>
      <c r="AC513" s="15"/>
      <c r="AD513" s="15"/>
      <c r="AE513" s="19"/>
      <c r="AF513" s="20"/>
      <c r="AG513" s="15"/>
      <c r="AH513" s="15"/>
      <c r="AI513" s="15"/>
      <c r="AJ513" s="15"/>
      <c r="AK513" s="15"/>
      <c r="AL513" s="15"/>
      <c r="AM513" s="29"/>
      <c r="AN513" s="19"/>
      <c r="AO513" s="21"/>
      <c r="AP513" s="22"/>
      <c r="AQ513" s="26"/>
      <c r="AR513" s="37"/>
      <c r="AS513" s="38"/>
      <c r="AT513" s="38"/>
      <c r="AU513" s="27"/>
    </row>
    <row r="514" spans="1:47" s="1" customFormat="1" ht="21" customHeight="1" x14ac:dyDescent="0.25">
      <c r="A514" s="83"/>
      <c r="B514" s="47"/>
      <c r="C514" s="80"/>
      <c r="D514" s="33"/>
      <c r="E514" s="48"/>
      <c r="F514" s="48"/>
      <c r="G514" s="48"/>
      <c r="H514" s="30"/>
      <c r="I514" s="30"/>
      <c r="J514" s="28"/>
      <c r="K514" s="31"/>
      <c r="L514" s="31"/>
      <c r="M514" s="32"/>
      <c r="N514" s="36"/>
      <c r="O514" s="36"/>
      <c r="P514" s="36"/>
      <c r="Q514" s="15"/>
      <c r="R514" s="20"/>
      <c r="S514" s="20"/>
      <c r="T514" s="20"/>
      <c r="U514" s="20"/>
      <c r="V514" s="20"/>
      <c r="W514" s="19"/>
      <c r="X514" s="19"/>
      <c r="Y514" s="20"/>
      <c r="Z514" s="20"/>
      <c r="AA514" s="20"/>
      <c r="AB514" s="20"/>
      <c r="AC514" s="15"/>
      <c r="AD514" s="15"/>
      <c r="AE514" s="19"/>
      <c r="AF514" s="20"/>
      <c r="AG514" s="15"/>
      <c r="AH514" s="15"/>
      <c r="AI514" s="15"/>
      <c r="AJ514" s="15"/>
      <c r="AK514" s="15"/>
      <c r="AL514" s="15"/>
      <c r="AM514" s="29"/>
      <c r="AN514" s="19"/>
      <c r="AO514" s="21"/>
      <c r="AP514" s="22"/>
      <c r="AQ514" s="26"/>
      <c r="AR514" s="37"/>
      <c r="AS514" s="38"/>
      <c r="AT514" s="38"/>
      <c r="AU514" s="27"/>
    </row>
    <row r="515" spans="1:47" s="1" customFormat="1" ht="21" customHeight="1" x14ac:dyDescent="0.25">
      <c r="A515" s="83"/>
      <c r="B515" s="47"/>
      <c r="C515" s="80"/>
      <c r="D515" s="33"/>
      <c r="E515" s="48"/>
      <c r="F515" s="48"/>
      <c r="G515" s="48"/>
      <c r="H515" s="30"/>
      <c r="I515" s="30"/>
      <c r="J515" s="28"/>
      <c r="K515" s="31"/>
      <c r="L515" s="31"/>
      <c r="M515" s="32"/>
      <c r="N515" s="36"/>
      <c r="O515" s="36"/>
      <c r="P515" s="36"/>
      <c r="Q515" s="15"/>
      <c r="R515" s="20"/>
      <c r="S515" s="20"/>
      <c r="T515" s="20"/>
      <c r="U515" s="20"/>
      <c r="V515" s="20"/>
      <c r="W515" s="19"/>
      <c r="X515" s="19"/>
      <c r="Y515" s="20"/>
      <c r="Z515" s="20"/>
      <c r="AA515" s="20"/>
      <c r="AB515" s="20"/>
      <c r="AC515" s="15"/>
      <c r="AD515" s="15"/>
      <c r="AE515" s="19"/>
      <c r="AF515" s="20"/>
      <c r="AG515" s="15"/>
      <c r="AH515" s="15"/>
      <c r="AI515" s="15"/>
      <c r="AJ515" s="15"/>
      <c r="AK515" s="15"/>
      <c r="AL515" s="15"/>
      <c r="AM515" s="29"/>
      <c r="AN515" s="19"/>
      <c r="AO515" s="21"/>
      <c r="AP515" s="22"/>
      <c r="AQ515" s="26"/>
      <c r="AR515" s="37"/>
      <c r="AS515" s="38"/>
      <c r="AT515" s="38"/>
      <c r="AU515" s="27"/>
    </row>
    <row r="516" spans="1:47" s="1" customFormat="1" ht="21" customHeight="1" x14ac:dyDescent="0.25">
      <c r="A516" s="83"/>
      <c r="B516" s="47"/>
      <c r="C516" s="80"/>
      <c r="D516" s="33"/>
      <c r="E516" s="48"/>
      <c r="F516" s="48"/>
      <c r="G516" s="48"/>
      <c r="H516" s="30"/>
      <c r="I516" s="30"/>
      <c r="J516" s="28"/>
      <c r="K516" s="31"/>
      <c r="L516" s="31"/>
      <c r="M516" s="32"/>
      <c r="N516" s="36"/>
      <c r="O516" s="36"/>
      <c r="P516" s="36"/>
      <c r="Q516" s="15"/>
      <c r="R516" s="20"/>
      <c r="S516" s="20"/>
      <c r="T516" s="20"/>
      <c r="U516" s="20"/>
      <c r="V516" s="20"/>
      <c r="W516" s="19"/>
      <c r="X516" s="19"/>
      <c r="Y516" s="20"/>
      <c r="Z516" s="20"/>
      <c r="AA516" s="20"/>
      <c r="AB516" s="20"/>
      <c r="AC516" s="15"/>
      <c r="AD516" s="15"/>
      <c r="AE516" s="19"/>
      <c r="AF516" s="20"/>
      <c r="AG516" s="15"/>
      <c r="AH516" s="15"/>
      <c r="AI516" s="15"/>
      <c r="AJ516" s="15"/>
      <c r="AK516" s="15"/>
      <c r="AL516" s="15"/>
      <c r="AM516" s="29"/>
      <c r="AN516" s="19"/>
      <c r="AO516" s="21"/>
      <c r="AP516" s="22"/>
      <c r="AQ516" s="26"/>
      <c r="AR516" s="37"/>
      <c r="AS516" s="38"/>
      <c r="AT516" s="38"/>
      <c r="AU516" s="27"/>
    </row>
    <row r="517" spans="1:47" s="1" customFormat="1" ht="21" customHeight="1" x14ac:dyDescent="0.25">
      <c r="A517" s="83"/>
      <c r="B517" s="47"/>
      <c r="C517" s="80"/>
      <c r="D517" s="33"/>
      <c r="E517" s="48"/>
      <c r="F517" s="48"/>
      <c r="G517" s="48"/>
      <c r="H517" s="30"/>
      <c r="I517" s="30"/>
      <c r="J517" s="28"/>
      <c r="K517" s="31"/>
      <c r="L517" s="31"/>
      <c r="M517" s="32"/>
      <c r="N517" s="36"/>
      <c r="O517" s="36"/>
      <c r="P517" s="36"/>
      <c r="Q517" s="15"/>
      <c r="R517" s="20"/>
      <c r="S517" s="20"/>
      <c r="T517" s="20"/>
      <c r="U517" s="20"/>
      <c r="V517" s="20"/>
      <c r="W517" s="19"/>
      <c r="X517" s="19"/>
      <c r="Y517" s="20"/>
      <c r="Z517" s="20"/>
      <c r="AA517" s="20"/>
      <c r="AB517" s="20"/>
      <c r="AC517" s="15"/>
      <c r="AD517" s="15"/>
      <c r="AE517" s="19"/>
      <c r="AF517" s="20"/>
      <c r="AG517" s="15"/>
      <c r="AH517" s="15"/>
      <c r="AI517" s="15"/>
      <c r="AJ517" s="15"/>
      <c r="AK517" s="15"/>
      <c r="AL517" s="15"/>
      <c r="AM517" s="29"/>
      <c r="AN517" s="19"/>
      <c r="AO517" s="21"/>
      <c r="AP517" s="22"/>
      <c r="AQ517" s="26"/>
      <c r="AR517" s="37"/>
      <c r="AS517" s="38"/>
      <c r="AT517" s="38"/>
      <c r="AU517" s="27"/>
    </row>
    <row r="518" spans="1:47" s="1" customFormat="1" ht="21" customHeight="1" x14ac:dyDescent="0.25">
      <c r="A518" s="83"/>
      <c r="B518" s="47"/>
      <c r="C518" s="80"/>
      <c r="D518" s="33"/>
      <c r="E518" s="48"/>
      <c r="F518" s="48"/>
      <c r="G518" s="48"/>
      <c r="H518" s="30"/>
      <c r="I518" s="30"/>
      <c r="J518" s="28"/>
      <c r="K518" s="31"/>
      <c r="L518" s="31"/>
      <c r="M518" s="32"/>
      <c r="N518" s="36"/>
      <c r="O518" s="36"/>
      <c r="P518" s="36"/>
      <c r="Q518" s="15"/>
      <c r="R518" s="20"/>
      <c r="S518" s="20"/>
      <c r="T518" s="20"/>
      <c r="U518" s="20"/>
      <c r="V518" s="20"/>
      <c r="W518" s="19"/>
      <c r="X518" s="19"/>
      <c r="Y518" s="20"/>
      <c r="Z518" s="20"/>
      <c r="AA518" s="20"/>
      <c r="AB518" s="20"/>
      <c r="AC518" s="15"/>
      <c r="AD518" s="15"/>
      <c r="AE518" s="19"/>
      <c r="AF518" s="20"/>
      <c r="AG518" s="15"/>
      <c r="AH518" s="15"/>
      <c r="AI518" s="15"/>
      <c r="AJ518" s="15"/>
      <c r="AK518" s="15"/>
      <c r="AL518" s="15"/>
      <c r="AM518" s="29"/>
      <c r="AN518" s="19"/>
      <c r="AO518" s="21"/>
      <c r="AP518" s="22"/>
      <c r="AQ518" s="26"/>
      <c r="AR518" s="37"/>
      <c r="AS518" s="38"/>
      <c r="AT518" s="38"/>
      <c r="AU518" s="27"/>
    </row>
    <row r="519" spans="1:47" s="1" customFormat="1" ht="21" customHeight="1" x14ac:dyDescent="0.25">
      <c r="A519" s="83"/>
      <c r="B519" s="47"/>
      <c r="C519" s="80"/>
      <c r="D519" s="33"/>
      <c r="E519" s="48"/>
      <c r="F519" s="48"/>
      <c r="G519" s="48"/>
      <c r="H519" s="30"/>
      <c r="I519" s="30"/>
      <c r="J519" s="28"/>
      <c r="K519" s="31"/>
      <c r="L519" s="31"/>
      <c r="M519" s="32"/>
      <c r="N519" s="36"/>
      <c r="O519" s="36"/>
      <c r="P519" s="36"/>
      <c r="Q519" s="15"/>
      <c r="R519" s="20"/>
      <c r="S519" s="20"/>
      <c r="T519" s="20"/>
      <c r="U519" s="20"/>
      <c r="V519" s="20"/>
      <c r="W519" s="19"/>
      <c r="X519" s="19"/>
      <c r="Y519" s="20"/>
      <c r="Z519" s="20"/>
      <c r="AA519" s="20"/>
      <c r="AB519" s="20"/>
      <c r="AC519" s="15"/>
      <c r="AD519" s="15"/>
      <c r="AE519" s="19"/>
      <c r="AF519" s="20"/>
      <c r="AG519" s="15"/>
      <c r="AH519" s="15"/>
      <c r="AI519" s="15"/>
      <c r="AJ519" s="15"/>
      <c r="AK519" s="15"/>
      <c r="AL519" s="15"/>
      <c r="AM519" s="29"/>
      <c r="AN519" s="19"/>
      <c r="AO519" s="21"/>
      <c r="AP519" s="22"/>
      <c r="AQ519" s="26"/>
      <c r="AR519" s="37"/>
      <c r="AS519" s="38"/>
      <c r="AT519" s="38"/>
      <c r="AU519" s="27"/>
    </row>
    <row r="520" spans="1:47" s="1" customFormat="1" ht="21" customHeight="1" x14ac:dyDescent="0.25">
      <c r="A520" s="83"/>
      <c r="B520" s="47"/>
      <c r="C520" s="80"/>
      <c r="D520" s="33"/>
      <c r="E520" s="48"/>
      <c r="F520" s="48"/>
      <c r="G520" s="48"/>
      <c r="H520" s="30"/>
      <c r="I520" s="30"/>
      <c r="J520" s="28"/>
      <c r="K520" s="31"/>
      <c r="L520" s="31"/>
      <c r="M520" s="32"/>
      <c r="N520" s="36"/>
      <c r="O520" s="36"/>
      <c r="P520" s="36"/>
      <c r="Q520" s="15"/>
      <c r="R520" s="20"/>
      <c r="S520" s="20"/>
      <c r="T520" s="20"/>
      <c r="U520" s="20"/>
      <c r="V520" s="20"/>
      <c r="W520" s="19"/>
      <c r="X520" s="19"/>
      <c r="Y520" s="20"/>
      <c r="Z520" s="20"/>
      <c r="AA520" s="20"/>
      <c r="AB520" s="20"/>
      <c r="AC520" s="15"/>
      <c r="AD520" s="15"/>
      <c r="AE520" s="19"/>
      <c r="AF520" s="20"/>
      <c r="AG520" s="15"/>
      <c r="AH520" s="15"/>
      <c r="AI520" s="15"/>
      <c r="AJ520" s="15"/>
      <c r="AK520" s="15"/>
      <c r="AL520" s="15"/>
      <c r="AM520" s="29"/>
      <c r="AN520" s="19"/>
      <c r="AO520" s="21"/>
      <c r="AP520" s="22"/>
      <c r="AQ520" s="26"/>
      <c r="AR520" s="37"/>
      <c r="AS520" s="38"/>
      <c r="AT520" s="38"/>
      <c r="AU520" s="27"/>
    </row>
    <row r="521" spans="1:47" s="1" customFormat="1" ht="21" customHeight="1" x14ac:dyDescent="0.25">
      <c r="A521" s="83"/>
      <c r="B521" s="47"/>
      <c r="C521" s="80"/>
      <c r="D521" s="33"/>
      <c r="E521" s="48"/>
      <c r="F521" s="48"/>
      <c r="G521" s="48"/>
      <c r="H521" s="30"/>
      <c r="I521" s="30"/>
      <c r="J521" s="28"/>
      <c r="K521" s="31"/>
      <c r="L521" s="31"/>
      <c r="M521" s="32"/>
      <c r="N521" s="36"/>
      <c r="O521" s="36"/>
      <c r="P521" s="36"/>
      <c r="Q521" s="15"/>
      <c r="R521" s="20"/>
      <c r="S521" s="20"/>
      <c r="T521" s="20"/>
      <c r="U521" s="20"/>
      <c r="V521" s="20"/>
      <c r="W521" s="19"/>
      <c r="X521" s="19"/>
      <c r="Y521" s="20"/>
      <c r="Z521" s="20"/>
      <c r="AA521" s="20"/>
      <c r="AB521" s="20"/>
      <c r="AC521" s="15"/>
      <c r="AD521" s="15"/>
      <c r="AE521" s="19"/>
      <c r="AF521" s="20"/>
      <c r="AG521" s="15"/>
      <c r="AH521" s="15"/>
      <c r="AI521" s="15"/>
      <c r="AJ521" s="15"/>
      <c r="AK521" s="15"/>
      <c r="AL521" s="15"/>
      <c r="AM521" s="29"/>
      <c r="AN521" s="19"/>
      <c r="AO521" s="21"/>
      <c r="AP521" s="22"/>
      <c r="AQ521" s="26"/>
      <c r="AR521" s="37"/>
      <c r="AS521" s="38"/>
      <c r="AT521" s="38"/>
      <c r="AU521" s="27"/>
    </row>
    <row r="522" spans="1:47" s="1" customFormat="1" ht="21" customHeight="1" x14ac:dyDescent="0.25">
      <c r="A522" s="83"/>
      <c r="B522" s="47"/>
      <c r="C522" s="80"/>
      <c r="D522" s="33"/>
      <c r="E522" s="48"/>
      <c r="F522" s="48"/>
      <c r="G522" s="48"/>
      <c r="H522" s="30"/>
      <c r="I522" s="30"/>
      <c r="J522" s="28"/>
      <c r="K522" s="31"/>
      <c r="L522" s="31"/>
      <c r="M522" s="32"/>
      <c r="N522" s="36"/>
      <c r="O522" s="36"/>
      <c r="P522" s="36"/>
      <c r="Q522" s="15"/>
      <c r="R522" s="20"/>
      <c r="S522" s="20"/>
      <c r="T522" s="20"/>
      <c r="U522" s="20"/>
      <c r="V522" s="20"/>
      <c r="W522" s="19"/>
      <c r="X522" s="19"/>
      <c r="Y522" s="20"/>
      <c r="Z522" s="20"/>
      <c r="AA522" s="20"/>
      <c r="AB522" s="20"/>
      <c r="AC522" s="15"/>
      <c r="AD522" s="15"/>
      <c r="AE522" s="19"/>
      <c r="AF522" s="20"/>
      <c r="AG522" s="15"/>
      <c r="AH522" s="15"/>
      <c r="AI522" s="15"/>
      <c r="AJ522" s="15"/>
      <c r="AK522" s="15"/>
      <c r="AL522" s="15"/>
      <c r="AM522" s="29"/>
      <c r="AN522" s="19"/>
      <c r="AO522" s="21"/>
      <c r="AP522" s="22"/>
      <c r="AQ522" s="26"/>
      <c r="AR522" s="37"/>
      <c r="AS522" s="38"/>
      <c r="AT522" s="38"/>
      <c r="AU522" s="27"/>
    </row>
    <row r="523" spans="1:47" s="1" customFormat="1" ht="21" customHeight="1" x14ac:dyDescent="0.25">
      <c r="A523" s="83"/>
      <c r="B523" s="47"/>
      <c r="C523" s="80"/>
      <c r="D523" s="33"/>
      <c r="E523" s="48"/>
      <c r="F523" s="48"/>
      <c r="G523" s="48"/>
      <c r="H523" s="30"/>
      <c r="I523" s="30"/>
      <c r="J523" s="28"/>
      <c r="K523" s="31"/>
      <c r="L523" s="31"/>
      <c r="M523" s="32"/>
      <c r="N523" s="36"/>
      <c r="O523" s="36"/>
      <c r="P523" s="36"/>
      <c r="Q523" s="15"/>
      <c r="R523" s="20"/>
      <c r="S523" s="20"/>
      <c r="T523" s="20"/>
      <c r="U523" s="20"/>
      <c r="V523" s="20"/>
      <c r="W523" s="19"/>
      <c r="X523" s="19"/>
      <c r="Y523" s="20"/>
      <c r="Z523" s="20"/>
      <c r="AA523" s="20"/>
      <c r="AB523" s="20"/>
      <c r="AC523" s="15"/>
      <c r="AD523" s="15"/>
      <c r="AE523" s="19"/>
      <c r="AF523" s="20"/>
      <c r="AG523" s="15"/>
      <c r="AH523" s="15"/>
      <c r="AI523" s="15"/>
      <c r="AJ523" s="15"/>
      <c r="AK523" s="15"/>
      <c r="AL523" s="15"/>
      <c r="AM523" s="29"/>
      <c r="AN523" s="19"/>
      <c r="AO523" s="21"/>
      <c r="AP523" s="22"/>
      <c r="AQ523" s="26"/>
      <c r="AR523" s="37"/>
      <c r="AS523" s="38"/>
      <c r="AT523" s="38"/>
      <c r="AU523" s="27"/>
    </row>
    <row r="524" spans="1:47" s="1" customFormat="1" ht="21" customHeight="1" x14ac:dyDescent="0.25">
      <c r="A524" s="83"/>
      <c r="B524" s="47"/>
      <c r="C524" s="80"/>
      <c r="D524" s="33"/>
      <c r="E524" s="48"/>
      <c r="F524" s="48"/>
      <c r="G524" s="48"/>
      <c r="H524" s="30"/>
      <c r="I524" s="30"/>
      <c r="J524" s="28"/>
      <c r="K524" s="31"/>
      <c r="L524" s="31"/>
      <c r="M524" s="32"/>
      <c r="N524" s="36"/>
      <c r="O524" s="36"/>
      <c r="P524" s="36"/>
      <c r="Q524" s="15"/>
      <c r="R524" s="20"/>
      <c r="S524" s="20"/>
      <c r="T524" s="20"/>
      <c r="U524" s="20"/>
      <c r="V524" s="20"/>
      <c r="W524" s="19"/>
      <c r="X524" s="19"/>
      <c r="Y524" s="20"/>
      <c r="Z524" s="20"/>
      <c r="AA524" s="20"/>
      <c r="AB524" s="20"/>
      <c r="AC524" s="15"/>
      <c r="AD524" s="15"/>
      <c r="AE524" s="19"/>
      <c r="AF524" s="20"/>
      <c r="AG524" s="15"/>
      <c r="AH524" s="15"/>
      <c r="AI524" s="15"/>
      <c r="AJ524" s="15"/>
      <c r="AK524" s="15"/>
      <c r="AL524" s="15"/>
      <c r="AM524" s="29"/>
      <c r="AN524" s="19"/>
      <c r="AO524" s="21"/>
      <c r="AP524" s="22"/>
      <c r="AQ524" s="26"/>
      <c r="AR524" s="37"/>
      <c r="AS524" s="38"/>
      <c r="AT524" s="38"/>
      <c r="AU524" s="27"/>
    </row>
    <row r="525" spans="1:47" s="1" customFormat="1" ht="21" customHeight="1" x14ac:dyDescent="0.25">
      <c r="A525" s="83"/>
      <c r="B525" s="47"/>
      <c r="C525" s="80"/>
      <c r="D525" s="33"/>
      <c r="E525" s="48"/>
      <c r="F525" s="48"/>
      <c r="G525" s="48"/>
      <c r="H525" s="30"/>
      <c r="I525" s="30"/>
      <c r="J525" s="28"/>
      <c r="K525" s="31"/>
      <c r="L525" s="31"/>
      <c r="M525" s="32"/>
      <c r="N525" s="36"/>
      <c r="O525" s="36"/>
      <c r="P525" s="36"/>
      <c r="Q525" s="15"/>
      <c r="R525" s="20"/>
      <c r="S525" s="20"/>
      <c r="T525" s="20"/>
      <c r="U525" s="20"/>
      <c r="V525" s="20"/>
      <c r="W525" s="19"/>
      <c r="X525" s="19"/>
      <c r="Y525" s="20"/>
      <c r="Z525" s="20"/>
      <c r="AA525" s="20"/>
      <c r="AB525" s="20"/>
      <c r="AC525" s="15"/>
      <c r="AD525" s="15"/>
      <c r="AE525" s="19"/>
      <c r="AF525" s="20"/>
      <c r="AG525" s="15"/>
      <c r="AH525" s="15"/>
      <c r="AI525" s="15"/>
      <c r="AJ525" s="15"/>
      <c r="AK525" s="15"/>
      <c r="AL525" s="15"/>
      <c r="AM525" s="29"/>
      <c r="AN525" s="19"/>
      <c r="AO525" s="21"/>
      <c r="AP525" s="22"/>
      <c r="AQ525" s="26"/>
      <c r="AR525" s="37"/>
      <c r="AS525" s="38"/>
      <c r="AT525" s="38"/>
      <c r="AU525" s="27"/>
    </row>
    <row r="526" spans="1:47" s="1" customFormat="1" ht="21" customHeight="1" x14ac:dyDescent="0.25">
      <c r="A526" s="83"/>
      <c r="B526" s="47"/>
      <c r="C526" s="80"/>
      <c r="D526" s="33"/>
      <c r="E526" s="48"/>
      <c r="F526" s="48"/>
      <c r="G526" s="48"/>
      <c r="H526" s="30"/>
      <c r="I526" s="30"/>
      <c r="J526" s="28"/>
      <c r="K526" s="31"/>
      <c r="L526" s="31"/>
      <c r="M526" s="32"/>
      <c r="N526" s="36"/>
      <c r="O526" s="36"/>
      <c r="P526" s="36"/>
      <c r="Q526" s="15"/>
      <c r="R526" s="20"/>
      <c r="S526" s="20"/>
      <c r="T526" s="20"/>
      <c r="U526" s="20"/>
      <c r="V526" s="20"/>
      <c r="W526" s="19"/>
      <c r="X526" s="19"/>
      <c r="Y526" s="20"/>
      <c r="Z526" s="20"/>
      <c r="AA526" s="20"/>
      <c r="AB526" s="20"/>
      <c r="AC526" s="15"/>
      <c r="AD526" s="15"/>
      <c r="AE526" s="19"/>
      <c r="AF526" s="20"/>
      <c r="AG526" s="15"/>
      <c r="AH526" s="15"/>
      <c r="AI526" s="15"/>
      <c r="AJ526" s="15"/>
      <c r="AK526" s="15"/>
      <c r="AL526" s="15"/>
      <c r="AM526" s="29"/>
      <c r="AN526" s="19"/>
      <c r="AO526" s="21"/>
      <c r="AP526" s="22"/>
      <c r="AQ526" s="26"/>
      <c r="AR526" s="37"/>
      <c r="AS526" s="38"/>
      <c r="AT526" s="38"/>
      <c r="AU526" s="27"/>
    </row>
    <row r="527" spans="1:47" s="1" customFormat="1" ht="21" customHeight="1" x14ac:dyDescent="0.25">
      <c r="A527" s="83"/>
      <c r="B527" s="47"/>
      <c r="C527" s="80"/>
      <c r="D527" s="33"/>
      <c r="E527" s="48"/>
      <c r="F527" s="48"/>
      <c r="G527" s="48"/>
      <c r="H527" s="30"/>
      <c r="I527" s="30"/>
      <c r="J527" s="28"/>
      <c r="K527" s="31"/>
      <c r="L527" s="31"/>
      <c r="M527" s="32"/>
      <c r="N527" s="36"/>
      <c r="O527" s="36"/>
      <c r="P527" s="36"/>
      <c r="Q527" s="15"/>
      <c r="R527" s="20"/>
      <c r="S527" s="20"/>
      <c r="T527" s="20"/>
      <c r="U527" s="20"/>
      <c r="V527" s="20"/>
      <c r="W527" s="19"/>
      <c r="X527" s="19"/>
      <c r="Y527" s="20"/>
      <c r="Z527" s="20"/>
      <c r="AA527" s="20"/>
      <c r="AB527" s="20"/>
      <c r="AC527" s="15"/>
      <c r="AD527" s="15"/>
      <c r="AE527" s="19"/>
      <c r="AF527" s="20"/>
      <c r="AG527" s="15"/>
      <c r="AH527" s="15"/>
      <c r="AI527" s="15"/>
      <c r="AJ527" s="15"/>
      <c r="AK527" s="15"/>
      <c r="AL527" s="15"/>
      <c r="AM527" s="29"/>
      <c r="AN527" s="19"/>
      <c r="AO527" s="21"/>
      <c r="AP527" s="22"/>
      <c r="AQ527" s="26"/>
      <c r="AR527" s="37"/>
      <c r="AS527" s="38"/>
      <c r="AT527" s="38"/>
      <c r="AU527" s="27"/>
    </row>
    <row r="528" spans="1:47" s="1" customFormat="1" ht="21" customHeight="1" x14ac:dyDescent="0.25">
      <c r="A528" s="83"/>
      <c r="B528" s="47"/>
      <c r="C528" s="80"/>
      <c r="D528" s="33"/>
      <c r="E528" s="48"/>
      <c r="F528" s="48"/>
      <c r="G528" s="48"/>
      <c r="H528" s="30"/>
      <c r="I528" s="30"/>
      <c r="J528" s="28"/>
      <c r="K528" s="31"/>
      <c r="L528" s="31"/>
      <c r="M528" s="32"/>
      <c r="N528" s="36"/>
      <c r="O528" s="36"/>
      <c r="P528" s="36"/>
      <c r="Q528" s="15"/>
      <c r="R528" s="20"/>
      <c r="S528" s="20"/>
      <c r="T528" s="20"/>
      <c r="U528" s="20"/>
      <c r="V528" s="20"/>
      <c r="W528" s="19"/>
      <c r="X528" s="19"/>
      <c r="Y528" s="20"/>
      <c r="Z528" s="20"/>
      <c r="AA528" s="20"/>
      <c r="AB528" s="20"/>
      <c r="AC528" s="15"/>
      <c r="AD528" s="15"/>
      <c r="AE528" s="19"/>
      <c r="AF528" s="20"/>
      <c r="AG528" s="15"/>
      <c r="AH528" s="15"/>
      <c r="AI528" s="15"/>
      <c r="AJ528" s="15"/>
      <c r="AK528" s="15"/>
      <c r="AL528" s="15"/>
      <c r="AM528" s="29"/>
      <c r="AN528" s="19"/>
      <c r="AO528" s="21"/>
      <c r="AP528" s="22"/>
      <c r="AQ528" s="26"/>
      <c r="AR528" s="37"/>
      <c r="AS528" s="38"/>
      <c r="AT528" s="38"/>
      <c r="AU528" s="27"/>
    </row>
    <row r="529" spans="1:47" s="1" customFormat="1" ht="21" customHeight="1" x14ac:dyDescent="0.25">
      <c r="A529" s="83"/>
      <c r="B529" s="47"/>
      <c r="C529" s="80"/>
      <c r="D529" s="33"/>
      <c r="E529" s="48"/>
      <c r="F529" s="48"/>
      <c r="G529" s="48"/>
      <c r="H529" s="30"/>
      <c r="I529" s="30"/>
      <c r="J529" s="28"/>
      <c r="K529" s="31"/>
      <c r="L529" s="31"/>
      <c r="M529" s="32"/>
      <c r="N529" s="36"/>
      <c r="O529" s="36"/>
      <c r="P529" s="36"/>
      <c r="Q529" s="15"/>
      <c r="R529" s="20"/>
      <c r="S529" s="20"/>
      <c r="T529" s="20"/>
      <c r="U529" s="20"/>
      <c r="V529" s="20"/>
      <c r="W529" s="19"/>
      <c r="X529" s="19"/>
      <c r="Y529" s="20"/>
      <c r="Z529" s="20"/>
      <c r="AA529" s="20"/>
      <c r="AB529" s="20"/>
      <c r="AC529" s="15"/>
      <c r="AD529" s="15"/>
      <c r="AE529" s="19"/>
      <c r="AF529" s="20"/>
      <c r="AG529" s="15"/>
      <c r="AH529" s="15"/>
      <c r="AI529" s="15"/>
      <c r="AJ529" s="15"/>
      <c r="AK529" s="15"/>
      <c r="AL529" s="15"/>
      <c r="AM529" s="29"/>
      <c r="AN529" s="19"/>
      <c r="AO529" s="21"/>
      <c r="AP529" s="22"/>
      <c r="AQ529" s="26"/>
      <c r="AR529" s="37"/>
      <c r="AS529" s="38"/>
      <c r="AT529" s="38"/>
      <c r="AU529" s="27"/>
    </row>
    <row r="530" spans="1:47" s="1" customFormat="1" ht="21" customHeight="1" x14ac:dyDescent="0.25">
      <c r="A530" s="83"/>
      <c r="B530" s="47"/>
      <c r="C530" s="80"/>
      <c r="D530" s="33"/>
      <c r="E530" s="48"/>
      <c r="F530" s="48"/>
      <c r="G530" s="48"/>
      <c r="H530" s="30"/>
      <c r="I530" s="30"/>
      <c r="J530" s="28"/>
      <c r="K530" s="31"/>
      <c r="L530" s="31"/>
      <c r="M530" s="32"/>
      <c r="N530" s="36"/>
      <c r="O530" s="36"/>
      <c r="P530" s="36"/>
      <c r="Q530" s="15"/>
      <c r="R530" s="20"/>
      <c r="S530" s="20"/>
      <c r="T530" s="20"/>
      <c r="U530" s="20"/>
      <c r="V530" s="20"/>
      <c r="W530" s="19"/>
      <c r="X530" s="19"/>
      <c r="Y530" s="20"/>
      <c r="Z530" s="20"/>
      <c r="AA530" s="20"/>
      <c r="AB530" s="20"/>
      <c r="AC530" s="15"/>
      <c r="AD530" s="15"/>
      <c r="AE530" s="19"/>
      <c r="AF530" s="20"/>
      <c r="AG530" s="15"/>
      <c r="AH530" s="15"/>
      <c r="AI530" s="15"/>
      <c r="AJ530" s="15"/>
      <c r="AK530" s="15"/>
      <c r="AL530" s="15"/>
      <c r="AM530" s="29"/>
      <c r="AN530" s="19"/>
      <c r="AO530" s="21"/>
      <c r="AP530" s="22"/>
      <c r="AQ530" s="26"/>
      <c r="AR530" s="37"/>
      <c r="AS530" s="38"/>
      <c r="AT530" s="38"/>
      <c r="AU530" s="27"/>
    </row>
    <row r="531" spans="1:47" s="1" customFormat="1" ht="21" customHeight="1" x14ac:dyDescent="0.25">
      <c r="A531" s="83"/>
      <c r="B531" s="47"/>
      <c r="C531" s="80"/>
      <c r="D531" s="33"/>
      <c r="E531" s="48"/>
      <c r="F531" s="48"/>
      <c r="G531" s="48"/>
      <c r="H531" s="30"/>
      <c r="I531" s="30"/>
      <c r="J531" s="28"/>
      <c r="K531" s="31"/>
      <c r="L531" s="31"/>
      <c r="M531" s="32"/>
      <c r="N531" s="36"/>
      <c r="O531" s="36"/>
      <c r="P531" s="36"/>
      <c r="Q531" s="15"/>
      <c r="R531" s="20"/>
      <c r="S531" s="20"/>
      <c r="T531" s="20"/>
      <c r="U531" s="20"/>
      <c r="V531" s="20"/>
      <c r="W531" s="19"/>
      <c r="X531" s="19"/>
      <c r="Y531" s="20"/>
      <c r="Z531" s="20"/>
      <c r="AA531" s="20"/>
      <c r="AB531" s="20"/>
      <c r="AC531" s="15"/>
      <c r="AD531" s="15"/>
      <c r="AE531" s="19"/>
      <c r="AF531" s="20"/>
      <c r="AG531" s="15"/>
      <c r="AH531" s="15"/>
      <c r="AI531" s="15"/>
      <c r="AJ531" s="15"/>
      <c r="AK531" s="15"/>
      <c r="AL531" s="15"/>
      <c r="AM531" s="29"/>
      <c r="AN531" s="19"/>
      <c r="AO531" s="21"/>
      <c r="AP531" s="22"/>
      <c r="AQ531" s="26"/>
      <c r="AR531" s="37"/>
      <c r="AS531" s="38"/>
      <c r="AT531" s="38"/>
      <c r="AU531" s="27"/>
    </row>
    <row r="532" spans="1:47" s="1" customFormat="1" ht="21" customHeight="1" x14ac:dyDescent="0.25">
      <c r="A532" s="83"/>
      <c r="B532" s="47"/>
      <c r="C532" s="80"/>
      <c r="D532" s="33"/>
      <c r="E532" s="48"/>
      <c r="F532" s="48"/>
      <c r="G532" s="48"/>
      <c r="H532" s="30"/>
      <c r="I532" s="30"/>
      <c r="J532" s="28"/>
      <c r="K532" s="31"/>
      <c r="L532" s="31"/>
      <c r="M532" s="32"/>
      <c r="N532" s="36"/>
      <c r="O532" s="36"/>
      <c r="P532" s="36"/>
      <c r="Q532" s="15"/>
      <c r="R532" s="20"/>
      <c r="S532" s="20"/>
      <c r="T532" s="20"/>
      <c r="U532" s="20"/>
      <c r="V532" s="20"/>
      <c r="W532" s="19"/>
      <c r="X532" s="19"/>
      <c r="Y532" s="20"/>
      <c r="Z532" s="20"/>
      <c r="AA532" s="20"/>
      <c r="AB532" s="20"/>
      <c r="AC532" s="15"/>
      <c r="AD532" s="15"/>
      <c r="AE532" s="19"/>
      <c r="AF532" s="20"/>
      <c r="AG532" s="15"/>
      <c r="AH532" s="15"/>
      <c r="AI532" s="15"/>
      <c r="AJ532" s="15"/>
      <c r="AK532" s="15"/>
      <c r="AL532" s="15"/>
      <c r="AM532" s="29"/>
      <c r="AN532" s="19"/>
      <c r="AO532" s="21"/>
      <c r="AP532" s="22"/>
      <c r="AQ532" s="26"/>
      <c r="AR532" s="37"/>
      <c r="AS532" s="38"/>
      <c r="AT532" s="38"/>
      <c r="AU532" s="27"/>
    </row>
    <row r="533" spans="1:47" s="1" customFormat="1" ht="21" customHeight="1" x14ac:dyDescent="0.25">
      <c r="A533" s="83"/>
      <c r="B533" s="47"/>
      <c r="C533" s="80"/>
      <c r="D533" s="33"/>
      <c r="E533" s="48"/>
      <c r="F533" s="48"/>
      <c r="G533" s="48"/>
      <c r="H533" s="30"/>
      <c r="I533" s="30"/>
      <c r="J533" s="28"/>
      <c r="K533" s="31"/>
      <c r="L533" s="31"/>
      <c r="M533" s="32"/>
      <c r="N533" s="36"/>
      <c r="O533" s="36"/>
      <c r="P533" s="36"/>
      <c r="Q533" s="15"/>
      <c r="R533" s="20"/>
      <c r="S533" s="20"/>
      <c r="T533" s="20"/>
      <c r="U533" s="20"/>
      <c r="V533" s="20"/>
      <c r="W533" s="19"/>
      <c r="X533" s="19"/>
      <c r="Y533" s="20"/>
      <c r="Z533" s="20"/>
      <c r="AA533" s="20"/>
      <c r="AB533" s="20"/>
      <c r="AC533" s="15"/>
      <c r="AD533" s="15"/>
      <c r="AE533" s="19"/>
      <c r="AF533" s="20"/>
      <c r="AG533" s="15"/>
      <c r="AH533" s="15"/>
      <c r="AI533" s="15"/>
      <c r="AJ533" s="15"/>
      <c r="AK533" s="15"/>
      <c r="AL533" s="15"/>
      <c r="AM533" s="29"/>
      <c r="AN533" s="19"/>
      <c r="AO533" s="21"/>
      <c r="AP533" s="22"/>
      <c r="AQ533" s="26"/>
      <c r="AR533" s="37"/>
      <c r="AS533" s="38"/>
      <c r="AT533" s="38"/>
      <c r="AU533" s="27"/>
    </row>
    <row r="534" spans="1:47" s="1" customFormat="1" ht="21" customHeight="1" x14ac:dyDescent="0.25">
      <c r="A534" s="83"/>
      <c r="B534" s="47"/>
      <c r="C534" s="80"/>
      <c r="D534" s="33"/>
      <c r="E534" s="48"/>
      <c r="F534" s="48"/>
      <c r="G534" s="48"/>
      <c r="H534" s="30"/>
      <c r="I534" s="30"/>
      <c r="J534" s="28"/>
      <c r="K534" s="31"/>
      <c r="L534" s="31"/>
      <c r="M534" s="32"/>
      <c r="N534" s="36"/>
      <c r="O534" s="36"/>
      <c r="P534" s="36"/>
      <c r="Q534" s="15"/>
      <c r="R534" s="20"/>
      <c r="S534" s="20"/>
      <c r="T534" s="20"/>
      <c r="U534" s="20"/>
      <c r="V534" s="20"/>
      <c r="W534" s="19"/>
      <c r="X534" s="19"/>
      <c r="Y534" s="20"/>
      <c r="Z534" s="20"/>
      <c r="AA534" s="20"/>
      <c r="AB534" s="20"/>
      <c r="AC534" s="15"/>
      <c r="AD534" s="15"/>
      <c r="AE534" s="19"/>
      <c r="AF534" s="20"/>
      <c r="AG534" s="15"/>
      <c r="AH534" s="15"/>
      <c r="AI534" s="15"/>
      <c r="AJ534" s="15"/>
      <c r="AK534" s="15"/>
      <c r="AL534" s="15"/>
      <c r="AM534" s="29"/>
      <c r="AN534" s="19"/>
      <c r="AO534" s="21"/>
      <c r="AP534" s="22"/>
      <c r="AQ534" s="26"/>
      <c r="AR534" s="37"/>
      <c r="AS534" s="38"/>
      <c r="AT534" s="38"/>
      <c r="AU534" s="27"/>
    </row>
    <row r="535" spans="1:47" s="1" customFormat="1" ht="21" customHeight="1" x14ac:dyDescent="0.25">
      <c r="A535" s="83"/>
      <c r="B535" s="47"/>
      <c r="C535" s="80"/>
      <c r="D535" s="33"/>
      <c r="E535" s="48"/>
      <c r="F535" s="48"/>
      <c r="G535" s="48"/>
      <c r="H535" s="30"/>
      <c r="I535" s="30"/>
      <c r="J535" s="28"/>
      <c r="K535" s="31"/>
      <c r="L535" s="31"/>
      <c r="M535" s="32"/>
      <c r="N535" s="36"/>
      <c r="O535" s="36"/>
      <c r="P535" s="36"/>
      <c r="Q535" s="15"/>
      <c r="R535" s="20"/>
      <c r="S535" s="20"/>
      <c r="T535" s="20"/>
      <c r="U535" s="20"/>
      <c r="V535" s="20"/>
      <c r="W535" s="19"/>
      <c r="X535" s="19"/>
      <c r="Y535" s="20"/>
      <c r="Z535" s="20"/>
      <c r="AA535" s="20"/>
      <c r="AB535" s="20"/>
      <c r="AC535" s="15"/>
      <c r="AD535" s="15"/>
      <c r="AE535" s="19"/>
      <c r="AF535" s="20"/>
      <c r="AG535" s="15"/>
      <c r="AH535" s="15"/>
      <c r="AI535" s="15"/>
      <c r="AJ535" s="15"/>
      <c r="AK535" s="15"/>
      <c r="AL535" s="15"/>
      <c r="AM535" s="29"/>
      <c r="AN535" s="19"/>
      <c r="AO535" s="21"/>
      <c r="AP535" s="22"/>
      <c r="AQ535" s="26"/>
      <c r="AR535" s="37"/>
      <c r="AS535" s="38"/>
      <c r="AT535" s="38"/>
      <c r="AU535" s="27"/>
    </row>
    <row r="536" spans="1:47" s="1" customFormat="1" ht="21" customHeight="1" x14ac:dyDescent="0.25">
      <c r="A536" s="83"/>
      <c r="B536" s="47"/>
      <c r="C536" s="80"/>
      <c r="D536" s="33"/>
      <c r="E536" s="48"/>
      <c r="F536" s="48"/>
      <c r="G536" s="48"/>
      <c r="H536" s="30"/>
      <c r="I536" s="30"/>
      <c r="J536" s="28"/>
      <c r="K536" s="31"/>
      <c r="L536" s="31"/>
      <c r="M536" s="32"/>
      <c r="N536" s="36"/>
      <c r="O536" s="36"/>
      <c r="P536" s="36"/>
      <c r="Q536" s="15"/>
      <c r="R536" s="20"/>
      <c r="S536" s="20"/>
      <c r="T536" s="20"/>
      <c r="U536" s="20"/>
      <c r="V536" s="20"/>
      <c r="W536" s="19"/>
      <c r="X536" s="19"/>
      <c r="Y536" s="20"/>
      <c r="Z536" s="20"/>
      <c r="AA536" s="20"/>
      <c r="AB536" s="20"/>
      <c r="AC536" s="15"/>
      <c r="AD536" s="15"/>
      <c r="AE536" s="19"/>
      <c r="AF536" s="20"/>
      <c r="AG536" s="15"/>
      <c r="AH536" s="15"/>
      <c r="AI536" s="15"/>
      <c r="AJ536" s="15"/>
      <c r="AK536" s="15"/>
      <c r="AL536" s="15"/>
      <c r="AM536" s="29"/>
      <c r="AN536" s="19"/>
      <c r="AO536" s="21"/>
      <c r="AP536" s="22"/>
      <c r="AQ536" s="26"/>
      <c r="AR536" s="37"/>
      <c r="AS536" s="38"/>
      <c r="AT536" s="38"/>
      <c r="AU536" s="27"/>
    </row>
    <row r="537" spans="1:47" s="1" customFormat="1" ht="21" customHeight="1" x14ac:dyDescent="0.25">
      <c r="A537" s="83"/>
      <c r="B537" s="47"/>
      <c r="C537" s="80"/>
      <c r="D537" s="33"/>
      <c r="E537" s="48"/>
      <c r="F537" s="48"/>
      <c r="G537" s="48"/>
      <c r="H537" s="30"/>
      <c r="I537" s="30"/>
      <c r="J537" s="28"/>
      <c r="K537" s="31"/>
      <c r="L537" s="31"/>
      <c r="M537" s="32"/>
      <c r="N537" s="36"/>
      <c r="O537" s="36"/>
      <c r="P537" s="36"/>
      <c r="Q537" s="15"/>
      <c r="R537" s="20"/>
      <c r="S537" s="20"/>
      <c r="T537" s="20"/>
      <c r="U537" s="20"/>
      <c r="V537" s="20"/>
      <c r="W537" s="19"/>
      <c r="X537" s="19"/>
      <c r="Y537" s="20"/>
      <c r="Z537" s="20"/>
      <c r="AA537" s="20"/>
      <c r="AB537" s="20"/>
      <c r="AC537" s="15"/>
      <c r="AD537" s="15"/>
      <c r="AE537" s="19"/>
      <c r="AF537" s="20"/>
      <c r="AG537" s="15"/>
      <c r="AH537" s="15"/>
      <c r="AI537" s="15"/>
      <c r="AJ537" s="15"/>
      <c r="AK537" s="15"/>
      <c r="AL537" s="15"/>
      <c r="AM537" s="29"/>
      <c r="AN537" s="19"/>
      <c r="AO537" s="21"/>
      <c r="AP537" s="22"/>
      <c r="AQ537" s="26"/>
      <c r="AR537" s="37"/>
      <c r="AS537" s="38"/>
      <c r="AT537" s="38"/>
      <c r="AU537" s="27"/>
    </row>
    <row r="538" spans="1:47" s="1" customFormat="1" ht="21" customHeight="1" x14ac:dyDescent="0.25">
      <c r="A538" s="83"/>
      <c r="B538" s="47"/>
      <c r="C538" s="80"/>
      <c r="D538" s="33"/>
      <c r="E538" s="48"/>
      <c r="F538" s="48"/>
      <c r="G538" s="48"/>
      <c r="H538" s="30"/>
      <c r="I538" s="30"/>
      <c r="J538" s="28"/>
      <c r="K538" s="31"/>
      <c r="L538" s="31"/>
      <c r="M538" s="32"/>
      <c r="N538" s="36"/>
      <c r="O538" s="36"/>
      <c r="P538" s="36"/>
      <c r="Q538" s="15"/>
      <c r="R538" s="20"/>
      <c r="S538" s="20"/>
      <c r="T538" s="20"/>
      <c r="U538" s="20"/>
      <c r="V538" s="20"/>
      <c r="W538" s="19"/>
      <c r="X538" s="19"/>
      <c r="Y538" s="20"/>
      <c r="Z538" s="20"/>
      <c r="AA538" s="20"/>
      <c r="AB538" s="20"/>
      <c r="AC538" s="15"/>
      <c r="AD538" s="15"/>
      <c r="AE538" s="19"/>
      <c r="AF538" s="20"/>
      <c r="AG538" s="15"/>
      <c r="AH538" s="15"/>
      <c r="AI538" s="15"/>
      <c r="AJ538" s="15"/>
      <c r="AK538" s="15"/>
      <c r="AL538" s="15"/>
      <c r="AM538" s="29"/>
      <c r="AN538" s="19"/>
      <c r="AO538" s="21"/>
      <c r="AP538" s="22"/>
      <c r="AQ538" s="26"/>
      <c r="AR538" s="37"/>
      <c r="AS538" s="38"/>
      <c r="AT538" s="38"/>
      <c r="AU538" s="27"/>
    </row>
    <row r="539" spans="1:47" s="1" customFormat="1" ht="21" customHeight="1" x14ac:dyDescent="0.25">
      <c r="A539" s="83"/>
      <c r="B539" s="47"/>
      <c r="C539" s="80"/>
      <c r="D539" s="33"/>
      <c r="E539" s="48"/>
      <c r="F539" s="48"/>
      <c r="G539" s="48"/>
      <c r="H539" s="30"/>
      <c r="I539" s="30"/>
      <c r="J539" s="28"/>
      <c r="K539" s="31"/>
      <c r="L539" s="31"/>
      <c r="M539" s="32"/>
      <c r="N539" s="36"/>
      <c r="O539" s="36"/>
      <c r="P539" s="36"/>
      <c r="Q539" s="15"/>
      <c r="R539" s="20"/>
      <c r="S539" s="20"/>
      <c r="T539" s="20"/>
      <c r="U539" s="20"/>
      <c r="V539" s="20"/>
      <c r="W539" s="19"/>
      <c r="X539" s="19"/>
      <c r="Y539" s="20"/>
      <c r="Z539" s="20"/>
      <c r="AA539" s="20"/>
      <c r="AB539" s="20"/>
      <c r="AC539" s="15"/>
      <c r="AD539" s="15"/>
      <c r="AE539" s="19"/>
      <c r="AF539" s="20"/>
      <c r="AG539" s="15"/>
      <c r="AH539" s="15"/>
      <c r="AI539" s="15"/>
      <c r="AJ539" s="15"/>
      <c r="AK539" s="15"/>
      <c r="AL539" s="15"/>
      <c r="AM539" s="29"/>
      <c r="AN539" s="19"/>
      <c r="AO539" s="21"/>
      <c r="AP539" s="22"/>
      <c r="AQ539" s="26"/>
      <c r="AR539" s="37"/>
      <c r="AS539" s="38"/>
      <c r="AT539" s="38"/>
      <c r="AU539" s="27"/>
    </row>
    <row r="540" spans="1:47" s="1" customFormat="1" ht="21" customHeight="1" x14ac:dyDescent="0.25">
      <c r="A540" s="83"/>
      <c r="B540" s="47"/>
      <c r="C540" s="80"/>
      <c r="D540" s="33"/>
      <c r="E540" s="48"/>
      <c r="F540" s="48"/>
      <c r="G540" s="48"/>
      <c r="H540" s="30"/>
      <c r="I540" s="30"/>
      <c r="J540" s="28"/>
      <c r="K540" s="31"/>
      <c r="L540" s="31"/>
      <c r="M540" s="32"/>
      <c r="N540" s="36"/>
      <c r="O540" s="36"/>
      <c r="P540" s="36"/>
      <c r="Q540" s="15"/>
      <c r="R540" s="20"/>
      <c r="S540" s="20"/>
      <c r="T540" s="20"/>
      <c r="U540" s="20"/>
      <c r="V540" s="20"/>
      <c r="W540" s="19"/>
      <c r="X540" s="19"/>
      <c r="Y540" s="20"/>
      <c r="Z540" s="20"/>
      <c r="AA540" s="20"/>
      <c r="AB540" s="20"/>
      <c r="AC540" s="15"/>
      <c r="AD540" s="15"/>
      <c r="AE540" s="19"/>
      <c r="AF540" s="20"/>
      <c r="AG540" s="15"/>
      <c r="AH540" s="15"/>
      <c r="AI540" s="15"/>
      <c r="AJ540" s="15"/>
      <c r="AK540" s="15"/>
      <c r="AL540" s="15"/>
      <c r="AM540" s="29"/>
      <c r="AN540" s="19"/>
      <c r="AO540" s="21"/>
      <c r="AP540" s="22"/>
      <c r="AQ540" s="26"/>
      <c r="AR540" s="37"/>
      <c r="AS540" s="38"/>
      <c r="AT540" s="38"/>
      <c r="AU540" s="27"/>
    </row>
    <row r="541" spans="1:47" s="1" customFormat="1" ht="21" customHeight="1" x14ac:dyDescent="0.25">
      <c r="A541" s="83"/>
      <c r="B541" s="47"/>
      <c r="C541" s="80"/>
      <c r="D541" s="33"/>
      <c r="E541" s="48"/>
      <c r="F541" s="48"/>
      <c r="G541" s="48"/>
      <c r="H541" s="30"/>
      <c r="I541" s="30"/>
      <c r="J541" s="28"/>
      <c r="K541" s="31"/>
      <c r="L541" s="31"/>
      <c r="M541" s="32"/>
      <c r="N541" s="36"/>
      <c r="O541" s="36"/>
      <c r="P541" s="36"/>
      <c r="Q541" s="15"/>
      <c r="R541" s="20"/>
      <c r="S541" s="20"/>
      <c r="T541" s="20"/>
      <c r="U541" s="20"/>
      <c r="V541" s="20"/>
      <c r="W541" s="19"/>
      <c r="X541" s="19"/>
      <c r="Y541" s="20"/>
      <c r="Z541" s="20"/>
      <c r="AA541" s="20"/>
      <c r="AB541" s="20"/>
      <c r="AC541" s="15"/>
      <c r="AD541" s="15"/>
      <c r="AE541" s="19"/>
      <c r="AF541" s="20"/>
      <c r="AG541" s="15"/>
      <c r="AH541" s="15"/>
      <c r="AI541" s="15"/>
      <c r="AJ541" s="15"/>
      <c r="AK541" s="15"/>
      <c r="AL541" s="15"/>
      <c r="AM541" s="29"/>
      <c r="AN541" s="19"/>
      <c r="AO541" s="21"/>
      <c r="AP541" s="22"/>
      <c r="AQ541" s="26"/>
      <c r="AR541" s="37"/>
      <c r="AS541" s="38"/>
      <c r="AT541" s="38"/>
      <c r="AU541" s="27"/>
    </row>
    <row r="542" spans="1:47" s="1" customFormat="1" ht="21" customHeight="1" x14ac:dyDescent="0.25">
      <c r="A542" s="83"/>
      <c r="B542" s="47"/>
      <c r="C542" s="80"/>
      <c r="D542" s="33"/>
      <c r="E542" s="48"/>
      <c r="F542" s="48"/>
      <c r="G542" s="48"/>
      <c r="H542" s="30"/>
      <c r="I542" s="30"/>
      <c r="J542" s="28"/>
      <c r="K542" s="31"/>
      <c r="L542" s="31"/>
      <c r="M542" s="32"/>
      <c r="N542" s="36"/>
      <c r="O542" s="36"/>
      <c r="P542" s="36"/>
      <c r="Q542" s="15"/>
      <c r="R542" s="20"/>
      <c r="S542" s="20"/>
      <c r="T542" s="20"/>
      <c r="U542" s="20"/>
      <c r="V542" s="20"/>
      <c r="W542" s="19"/>
      <c r="X542" s="19"/>
      <c r="Y542" s="20"/>
      <c r="Z542" s="20"/>
      <c r="AA542" s="20"/>
      <c r="AB542" s="20"/>
      <c r="AC542" s="15"/>
      <c r="AD542" s="15"/>
      <c r="AE542" s="19"/>
      <c r="AF542" s="20"/>
      <c r="AG542" s="15"/>
      <c r="AH542" s="15"/>
      <c r="AI542" s="15"/>
      <c r="AJ542" s="15"/>
      <c r="AK542" s="15"/>
      <c r="AL542" s="15"/>
      <c r="AM542" s="29"/>
      <c r="AN542" s="19"/>
      <c r="AO542" s="21"/>
      <c r="AP542" s="22"/>
      <c r="AQ542" s="26"/>
      <c r="AR542" s="37"/>
      <c r="AS542" s="38"/>
      <c r="AT542" s="38"/>
      <c r="AU542" s="27"/>
    </row>
    <row r="543" spans="1:47" s="1" customFormat="1" ht="21" customHeight="1" x14ac:dyDescent="0.25">
      <c r="A543" s="83"/>
      <c r="B543" s="47"/>
      <c r="C543" s="80"/>
      <c r="D543" s="33"/>
      <c r="E543" s="48"/>
      <c r="F543" s="48"/>
      <c r="G543" s="48"/>
      <c r="H543" s="30"/>
      <c r="I543" s="30"/>
      <c r="J543" s="28"/>
      <c r="K543" s="31"/>
      <c r="L543" s="31"/>
      <c r="M543" s="32"/>
      <c r="N543" s="36"/>
      <c r="O543" s="36"/>
      <c r="P543" s="36"/>
      <c r="Q543" s="15"/>
      <c r="R543" s="20"/>
      <c r="S543" s="20"/>
      <c r="T543" s="20"/>
      <c r="U543" s="20"/>
      <c r="V543" s="20"/>
      <c r="W543" s="19"/>
      <c r="X543" s="19"/>
      <c r="Y543" s="20"/>
      <c r="Z543" s="20"/>
      <c r="AA543" s="20"/>
      <c r="AB543" s="20"/>
      <c r="AC543" s="15"/>
      <c r="AD543" s="15"/>
      <c r="AE543" s="19"/>
      <c r="AF543" s="20"/>
      <c r="AG543" s="15"/>
      <c r="AH543" s="15"/>
      <c r="AI543" s="15"/>
      <c r="AJ543" s="15"/>
      <c r="AK543" s="15"/>
      <c r="AL543" s="15"/>
      <c r="AM543" s="29"/>
      <c r="AN543" s="19"/>
      <c r="AO543" s="21"/>
      <c r="AP543" s="22"/>
      <c r="AQ543" s="26"/>
      <c r="AR543" s="37"/>
      <c r="AS543" s="38"/>
      <c r="AT543" s="38"/>
      <c r="AU543" s="27"/>
    </row>
    <row r="544" spans="1:47" s="1" customFormat="1" ht="21" customHeight="1" x14ac:dyDescent="0.25">
      <c r="A544" s="83"/>
      <c r="B544" s="47"/>
      <c r="C544" s="80"/>
      <c r="D544" s="33"/>
      <c r="E544" s="48"/>
      <c r="F544" s="48"/>
      <c r="G544" s="48"/>
      <c r="H544" s="30"/>
      <c r="I544" s="30"/>
      <c r="J544" s="28"/>
      <c r="K544" s="31"/>
      <c r="L544" s="31"/>
      <c r="M544" s="32"/>
      <c r="N544" s="36"/>
      <c r="O544" s="36"/>
      <c r="P544" s="36"/>
      <c r="Q544" s="15"/>
      <c r="R544" s="20"/>
      <c r="S544" s="20"/>
      <c r="T544" s="20"/>
      <c r="U544" s="20"/>
      <c r="V544" s="20"/>
      <c r="W544" s="19"/>
      <c r="X544" s="19"/>
      <c r="Y544" s="20"/>
      <c r="Z544" s="20"/>
      <c r="AA544" s="20"/>
      <c r="AB544" s="20"/>
      <c r="AC544" s="15"/>
      <c r="AD544" s="15"/>
      <c r="AE544" s="19"/>
      <c r="AF544" s="20"/>
      <c r="AG544" s="15"/>
      <c r="AH544" s="15"/>
      <c r="AI544" s="15"/>
      <c r="AJ544" s="15"/>
      <c r="AK544" s="15"/>
      <c r="AL544" s="15"/>
      <c r="AM544" s="29"/>
      <c r="AN544" s="19"/>
      <c r="AO544" s="21"/>
      <c r="AP544" s="22"/>
      <c r="AQ544" s="26"/>
      <c r="AR544" s="37"/>
      <c r="AS544" s="38"/>
      <c r="AT544" s="38"/>
      <c r="AU544" s="27"/>
    </row>
    <row r="545" spans="1:47" s="1" customFormat="1" ht="21" customHeight="1" x14ac:dyDescent="0.25">
      <c r="A545" s="83"/>
      <c r="B545" s="47"/>
      <c r="C545" s="80"/>
      <c r="D545" s="33"/>
      <c r="E545" s="48"/>
      <c r="F545" s="48"/>
      <c r="G545" s="48"/>
      <c r="H545" s="30"/>
      <c r="I545" s="30"/>
      <c r="J545" s="28"/>
      <c r="K545" s="31"/>
      <c r="L545" s="31"/>
      <c r="M545" s="32"/>
      <c r="N545" s="36"/>
      <c r="O545" s="36"/>
      <c r="P545" s="36"/>
      <c r="Q545" s="15"/>
      <c r="R545" s="20"/>
      <c r="S545" s="20"/>
      <c r="T545" s="20"/>
      <c r="U545" s="20"/>
      <c r="V545" s="20"/>
      <c r="W545" s="19"/>
      <c r="X545" s="19"/>
      <c r="Y545" s="20"/>
      <c r="Z545" s="20"/>
      <c r="AA545" s="20"/>
      <c r="AB545" s="20"/>
      <c r="AC545" s="15"/>
      <c r="AD545" s="15"/>
      <c r="AE545" s="19"/>
      <c r="AF545" s="20"/>
      <c r="AG545" s="15"/>
      <c r="AH545" s="15"/>
      <c r="AI545" s="15"/>
      <c r="AJ545" s="15"/>
      <c r="AK545" s="15"/>
      <c r="AL545" s="15"/>
      <c r="AM545" s="29"/>
      <c r="AN545" s="19"/>
      <c r="AO545" s="21"/>
      <c r="AP545" s="22"/>
      <c r="AQ545" s="26"/>
      <c r="AR545" s="37"/>
      <c r="AS545" s="38"/>
      <c r="AT545" s="38"/>
      <c r="AU545" s="27"/>
    </row>
    <row r="546" spans="1:47" s="1" customFormat="1" ht="21" customHeight="1" x14ac:dyDescent="0.25">
      <c r="A546" s="83"/>
      <c r="B546" s="47"/>
      <c r="C546" s="80"/>
      <c r="D546" s="33"/>
      <c r="E546" s="48"/>
      <c r="F546" s="48"/>
      <c r="G546" s="48"/>
      <c r="H546" s="30"/>
      <c r="I546" s="30"/>
      <c r="J546" s="28"/>
      <c r="K546" s="31"/>
      <c r="L546" s="31"/>
      <c r="M546" s="32"/>
      <c r="N546" s="36"/>
      <c r="O546" s="36"/>
      <c r="P546" s="36"/>
      <c r="Q546" s="15"/>
      <c r="R546" s="20"/>
      <c r="S546" s="20"/>
      <c r="T546" s="20"/>
      <c r="U546" s="20"/>
      <c r="V546" s="20"/>
      <c r="W546" s="19"/>
      <c r="X546" s="19"/>
      <c r="Y546" s="20"/>
      <c r="Z546" s="20"/>
      <c r="AA546" s="20"/>
      <c r="AB546" s="20"/>
      <c r="AC546" s="15"/>
      <c r="AD546" s="15"/>
      <c r="AE546" s="19"/>
      <c r="AF546" s="20"/>
      <c r="AG546" s="15"/>
      <c r="AH546" s="15"/>
      <c r="AI546" s="15"/>
      <c r="AJ546" s="15"/>
      <c r="AK546" s="15"/>
      <c r="AL546" s="15"/>
      <c r="AM546" s="29"/>
      <c r="AN546" s="19"/>
      <c r="AO546" s="21"/>
      <c r="AP546" s="22"/>
      <c r="AQ546" s="26"/>
      <c r="AR546" s="37"/>
      <c r="AS546" s="38"/>
      <c r="AT546" s="38"/>
      <c r="AU546" s="27"/>
    </row>
    <row r="547" spans="1:47" s="1" customFormat="1" ht="21" customHeight="1" x14ac:dyDescent="0.25">
      <c r="A547" s="83"/>
      <c r="B547" s="47"/>
      <c r="C547" s="80"/>
      <c r="D547" s="33"/>
      <c r="E547" s="48"/>
      <c r="F547" s="48"/>
      <c r="G547" s="48"/>
      <c r="H547" s="30"/>
      <c r="I547" s="30"/>
      <c r="J547" s="28"/>
      <c r="K547" s="31"/>
      <c r="L547" s="31"/>
      <c r="M547" s="32"/>
      <c r="N547" s="36"/>
      <c r="O547" s="36"/>
      <c r="P547" s="36"/>
      <c r="Q547" s="15"/>
      <c r="R547" s="20"/>
      <c r="S547" s="20"/>
      <c r="T547" s="20"/>
      <c r="U547" s="20"/>
      <c r="V547" s="20"/>
      <c r="W547" s="19"/>
      <c r="X547" s="19"/>
      <c r="Y547" s="20"/>
      <c r="Z547" s="20"/>
      <c r="AA547" s="20"/>
      <c r="AB547" s="20"/>
      <c r="AC547" s="15"/>
      <c r="AD547" s="15"/>
      <c r="AE547" s="19"/>
      <c r="AF547" s="20"/>
      <c r="AG547" s="15"/>
      <c r="AH547" s="15"/>
      <c r="AI547" s="15"/>
      <c r="AJ547" s="15"/>
      <c r="AK547" s="15"/>
      <c r="AL547" s="15"/>
      <c r="AM547" s="29"/>
      <c r="AN547" s="19"/>
      <c r="AO547" s="21"/>
      <c r="AP547" s="22"/>
      <c r="AQ547" s="26"/>
      <c r="AR547" s="37"/>
      <c r="AS547" s="38"/>
      <c r="AT547" s="38"/>
      <c r="AU547" s="27"/>
    </row>
    <row r="548" spans="1:47" s="1" customFormat="1" ht="21" customHeight="1" x14ac:dyDescent="0.25">
      <c r="A548" s="83"/>
      <c r="B548" s="47"/>
      <c r="C548" s="80"/>
      <c r="D548" s="33"/>
      <c r="E548" s="48"/>
      <c r="F548" s="48"/>
      <c r="G548" s="48"/>
      <c r="H548" s="30"/>
      <c r="I548" s="30"/>
      <c r="J548" s="28"/>
      <c r="K548" s="31"/>
      <c r="L548" s="31"/>
      <c r="M548" s="32"/>
      <c r="N548" s="36"/>
      <c r="O548" s="36"/>
      <c r="P548" s="36"/>
      <c r="Q548" s="15"/>
      <c r="R548" s="20"/>
      <c r="S548" s="20"/>
      <c r="T548" s="20"/>
      <c r="U548" s="20"/>
      <c r="V548" s="20"/>
      <c r="W548" s="19"/>
      <c r="X548" s="19"/>
      <c r="Y548" s="20"/>
      <c r="Z548" s="20"/>
      <c r="AA548" s="20"/>
      <c r="AB548" s="20"/>
      <c r="AC548" s="15"/>
      <c r="AD548" s="15"/>
      <c r="AE548" s="19"/>
      <c r="AF548" s="20"/>
      <c r="AG548" s="15"/>
      <c r="AH548" s="15"/>
      <c r="AI548" s="15"/>
      <c r="AJ548" s="15"/>
      <c r="AK548" s="15"/>
      <c r="AL548" s="15"/>
      <c r="AM548" s="29"/>
      <c r="AN548" s="19"/>
      <c r="AO548" s="21"/>
      <c r="AP548" s="22"/>
      <c r="AQ548" s="26"/>
      <c r="AR548" s="37"/>
      <c r="AS548" s="38"/>
      <c r="AT548" s="38"/>
      <c r="AU548" s="27"/>
    </row>
    <row r="549" spans="1:47" s="1" customFormat="1" ht="21" customHeight="1" x14ac:dyDescent="0.25">
      <c r="A549" s="83"/>
      <c r="B549" s="47"/>
      <c r="C549" s="80"/>
      <c r="D549" s="33"/>
      <c r="E549" s="48"/>
      <c r="F549" s="48"/>
      <c r="G549" s="48"/>
      <c r="H549" s="30"/>
      <c r="I549" s="30"/>
      <c r="J549" s="28"/>
      <c r="K549" s="31"/>
      <c r="L549" s="31"/>
      <c r="M549" s="32"/>
      <c r="N549" s="36"/>
      <c r="O549" s="36"/>
      <c r="P549" s="36"/>
      <c r="Q549" s="15"/>
      <c r="R549" s="20"/>
      <c r="S549" s="20"/>
      <c r="T549" s="20"/>
      <c r="U549" s="20"/>
      <c r="V549" s="20"/>
      <c r="W549" s="19"/>
      <c r="X549" s="19"/>
      <c r="Y549" s="20"/>
      <c r="Z549" s="20"/>
      <c r="AA549" s="20"/>
      <c r="AB549" s="20"/>
      <c r="AC549" s="15"/>
      <c r="AD549" s="15"/>
      <c r="AE549" s="19"/>
      <c r="AF549" s="20"/>
      <c r="AG549" s="15"/>
      <c r="AH549" s="15"/>
      <c r="AI549" s="15"/>
      <c r="AJ549" s="15"/>
      <c r="AK549" s="15"/>
      <c r="AL549" s="15"/>
      <c r="AM549" s="29"/>
      <c r="AN549" s="19"/>
      <c r="AO549" s="21"/>
      <c r="AP549" s="22"/>
      <c r="AQ549" s="26"/>
      <c r="AR549" s="37"/>
      <c r="AS549" s="38"/>
      <c r="AT549" s="38"/>
      <c r="AU549" s="27"/>
    </row>
    <row r="550" spans="1:47" s="1" customFormat="1" ht="21" customHeight="1" x14ac:dyDescent="0.25">
      <c r="A550" s="83"/>
      <c r="B550" s="47"/>
      <c r="C550" s="80"/>
      <c r="D550" s="33"/>
      <c r="E550" s="48"/>
      <c r="F550" s="48"/>
      <c r="G550" s="48"/>
      <c r="H550" s="30"/>
      <c r="I550" s="30"/>
      <c r="J550" s="28"/>
      <c r="K550" s="31"/>
      <c r="L550" s="31"/>
      <c r="M550" s="32"/>
      <c r="N550" s="36"/>
      <c r="O550" s="36"/>
      <c r="P550" s="36"/>
      <c r="Q550" s="15"/>
      <c r="R550" s="20"/>
      <c r="S550" s="20"/>
      <c r="T550" s="20"/>
      <c r="U550" s="20"/>
      <c r="V550" s="20"/>
      <c r="W550" s="19"/>
      <c r="X550" s="19"/>
      <c r="Y550" s="20"/>
      <c r="Z550" s="20"/>
      <c r="AA550" s="20"/>
      <c r="AB550" s="20"/>
      <c r="AC550" s="15"/>
      <c r="AD550" s="15"/>
      <c r="AE550" s="19"/>
      <c r="AF550" s="20"/>
      <c r="AG550" s="15"/>
      <c r="AH550" s="15"/>
      <c r="AI550" s="15"/>
      <c r="AJ550" s="15"/>
      <c r="AK550" s="15"/>
      <c r="AL550" s="15"/>
      <c r="AM550" s="29"/>
      <c r="AN550" s="19"/>
      <c r="AO550" s="21"/>
      <c r="AP550" s="22"/>
      <c r="AQ550" s="26"/>
      <c r="AR550" s="37"/>
      <c r="AS550" s="38"/>
      <c r="AT550" s="38"/>
      <c r="AU550" s="27"/>
    </row>
    <row r="551" spans="1:47" s="1" customFormat="1" ht="21" customHeight="1" x14ac:dyDescent="0.25">
      <c r="A551" s="83"/>
      <c r="B551" s="47"/>
      <c r="C551" s="80"/>
      <c r="D551" s="33"/>
      <c r="E551" s="48"/>
      <c r="F551" s="48"/>
      <c r="G551" s="48"/>
      <c r="H551" s="30"/>
      <c r="I551" s="30"/>
      <c r="J551" s="28"/>
      <c r="K551" s="31"/>
      <c r="L551" s="31"/>
      <c r="M551" s="32"/>
      <c r="N551" s="36"/>
      <c r="O551" s="36"/>
      <c r="P551" s="36"/>
      <c r="Q551" s="15"/>
      <c r="R551" s="20"/>
      <c r="S551" s="20"/>
      <c r="T551" s="20"/>
      <c r="U551" s="20"/>
      <c r="V551" s="20"/>
      <c r="W551" s="19"/>
      <c r="X551" s="19"/>
      <c r="Y551" s="20"/>
      <c r="Z551" s="20"/>
      <c r="AA551" s="20"/>
      <c r="AB551" s="20"/>
      <c r="AC551" s="15"/>
      <c r="AD551" s="15"/>
      <c r="AE551" s="19"/>
      <c r="AF551" s="20"/>
      <c r="AG551" s="15"/>
      <c r="AH551" s="15"/>
      <c r="AI551" s="15"/>
      <c r="AJ551" s="15"/>
      <c r="AK551" s="15"/>
      <c r="AL551" s="15"/>
      <c r="AM551" s="29"/>
      <c r="AN551" s="19"/>
      <c r="AO551" s="21"/>
      <c r="AP551" s="22"/>
      <c r="AQ551" s="26"/>
      <c r="AR551" s="37"/>
      <c r="AS551" s="38"/>
      <c r="AT551" s="38"/>
      <c r="AU551" s="27"/>
    </row>
    <row r="552" spans="1:47" s="1" customFormat="1" ht="21" customHeight="1" x14ac:dyDescent="0.25">
      <c r="A552" s="83"/>
      <c r="B552" s="47"/>
      <c r="C552" s="80"/>
      <c r="D552" s="33"/>
      <c r="E552" s="48"/>
      <c r="F552" s="48"/>
      <c r="G552" s="48"/>
      <c r="H552" s="30"/>
      <c r="I552" s="30"/>
      <c r="J552" s="28"/>
      <c r="K552" s="31"/>
      <c r="L552" s="31"/>
      <c r="M552" s="32"/>
      <c r="N552" s="36"/>
      <c r="O552" s="36"/>
      <c r="P552" s="36"/>
      <c r="Q552" s="15"/>
      <c r="R552" s="20"/>
      <c r="S552" s="20"/>
      <c r="T552" s="20"/>
      <c r="U552" s="20"/>
      <c r="V552" s="20"/>
      <c r="W552" s="19"/>
      <c r="X552" s="19"/>
      <c r="Y552" s="20"/>
      <c r="Z552" s="20"/>
      <c r="AA552" s="20"/>
      <c r="AB552" s="20"/>
      <c r="AC552" s="15"/>
      <c r="AD552" s="15"/>
      <c r="AE552" s="19"/>
      <c r="AF552" s="20"/>
      <c r="AG552" s="15"/>
      <c r="AH552" s="15"/>
      <c r="AI552" s="15"/>
      <c r="AJ552" s="15"/>
      <c r="AK552" s="15"/>
      <c r="AL552" s="15"/>
      <c r="AM552" s="29"/>
      <c r="AN552" s="19"/>
      <c r="AO552" s="21"/>
      <c r="AP552" s="22"/>
      <c r="AQ552" s="26"/>
      <c r="AR552" s="37"/>
      <c r="AS552" s="38"/>
      <c r="AT552" s="38"/>
      <c r="AU552" s="27"/>
    </row>
    <row r="553" spans="1:47" s="1" customFormat="1" ht="21" customHeight="1" x14ac:dyDescent="0.25">
      <c r="A553" s="83"/>
      <c r="B553" s="47"/>
      <c r="C553" s="80"/>
      <c r="D553" s="33"/>
      <c r="E553" s="48"/>
      <c r="F553" s="48"/>
      <c r="G553" s="48"/>
      <c r="H553" s="30"/>
      <c r="I553" s="30"/>
      <c r="J553" s="28"/>
      <c r="K553" s="31"/>
      <c r="L553" s="31"/>
      <c r="M553" s="32"/>
      <c r="N553" s="36"/>
      <c r="O553" s="36"/>
      <c r="P553" s="36"/>
      <c r="Q553" s="15"/>
      <c r="R553" s="20"/>
      <c r="S553" s="20"/>
      <c r="T553" s="20"/>
      <c r="U553" s="20"/>
      <c r="V553" s="20"/>
      <c r="W553" s="19"/>
      <c r="X553" s="19"/>
      <c r="Y553" s="20"/>
      <c r="Z553" s="20"/>
      <c r="AA553" s="20"/>
      <c r="AB553" s="20"/>
      <c r="AC553" s="15"/>
      <c r="AD553" s="15"/>
      <c r="AE553" s="19"/>
      <c r="AF553" s="20"/>
      <c r="AG553" s="15"/>
      <c r="AH553" s="15"/>
      <c r="AI553" s="15"/>
      <c r="AJ553" s="15"/>
      <c r="AK553" s="15"/>
      <c r="AL553" s="15"/>
      <c r="AM553" s="29"/>
      <c r="AN553" s="19"/>
      <c r="AO553" s="21"/>
      <c r="AP553" s="22"/>
      <c r="AQ553" s="26"/>
      <c r="AR553" s="37"/>
      <c r="AS553" s="38"/>
      <c r="AT553" s="38"/>
      <c r="AU553" s="27"/>
    </row>
    <row r="554" spans="1:47" s="1" customFormat="1" ht="21" customHeight="1" x14ac:dyDescent="0.25">
      <c r="A554" s="83"/>
      <c r="B554" s="47"/>
      <c r="C554" s="80"/>
      <c r="D554" s="33"/>
      <c r="E554" s="48"/>
      <c r="F554" s="48"/>
      <c r="G554" s="48"/>
      <c r="H554" s="30"/>
      <c r="I554" s="30"/>
      <c r="J554" s="28"/>
      <c r="K554" s="31"/>
      <c r="L554" s="31"/>
      <c r="M554" s="32"/>
      <c r="N554" s="36"/>
      <c r="O554" s="36"/>
      <c r="P554" s="36"/>
      <c r="Q554" s="15"/>
      <c r="R554" s="20"/>
      <c r="S554" s="20"/>
      <c r="T554" s="20"/>
      <c r="U554" s="20"/>
      <c r="V554" s="20"/>
      <c r="W554" s="19"/>
      <c r="X554" s="19"/>
      <c r="Y554" s="20"/>
      <c r="Z554" s="20"/>
      <c r="AA554" s="20"/>
      <c r="AB554" s="20"/>
      <c r="AC554" s="15"/>
      <c r="AD554" s="15"/>
      <c r="AE554" s="19"/>
      <c r="AF554" s="20"/>
      <c r="AG554" s="15"/>
      <c r="AH554" s="15"/>
      <c r="AI554" s="15"/>
      <c r="AJ554" s="15"/>
      <c r="AK554" s="15"/>
      <c r="AL554" s="15"/>
      <c r="AM554" s="29"/>
      <c r="AN554" s="19"/>
      <c r="AO554" s="21"/>
      <c r="AP554" s="22"/>
      <c r="AQ554" s="26"/>
      <c r="AR554" s="37"/>
      <c r="AS554" s="38"/>
      <c r="AT554" s="38"/>
      <c r="AU554" s="27"/>
    </row>
    <row r="555" spans="1:47" s="1" customFormat="1" ht="21" customHeight="1" x14ac:dyDescent="0.25">
      <c r="A555" s="83"/>
      <c r="B555" s="47"/>
      <c r="C555" s="80"/>
      <c r="D555" s="33"/>
      <c r="E555" s="48"/>
      <c r="F555" s="48"/>
      <c r="G555" s="48"/>
      <c r="H555" s="30"/>
      <c r="I555" s="30"/>
      <c r="J555" s="28"/>
      <c r="K555" s="31"/>
      <c r="L555" s="31"/>
      <c r="M555" s="32"/>
      <c r="N555" s="36"/>
      <c r="O555" s="36"/>
      <c r="P555" s="36"/>
      <c r="Q555" s="15"/>
      <c r="R555" s="20"/>
      <c r="S555" s="20"/>
      <c r="T555" s="20"/>
      <c r="U555" s="20"/>
      <c r="V555" s="20"/>
      <c r="W555" s="19"/>
      <c r="X555" s="19"/>
      <c r="Y555" s="20"/>
      <c r="Z555" s="20"/>
      <c r="AA555" s="20"/>
      <c r="AB555" s="20"/>
      <c r="AC555" s="15"/>
      <c r="AD555" s="15"/>
      <c r="AE555" s="19"/>
      <c r="AF555" s="20"/>
      <c r="AG555" s="15"/>
      <c r="AH555" s="15"/>
      <c r="AI555" s="15"/>
      <c r="AJ555" s="15"/>
      <c r="AK555" s="15"/>
      <c r="AL555" s="15"/>
      <c r="AM555" s="29"/>
      <c r="AN555" s="19"/>
      <c r="AO555" s="21"/>
      <c r="AP555" s="22"/>
      <c r="AQ555" s="26"/>
      <c r="AR555" s="37"/>
      <c r="AS555" s="38"/>
      <c r="AT555" s="38"/>
      <c r="AU555" s="27"/>
    </row>
    <row r="556" spans="1:47" s="1" customFormat="1" ht="21" customHeight="1" x14ac:dyDescent="0.25">
      <c r="A556" s="83"/>
      <c r="B556" s="47"/>
      <c r="C556" s="80"/>
      <c r="D556" s="33"/>
      <c r="E556" s="48"/>
      <c r="F556" s="48"/>
      <c r="G556" s="48"/>
      <c r="H556" s="30"/>
      <c r="I556" s="30"/>
      <c r="J556" s="28"/>
      <c r="K556" s="31"/>
      <c r="L556" s="31"/>
      <c r="M556" s="32"/>
      <c r="N556" s="36"/>
      <c r="O556" s="36"/>
      <c r="P556" s="36"/>
      <c r="Q556" s="15"/>
      <c r="R556" s="20"/>
      <c r="S556" s="20"/>
      <c r="T556" s="20"/>
      <c r="U556" s="20"/>
      <c r="V556" s="20"/>
      <c r="W556" s="19"/>
      <c r="X556" s="19"/>
      <c r="Y556" s="20"/>
      <c r="Z556" s="20"/>
      <c r="AA556" s="20"/>
      <c r="AB556" s="20"/>
      <c r="AC556" s="15"/>
      <c r="AD556" s="15"/>
      <c r="AE556" s="19"/>
      <c r="AF556" s="20"/>
      <c r="AG556" s="15"/>
      <c r="AH556" s="15"/>
      <c r="AI556" s="15"/>
      <c r="AJ556" s="15"/>
      <c r="AK556" s="15"/>
      <c r="AL556" s="15"/>
      <c r="AM556" s="29"/>
      <c r="AN556" s="19"/>
      <c r="AO556" s="21"/>
      <c r="AP556" s="22"/>
      <c r="AQ556" s="26"/>
      <c r="AR556" s="37"/>
      <c r="AS556" s="38"/>
      <c r="AT556" s="38"/>
      <c r="AU556" s="27"/>
    </row>
    <row r="557" spans="1:47" s="1" customFormat="1" ht="21" customHeight="1" x14ac:dyDescent="0.25">
      <c r="A557" s="83"/>
      <c r="B557" s="47"/>
      <c r="C557" s="80"/>
      <c r="D557" s="33"/>
      <c r="E557" s="48"/>
      <c r="F557" s="48"/>
      <c r="G557" s="48"/>
      <c r="H557" s="30"/>
      <c r="I557" s="30"/>
      <c r="J557" s="28"/>
      <c r="K557" s="31"/>
      <c r="L557" s="31"/>
      <c r="M557" s="32"/>
      <c r="N557" s="36"/>
      <c r="O557" s="36"/>
      <c r="P557" s="36"/>
      <c r="Q557" s="15"/>
      <c r="R557" s="20"/>
      <c r="S557" s="20"/>
      <c r="T557" s="20"/>
      <c r="U557" s="20"/>
      <c r="V557" s="20"/>
      <c r="W557" s="19"/>
      <c r="X557" s="19"/>
      <c r="Y557" s="20"/>
      <c r="Z557" s="20"/>
      <c r="AA557" s="20"/>
      <c r="AB557" s="20"/>
      <c r="AC557" s="15"/>
      <c r="AD557" s="15"/>
      <c r="AE557" s="19"/>
      <c r="AF557" s="20"/>
      <c r="AG557" s="15"/>
      <c r="AH557" s="15"/>
      <c r="AI557" s="15"/>
      <c r="AJ557" s="15"/>
      <c r="AK557" s="15"/>
      <c r="AL557" s="15"/>
      <c r="AM557" s="29"/>
      <c r="AN557" s="19"/>
      <c r="AO557" s="21"/>
      <c r="AP557" s="22"/>
      <c r="AQ557" s="26"/>
      <c r="AR557" s="37"/>
      <c r="AS557" s="38"/>
      <c r="AT557" s="38"/>
      <c r="AU557" s="27"/>
    </row>
    <row r="558" spans="1:47" s="1" customFormat="1" ht="21" customHeight="1" x14ac:dyDescent="0.25">
      <c r="A558" s="83"/>
      <c r="B558" s="47"/>
      <c r="C558" s="80"/>
      <c r="D558" s="33"/>
      <c r="E558" s="48"/>
      <c r="F558" s="48"/>
      <c r="G558" s="48"/>
      <c r="H558" s="30"/>
      <c r="I558" s="30"/>
      <c r="J558" s="28"/>
      <c r="K558" s="31"/>
      <c r="L558" s="31"/>
      <c r="M558" s="32"/>
      <c r="N558" s="36"/>
      <c r="O558" s="36"/>
      <c r="P558" s="36"/>
      <c r="Q558" s="15"/>
      <c r="R558" s="20"/>
      <c r="S558" s="20"/>
      <c r="T558" s="20"/>
      <c r="U558" s="20"/>
      <c r="V558" s="20"/>
      <c r="W558" s="19"/>
      <c r="X558" s="19"/>
      <c r="Y558" s="20"/>
      <c r="Z558" s="20"/>
      <c r="AA558" s="20"/>
      <c r="AB558" s="20"/>
      <c r="AC558" s="15"/>
      <c r="AD558" s="15"/>
      <c r="AE558" s="19"/>
      <c r="AF558" s="20"/>
      <c r="AG558" s="15"/>
      <c r="AH558" s="15"/>
      <c r="AI558" s="15"/>
      <c r="AJ558" s="15"/>
      <c r="AK558" s="15"/>
      <c r="AL558" s="15"/>
      <c r="AM558" s="29"/>
      <c r="AN558" s="19"/>
      <c r="AO558" s="21"/>
      <c r="AP558" s="22"/>
      <c r="AQ558" s="26"/>
      <c r="AR558" s="37"/>
      <c r="AS558" s="38"/>
      <c r="AT558" s="38"/>
      <c r="AU558" s="27"/>
    </row>
    <row r="559" spans="1:47" s="1" customFormat="1" ht="21" customHeight="1" x14ac:dyDescent="0.25">
      <c r="A559" s="83"/>
      <c r="B559" s="47"/>
      <c r="C559" s="80"/>
      <c r="D559" s="33"/>
      <c r="E559" s="48"/>
      <c r="F559" s="48"/>
      <c r="G559" s="48"/>
      <c r="H559" s="30"/>
      <c r="I559" s="30"/>
      <c r="J559" s="28"/>
      <c r="K559" s="31"/>
      <c r="L559" s="31"/>
      <c r="M559" s="32"/>
      <c r="N559" s="36"/>
      <c r="O559" s="36"/>
      <c r="P559" s="36"/>
      <c r="Q559" s="15"/>
      <c r="R559" s="20"/>
      <c r="S559" s="20"/>
      <c r="T559" s="20"/>
      <c r="U559" s="20"/>
      <c r="V559" s="20"/>
      <c r="W559" s="19"/>
      <c r="X559" s="19"/>
      <c r="Y559" s="20"/>
      <c r="Z559" s="20"/>
      <c r="AA559" s="20"/>
      <c r="AB559" s="20"/>
      <c r="AC559" s="15"/>
      <c r="AD559" s="15"/>
      <c r="AE559" s="19"/>
      <c r="AF559" s="20"/>
      <c r="AG559" s="15"/>
      <c r="AH559" s="15"/>
      <c r="AI559" s="15"/>
      <c r="AJ559" s="15"/>
      <c r="AK559" s="15"/>
      <c r="AL559" s="15"/>
      <c r="AM559" s="29"/>
      <c r="AN559" s="19"/>
      <c r="AO559" s="21"/>
      <c r="AP559" s="22"/>
      <c r="AQ559" s="26"/>
      <c r="AR559" s="37"/>
      <c r="AS559" s="38"/>
      <c r="AT559" s="38"/>
      <c r="AU559" s="27"/>
    </row>
    <row r="560" spans="1:47" s="1" customFormat="1" ht="21" customHeight="1" x14ac:dyDescent="0.25">
      <c r="A560" s="83"/>
      <c r="B560" s="47"/>
      <c r="C560" s="80"/>
      <c r="D560" s="33"/>
      <c r="E560" s="48"/>
      <c r="F560" s="48"/>
      <c r="G560" s="48"/>
      <c r="H560" s="30"/>
      <c r="I560" s="30"/>
      <c r="J560" s="28"/>
      <c r="K560" s="31"/>
      <c r="L560" s="31"/>
      <c r="M560" s="32"/>
      <c r="N560" s="36"/>
      <c r="O560" s="36"/>
      <c r="P560" s="36"/>
      <c r="Q560" s="15"/>
      <c r="R560" s="20"/>
      <c r="S560" s="20"/>
      <c r="T560" s="20"/>
      <c r="U560" s="20"/>
      <c r="V560" s="20"/>
      <c r="W560" s="19"/>
      <c r="X560" s="19"/>
      <c r="Y560" s="20"/>
      <c r="Z560" s="20"/>
      <c r="AA560" s="20"/>
      <c r="AB560" s="20"/>
      <c r="AC560" s="15"/>
      <c r="AD560" s="15"/>
      <c r="AE560" s="19"/>
      <c r="AF560" s="20"/>
      <c r="AG560" s="15"/>
      <c r="AH560" s="15"/>
      <c r="AI560" s="15"/>
      <c r="AJ560" s="15"/>
      <c r="AK560" s="15"/>
      <c r="AL560" s="15"/>
      <c r="AM560" s="29"/>
      <c r="AN560" s="19"/>
      <c r="AO560" s="21"/>
      <c r="AP560" s="22"/>
      <c r="AQ560" s="26"/>
      <c r="AR560" s="37"/>
      <c r="AS560" s="38"/>
      <c r="AT560" s="38"/>
      <c r="AU560" s="27"/>
    </row>
    <row r="561" spans="1:47" s="1" customFormat="1" ht="21" customHeight="1" x14ac:dyDescent="0.25">
      <c r="A561" s="83"/>
      <c r="B561" s="47"/>
      <c r="C561" s="80"/>
      <c r="D561" s="33"/>
      <c r="E561" s="48"/>
      <c r="F561" s="48"/>
      <c r="G561" s="48"/>
      <c r="H561" s="30"/>
      <c r="I561" s="30"/>
      <c r="J561" s="28"/>
      <c r="K561" s="31"/>
      <c r="L561" s="31"/>
      <c r="M561" s="32"/>
      <c r="N561" s="36"/>
      <c r="O561" s="36"/>
      <c r="P561" s="36"/>
      <c r="Q561" s="15"/>
      <c r="R561" s="20"/>
      <c r="S561" s="20"/>
      <c r="T561" s="20"/>
      <c r="U561" s="20"/>
      <c r="V561" s="20"/>
      <c r="W561" s="19"/>
      <c r="X561" s="19"/>
      <c r="Y561" s="20"/>
      <c r="Z561" s="20"/>
      <c r="AA561" s="20"/>
      <c r="AB561" s="20"/>
      <c r="AC561" s="15"/>
      <c r="AD561" s="15"/>
      <c r="AE561" s="19"/>
      <c r="AF561" s="20"/>
      <c r="AG561" s="15"/>
      <c r="AH561" s="15"/>
      <c r="AI561" s="15"/>
      <c r="AJ561" s="15"/>
      <c r="AK561" s="15"/>
      <c r="AL561" s="15"/>
      <c r="AM561" s="29"/>
      <c r="AN561" s="19"/>
      <c r="AO561" s="21"/>
      <c r="AP561" s="22"/>
      <c r="AQ561" s="26"/>
      <c r="AR561" s="37"/>
      <c r="AS561" s="38"/>
      <c r="AT561" s="38"/>
      <c r="AU561" s="27"/>
    </row>
    <row r="562" spans="1:47" s="1" customFormat="1" ht="21" customHeight="1" x14ac:dyDescent="0.25">
      <c r="A562" s="83"/>
      <c r="B562" s="47"/>
      <c r="C562" s="80"/>
      <c r="D562" s="33"/>
      <c r="E562" s="48"/>
      <c r="F562" s="48"/>
      <c r="G562" s="48"/>
      <c r="H562" s="30"/>
      <c r="I562" s="30"/>
      <c r="J562" s="28"/>
      <c r="K562" s="31"/>
      <c r="L562" s="31"/>
      <c r="M562" s="32"/>
      <c r="N562" s="36"/>
      <c r="O562" s="36"/>
      <c r="P562" s="36"/>
      <c r="Q562" s="15"/>
      <c r="R562" s="20"/>
      <c r="S562" s="20"/>
      <c r="T562" s="20"/>
      <c r="U562" s="20"/>
      <c r="V562" s="20"/>
      <c r="W562" s="19"/>
      <c r="X562" s="19"/>
      <c r="Y562" s="20"/>
      <c r="Z562" s="20"/>
      <c r="AA562" s="20"/>
      <c r="AB562" s="20"/>
      <c r="AC562" s="15"/>
      <c r="AD562" s="15"/>
      <c r="AE562" s="19"/>
      <c r="AF562" s="20"/>
      <c r="AG562" s="15"/>
      <c r="AH562" s="15"/>
      <c r="AI562" s="15"/>
      <c r="AJ562" s="15"/>
      <c r="AK562" s="15"/>
      <c r="AL562" s="15"/>
      <c r="AM562" s="29"/>
      <c r="AN562" s="19"/>
      <c r="AO562" s="21"/>
      <c r="AP562" s="22"/>
      <c r="AQ562" s="26"/>
      <c r="AR562" s="37"/>
      <c r="AS562" s="38"/>
      <c r="AT562" s="38"/>
      <c r="AU562" s="27"/>
    </row>
    <row r="563" spans="1:47" s="1" customFormat="1" ht="21" customHeight="1" x14ac:dyDescent="0.25">
      <c r="A563" s="83"/>
      <c r="B563" s="47"/>
      <c r="C563" s="80"/>
      <c r="D563" s="33"/>
      <c r="E563" s="48"/>
      <c r="F563" s="48"/>
      <c r="G563" s="48"/>
      <c r="H563" s="30"/>
      <c r="I563" s="30"/>
      <c r="J563" s="28"/>
      <c r="K563" s="31"/>
      <c r="L563" s="31"/>
      <c r="M563" s="32"/>
      <c r="N563" s="36"/>
      <c r="O563" s="36"/>
      <c r="P563" s="36"/>
      <c r="Q563" s="15"/>
      <c r="R563" s="20"/>
      <c r="S563" s="20"/>
      <c r="T563" s="20"/>
      <c r="U563" s="20"/>
      <c r="V563" s="20"/>
      <c r="W563" s="19"/>
      <c r="X563" s="19"/>
      <c r="Y563" s="20"/>
      <c r="Z563" s="20"/>
      <c r="AA563" s="20"/>
      <c r="AB563" s="20"/>
      <c r="AC563" s="15"/>
      <c r="AD563" s="15"/>
      <c r="AE563" s="19"/>
      <c r="AF563" s="20"/>
      <c r="AG563" s="15"/>
      <c r="AH563" s="15"/>
      <c r="AI563" s="15"/>
      <c r="AJ563" s="15"/>
      <c r="AK563" s="15"/>
      <c r="AL563" s="15"/>
      <c r="AM563" s="29"/>
      <c r="AN563" s="19"/>
      <c r="AO563" s="21"/>
      <c r="AP563" s="22"/>
      <c r="AQ563" s="26"/>
      <c r="AR563" s="37"/>
      <c r="AS563" s="38"/>
      <c r="AT563" s="38"/>
      <c r="AU563" s="27"/>
    </row>
    <row r="564" spans="1:47" s="1" customFormat="1" ht="21" customHeight="1" x14ac:dyDescent="0.25">
      <c r="A564" s="83"/>
      <c r="B564" s="47"/>
      <c r="C564" s="80"/>
      <c r="D564" s="33"/>
      <c r="E564" s="48"/>
      <c r="F564" s="48"/>
      <c r="G564" s="48"/>
      <c r="H564" s="30"/>
      <c r="I564" s="30"/>
      <c r="J564" s="28"/>
      <c r="K564" s="31"/>
      <c r="L564" s="31"/>
      <c r="M564" s="32"/>
      <c r="N564" s="36"/>
      <c r="O564" s="36"/>
      <c r="P564" s="36"/>
      <c r="Q564" s="15"/>
      <c r="R564" s="20"/>
      <c r="S564" s="20"/>
      <c r="T564" s="20"/>
      <c r="U564" s="20"/>
      <c r="V564" s="20"/>
      <c r="W564" s="19"/>
      <c r="X564" s="19"/>
      <c r="Y564" s="20"/>
      <c r="Z564" s="20"/>
      <c r="AA564" s="20"/>
      <c r="AB564" s="20"/>
      <c r="AC564" s="15"/>
      <c r="AD564" s="15"/>
      <c r="AE564" s="19"/>
      <c r="AF564" s="20"/>
      <c r="AG564" s="15"/>
      <c r="AH564" s="15"/>
      <c r="AI564" s="15"/>
      <c r="AJ564" s="15"/>
      <c r="AK564" s="15"/>
      <c r="AL564" s="15"/>
      <c r="AM564" s="29"/>
      <c r="AN564" s="19"/>
      <c r="AO564" s="21"/>
      <c r="AP564" s="22"/>
      <c r="AQ564" s="26"/>
      <c r="AR564" s="37"/>
      <c r="AS564" s="38"/>
      <c r="AT564" s="38"/>
      <c r="AU564" s="27"/>
    </row>
    <row r="565" spans="1:47" s="1" customFormat="1" ht="21" customHeight="1" x14ac:dyDescent="0.25">
      <c r="A565" s="83"/>
      <c r="B565" s="47"/>
      <c r="C565" s="81"/>
      <c r="D565" s="33"/>
      <c r="E565" s="48"/>
      <c r="F565" s="48"/>
      <c r="G565" s="48"/>
      <c r="H565" s="30"/>
      <c r="I565" s="30"/>
      <c r="J565" s="28"/>
      <c r="K565" s="31"/>
      <c r="L565" s="31"/>
      <c r="M565" s="32"/>
      <c r="N565" s="36"/>
      <c r="O565" s="36"/>
      <c r="P565" s="36"/>
      <c r="Q565" s="15"/>
      <c r="R565" s="20"/>
      <c r="S565" s="20"/>
      <c r="T565" s="20"/>
      <c r="U565" s="20"/>
      <c r="V565" s="20"/>
      <c r="W565" s="19"/>
      <c r="X565" s="19"/>
      <c r="Y565" s="20"/>
      <c r="Z565" s="20"/>
      <c r="AA565" s="20"/>
      <c r="AB565" s="20"/>
      <c r="AC565" s="15"/>
      <c r="AD565" s="15"/>
      <c r="AE565" s="19"/>
      <c r="AF565" s="20"/>
      <c r="AG565" s="15"/>
      <c r="AH565" s="15"/>
      <c r="AI565" s="15"/>
      <c r="AJ565" s="15"/>
      <c r="AK565" s="15"/>
      <c r="AL565" s="15"/>
      <c r="AM565" s="29"/>
      <c r="AN565" s="19"/>
      <c r="AO565" s="21"/>
      <c r="AP565" s="22"/>
      <c r="AQ565" s="26"/>
      <c r="AR565" s="37"/>
      <c r="AS565" s="38"/>
      <c r="AT565" s="38"/>
      <c r="AU565" s="27"/>
    </row>
    <row r="566" spans="1:47" s="1" customFormat="1" ht="21" customHeight="1" x14ac:dyDescent="0.25">
      <c r="A566" s="83"/>
      <c r="B566" s="47"/>
      <c r="C566" s="80"/>
      <c r="D566" s="47"/>
      <c r="E566" s="48"/>
      <c r="F566" s="48"/>
      <c r="G566" s="48"/>
      <c r="H566" s="30"/>
      <c r="I566" s="30"/>
      <c r="J566" s="28"/>
      <c r="K566" s="31"/>
      <c r="L566" s="31"/>
      <c r="M566" s="32"/>
      <c r="N566" s="36"/>
      <c r="O566" s="36"/>
      <c r="P566" s="36"/>
      <c r="Q566" s="15"/>
      <c r="R566" s="20"/>
      <c r="S566" s="20"/>
      <c r="T566" s="20"/>
      <c r="U566" s="20"/>
      <c r="V566" s="20"/>
      <c r="W566" s="19"/>
      <c r="X566" s="19"/>
      <c r="Y566" s="20"/>
      <c r="Z566" s="20"/>
      <c r="AA566" s="20"/>
      <c r="AB566" s="20"/>
      <c r="AC566" s="15"/>
      <c r="AD566" s="15"/>
      <c r="AE566" s="19"/>
      <c r="AF566" s="20"/>
      <c r="AG566" s="15"/>
      <c r="AH566" s="15"/>
      <c r="AI566" s="15"/>
      <c r="AJ566" s="15"/>
      <c r="AK566" s="15"/>
      <c r="AL566" s="15"/>
      <c r="AM566" s="29"/>
      <c r="AN566" s="19"/>
      <c r="AO566" s="21"/>
      <c r="AP566" s="22"/>
      <c r="AQ566" s="26"/>
      <c r="AR566" s="37"/>
      <c r="AS566" s="38"/>
      <c r="AT566" s="38"/>
      <c r="AU566" s="27"/>
    </row>
    <row r="567" spans="1:47" s="1" customFormat="1" ht="21" hidden="1" customHeight="1" x14ac:dyDescent="0.25">
      <c r="A567" s="83"/>
      <c r="B567" s="47"/>
      <c r="C567" s="80"/>
      <c r="D567" s="33"/>
      <c r="E567" s="48"/>
      <c r="F567" s="48"/>
      <c r="G567" s="48"/>
      <c r="H567" s="47"/>
      <c r="I567" s="30"/>
      <c r="J567" s="28"/>
      <c r="K567" s="31"/>
      <c r="L567" s="31"/>
      <c r="M567" s="32"/>
      <c r="N567" s="36"/>
      <c r="O567" s="36"/>
      <c r="P567" s="36"/>
      <c r="Q567" s="15"/>
      <c r="R567" s="20"/>
      <c r="S567" s="20"/>
      <c r="T567" s="20"/>
      <c r="U567" s="20"/>
      <c r="V567" s="20"/>
      <c r="W567" s="19"/>
      <c r="X567" s="19"/>
      <c r="Y567" s="20"/>
      <c r="Z567" s="20"/>
      <c r="AA567" s="20"/>
      <c r="AB567" s="20"/>
      <c r="AC567" s="15"/>
      <c r="AD567" s="15"/>
      <c r="AE567" s="19"/>
      <c r="AF567" s="20"/>
      <c r="AG567" s="15"/>
      <c r="AH567" s="15"/>
      <c r="AI567" s="15"/>
      <c r="AJ567" s="15"/>
      <c r="AK567" s="15"/>
      <c r="AL567" s="15"/>
      <c r="AM567" s="29"/>
      <c r="AN567" s="19"/>
      <c r="AO567" s="21"/>
      <c r="AP567" s="22"/>
      <c r="AQ567" s="26"/>
      <c r="AR567" s="37"/>
      <c r="AS567" s="38"/>
      <c r="AT567" s="38"/>
      <c r="AU567" s="27"/>
    </row>
    <row r="568" spans="1:47" s="1" customFormat="1" ht="21" hidden="1" customHeight="1" x14ac:dyDescent="0.25">
      <c r="A568" s="83"/>
      <c r="B568" s="47"/>
      <c r="C568" s="80"/>
      <c r="D568" s="33"/>
      <c r="E568" s="48"/>
      <c r="F568" s="48"/>
      <c r="G568" s="48"/>
      <c r="H568" s="33"/>
      <c r="I568" s="30"/>
      <c r="J568" s="28"/>
      <c r="K568" s="31"/>
      <c r="L568" s="31"/>
      <c r="M568" s="32"/>
      <c r="N568" s="36"/>
      <c r="O568" s="36"/>
      <c r="P568" s="36"/>
      <c r="Q568" s="15"/>
      <c r="R568" s="20"/>
      <c r="S568" s="20"/>
      <c r="T568" s="20"/>
      <c r="U568" s="20"/>
      <c r="V568" s="20"/>
      <c r="W568" s="19"/>
      <c r="X568" s="19"/>
      <c r="Y568" s="20"/>
      <c r="Z568" s="20"/>
      <c r="AA568" s="20"/>
      <c r="AB568" s="20"/>
      <c r="AC568" s="15"/>
      <c r="AD568" s="15"/>
      <c r="AE568" s="19"/>
      <c r="AF568" s="20"/>
      <c r="AG568" s="15"/>
      <c r="AH568" s="15"/>
      <c r="AI568" s="15"/>
      <c r="AJ568" s="15"/>
      <c r="AK568" s="15"/>
      <c r="AL568" s="15"/>
      <c r="AM568" s="29"/>
      <c r="AN568" s="19"/>
      <c r="AO568" s="21"/>
      <c r="AP568" s="22"/>
      <c r="AQ568" s="26"/>
      <c r="AR568" s="37"/>
      <c r="AS568" s="38"/>
      <c r="AT568" s="38"/>
      <c r="AU568" s="27"/>
    </row>
    <row r="569" spans="1:47" s="1" customFormat="1" ht="21" hidden="1" customHeight="1" x14ac:dyDescent="0.25">
      <c r="A569" s="83"/>
      <c r="B569" s="47"/>
      <c r="C569" s="80"/>
      <c r="D569" s="33"/>
      <c r="E569" s="48"/>
      <c r="F569" s="48"/>
      <c r="G569" s="48"/>
      <c r="H569" s="33"/>
      <c r="I569" s="30"/>
      <c r="J569" s="28"/>
      <c r="K569" s="31"/>
      <c r="L569" s="31"/>
      <c r="M569" s="32"/>
      <c r="N569" s="36"/>
      <c r="O569" s="36"/>
      <c r="P569" s="36"/>
      <c r="Q569" s="15"/>
      <c r="R569" s="20"/>
      <c r="S569" s="20"/>
      <c r="T569" s="20"/>
      <c r="U569" s="20"/>
      <c r="V569" s="20"/>
      <c r="W569" s="19"/>
      <c r="X569" s="19"/>
      <c r="Y569" s="20"/>
      <c r="Z569" s="20"/>
      <c r="AA569" s="20"/>
      <c r="AB569" s="20"/>
      <c r="AC569" s="15"/>
      <c r="AD569" s="15"/>
      <c r="AE569" s="19"/>
      <c r="AF569" s="20"/>
      <c r="AG569" s="15"/>
      <c r="AH569" s="15"/>
      <c r="AI569" s="15"/>
      <c r="AJ569" s="15"/>
      <c r="AK569" s="15"/>
      <c r="AL569" s="15"/>
      <c r="AM569" s="29"/>
      <c r="AN569" s="19"/>
      <c r="AO569" s="21"/>
      <c r="AP569" s="22"/>
      <c r="AQ569" s="26"/>
      <c r="AR569" s="37"/>
      <c r="AS569" s="38"/>
      <c r="AT569" s="38"/>
      <c r="AU569" s="27"/>
    </row>
    <row r="570" spans="1:47" s="1" customFormat="1" ht="21" hidden="1" customHeight="1" x14ac:dyDescent="0.25">
      <c r="A570" s="83"/>
      <c r="B570" s="47"/>
      <c r="C570" s="80"/>
      <c r="D570" s="33"/>
      <c r="E570" s="48"/>
      <c r="F570" s="48"/>
      <c r="G570" s="48"/>
      <c r="H570" s="33"/>
      <c r="I570" s="30"/>
      <c r="J570" s="28"/>
      <c r="K570" s="31"/>
      <c r="L570" s="31"/>
      <c r="M570" s="32"/>
      <c r="N570" s="36"/>
      <c r="O570" s="36"/>
      <c r="P570" s="36"/>
      <c r="Q570" s="15"/>
      <c r="R570" s="20"/>
      <c r="S570" s="20"/>
      <c r="T570" s="20"/>
      <c r="U570" s="20"/>
      <c r="V570" s="20"/>
      <c r="W570" s="19"/>
      <c r="X570" s="19"/>
      <c r="Y570" s="20"/>
      <c r="Z570" s="20"/>
      <c r="AA570" s="20"/>
      <c r="AB570" s="20"/>
      <c r="AC570" s="15"/>
      <c r="AD570" s="15"/>
      <c r="AE570" s="19"/>
      <c r="AF570" s="20"/>
      <c r="AG570" s="15"/>
      <c r="AH570" s="15"/>
      <c r="AI570" s="15"/>
      <c r="AJ570" s="15"/>
      <c r="AK570" s="15"/>
      <c r="AL570" s="15"/>
      <c r="AM570" s="29"/>
      <c r="AN570" s="19"/>
      <c r="AO570" s="21"/>
      <c r="AP570" s="22"/>
      <c r="AQ570" s="26"/>
      <c r="AR570" s="37"/>
      <c r="AS570" s="38"/>
      <c r="AT570" s="38"/>
      <c r="AU570" s="27"/>
    </row>
    <row r="571" spans="1:47" s="1" customFormat="1" ht="21" hidden="1" customHeight="1" x14ac:dyDescent="0.25">
      <c r="A571" s="83"/>
      <c r="B571" s="47"/>
      <c r="C571" s="80"/>
      <c r="D571" s="33"/>
      <c r="E571" s="48"/>
      <c r="F571" s="48"/>
      <c r="G571" s="48"/>
      <c r="H571" s="33"/>
      <c r="I571" s="30"/>
      <c r="J571" s="28"/>
      <c r="K571" s="31"/>
      <c r="L571" s="31"/>
      <c r="M571" s="32"/>
      <c r="N571" s="36"/>
      <c r="O571" s="36"/>
      <c r="P571" s="36"/>
      <c r="Q571" s="15"/>
      <c r="R571" s="20"/>
      <c r="S571" s="20"/>
      <c r="T571" s="20"/>
      <c r="U571" s="20"/>
      <c r="V571" s="20"/>
      <c r="W571" s="19"/>
      <c r="X571" s="19"/>
      <c r="Y571" s="20"/>
      <c r="Z571" s="20"/>
      <c r="AA571" s="20"/>
      <c r="AB571" s="20"/>
      <c r="AC571" s="15"/>
      <c r="AD571" s="15"/>
      <c r="AE571" s="19"/>
      <c r="AF571" s="20"/>
      <c r="AG571" s="15"/>
      <c r="AH571" s="15"/>
      <c r="AI571" s="15"/>
      <c r="AJ571" s="15"/>
      <c r="AK571" s="15"/>
      <c r="AL571" s="15"/>
      <c r="AM571" s="29"/>
      <c r="AN571" s="19"/>
      <c r="AO571" s="21"/>
      <c r="AP571" s="22"/>
      <c r="AQ571" s="26"/>
      <c r="AR571" s="37"/>
      <c r="AS571" s="38"/>
      <c r="AT571" s="38"/>
      <c r="AU571" s="27"/>
    </row>
    <row r="572" spans="1:47" s="1" customFormat="1" ht="21" hidden="1" customHeight="1" x14ac:dyDescent="0.25">
      <c r="A572" s="83"/>
      <c r="B572" s="47"/>
      <c r="C572" s="80"/>
      <c r="D572" s="33"/>
      <c r="E572" s="48"/>
      <c r="F572" s="48"/>
      <c r="G572" s="48"/>
      <c r="H572" s="33"/>
      <c r="I572" s="30"/>
      <c r="J572" s="28"/>
      <c r="K572" s="31"/>
      <c r="L572" s="31"/>
      <c r="M572" s="32"/>
      <c r="N572" s="36"/>
      <c r="O572" s="36"/>
      <c r="P572" s="36"/>
      <c r="Q572" s="15"/>
      <c r="R572" s="20"/>
      <c r="S572" s="20"/>
      <c r="T572" s="20"/>
      <c r="U572" s="20"/>
      <c r="V572" s="20"/>
      <c r="W572" s="19"/>
      <c r="X572" s="19"/>
      <c r="Y572" s="20"/>
      <c r="Z572" s="20"/>
      <c r="AA572" s="20"/>
      <c r="AB572" s="20"/>
      <c r="AC572" s="15"/>
      <c r="AD572" s="15"/>
      <c r="AE572" s="19"/>
      <c r="AF572" s="20"/>
      <c r="AG572" s="15"/>
      <c r="AH572" s="15"/>
      <c r="AI572" s="15"/>
      <c r="AJ572" s="15"/>
      <c r="AK572" s="15"/>
      <c r="AL572" s="15"/>
      <c r="AM572" s="29"/>
      <c r="AN572" s="19"/>
      <c r="AO572" s="21"/>
      <c r="AP572" s="22"/>
      <c r="AQ572" s="26"/>
      <c r="AR572" s="37"/>
      <c r="AS572" s="38"/>
      <c r="AT572" s="38"/>
      <c r="AU572" s="27"/>
    </row>
    <row r="573" spans="1:47" s="1" customFormat="1" ht="21" hidden="1" customHeight="1" x14ac:dyDescent="0.25">
      <c r="A573" s="83"/>
      <c r="B573" s="47"/>
      <c r="C573" s="80"/>
      <c r="D573" s="33"/>
      <c r="E573" s="48"/>
      <c r="F573" s="48"/>
      <c r="G573" s="48"/>
      <c r="H573" s="33"/>
      <c r="I573" s="30"/>
      <c r="J573" s="28"/>
      <c r="K573" s="31"/>
      <c r="L573" s="31"/>
      <c r="M573" s="32"/>
      <c r="N573" s="36"/>
      <c r="O573" s="36"/>
      <c r="P573" s="36"/>
      <c r="Q573" s="15"/>
      <c r="R573" s="20"/>
      <c r="S573" s="20"/>
      <c r="T573" s="20"/>
      <c r="U573" s="20"/>
      <c r="V573" s="20"/>
      <c r="W573" s="19"/>
      <c r="X573" s="19"/>
      <c r="Y573" s="20"/>
      <c r="Z573" s="20"/>
      <c r="AA573" s="20"/>
      <c r="AB573" s="20"/>
      <c r="AC573" s="15"/>
      <c r="AD573" s="15"/>
      <c r="AE573" s="19"/>
      <c r="AF573" s="20"/>
      <c r="AG573" s="15"/>
      <c r="AH573" s="15"/>
      <c r="AI573" s="15"/>
      <c r="AJ573" s="15"/>
      <c r="AK573" s="15"/>
      <c r="AL573" s="15"/>
      <c r="AM573" s="29"/>
      <c r="AN573" s="19"/>
      <c r="AO573" s="21"/>
      <c r="AP573" s="22"/>
      <c r="AQ573" s="26"/>
      <c r="AR573" s="37"/>
      <c r="AS573" s="38"/>
      <c r="AT573" s="38"/>
      <c r="AU573" s="27"/>
    </row>
    <row r="574" spans="1:47" s="1" customFormat="1" ht="7.5" hidden="1" customHeight="1" x14ac:dyDescent="0.25">
      <c r="A574" s="83"/>
      <c r="B574" s="47"/>
      <c r="C574" s="80"/>
      <c r="D574" s="34"/>
      <c r="E574" s="48"/>
      <c r="F574" s="48"/>
      <c r="G574" s="34"/>
      <c r="H574" s="33"/>
      <c r="I574" s="30"/>
      <c r="J574" s="28"/>
      <c r="K574" s="31"/>
      <c r="L574" s="31"/>
      <c r="M574" s="32"/>
      <c r="N574" s="36"/>
      <c r="O574" s="36"/>
      <c r="P574" s="36"/>
      <c r="Q574" s="15"/>
      <c r="R574" s="20"/>
      <c r="S574" s="20"/>
      <c r="T574" s="20"/>
      <c r="U574" s="20"/>
      <c r="V574" s="20"/>
      <c r="W574" s="19"/>
      <c r="X574" s="19"/>
      <c r="Y574" s="20"/>
      <c r="Z574" s="20"/>
      <c r="AA574" s="20"/>
      <c r="AB574" s="20"/>
      <c r="AC574" s="15"/>
      <c r="AD574" s="15"/>
      <c r="AE574" s="19"/>
      <c r="AF574" s="20"/>
      <c r="AG574" s="15"/>
      <c r="AH574" s="15"/>
      <c r="AI574" s="15"/>
      <c r="AJ574" s="15"/>
      <c r="AK574" s="15"/>
      <c r="AL574" s="15"/>
      <c r="AM574" s="29"/>
      <c r="AN574" s="19"/>
      <c r="AO574" s="21"/>
      <c r="AP574" s="22"/>
      <c r="AQ574" s="26"/>
      <c r="AR574" s="37"/>
      <c r="AS574" s="38"/>
      <c r="AT574" s="38"/>
      <c r="AU574" s="27"/>
    </row>
    <row r="575" spans="1:47" ht="27.75" hidden="1" customHeight="1" x14ac:dyDescent="0.25">
      <c r="A575" s="83"/>
      <c r="B575" s="47"/>
      <c r="C575" s="80"/>
      <c r="D575" s="84"/>
      <c r="E575" s="84"/>
      <c r="F575" s="84"/>
      <c r="G575" s="77"/>
      <c r="H575" s="34"/>
      <c r="I575" s="30"/>
      <c r="J575" s="28"/>
      <c r="K575" s="35"/>
      <c r="L575" s="35"/>
      <c r="M575" s="32"/>
      <c r="N575" s="36"/>
      <c r="O575" s="36"/>
      <c r="P575" s="36"/>
      <c r="Q575" s="15"/>
      <c r="R575" s="24"/>
      <c r="S575" s="24"/>
      <c r="T575" s="24"/>
      <c r="U575" s="24"/>
      <c r="V575" s="24"/>
      <c r="W575" s="23"/>
      <c r="X575" s="23"/>
      <c r="Y575" s="24"/>
      <c r="Z575" s="24"/>
      <c r="AA575" s="24"/>
      <c r="AB575" s="24"/>
      <c r="AC575" s="15"/>
      <c r="AD575" s="15"/>
      <c r="AE575" s="19"/>
      <c r="AF575" s="24"/>
      <c r="AG575" s="15"/>
      <c r="AH575" s="15"/>
      <c r="AI575" s="15"/>
      <c r="AJ575" s="15"/>
      <c r="AK575" s="15"/>
      <c r="AL575" s="15"/>
      <c r="AM575" s="29"/>
      <c r="AN575" s="23"/>
      <c r="AO575" s="21"/>
      <c r="AP575" s="24"/>
      <c r="AQ575" s="25"/>
      <c r="AR575" s="37"/>
      <c r="AS575" s="38"/>
      <c r="AT575" s="38"/>
      <c r="AU575" s="27"/>
    </row>
    <row r="576" spans="1:47" ht="21" customHeight="1" x14ac:dyDescent="0.25">
      <c r="A576" s="83"/>
      <c r="B576" s="47"/>
      <c r="C576" s="80"/>
      <c r="D576" s="84"/>
      <c r="E576" s="84"/>
      <c r="F576" s="84"/>
      <c r="G576" s="77"/>
      <c r="H576" s="84"/>
      <c r="I576" s="77"/>
      <c r="J576" s="85"/>
      <c r="K576" s="77"/>
      <c r="L576" s="77"/>
      <c r="M576" s="86"/>
      <c r="N576" s="36"/>
      <c r="O576" s="86"/>
      <c r="P576" s="86"/>
      <c r="Q576" s="87"/>
      <c r="R576" s="84"/>
      <c r="S576" s="84"/>
      <c r="T576" s="84"/>
      <c r="U576" s="84"/>
      <c r="V576" s="84"/>
      <c r="AI576" s="15"/>
      <c r="AJ576" s="15"/>
      <c r="AO576" s="21"/>
      <c r="AU576" s="27"/>
    </row>
    <row r="577" spans="1:47" ht="17.25" customHeight="1" x14ac:dyDescent="0.25">
      <c r="A577" s="83"/>
      <c r="B577" s="47"/>
      <c r="C577" s="80"/>
      <c r="D577" s="84"/>
      <c r="E577" s="84"/>
      <c r="F577" s="84"/>
      <c r="G577" s="77"/>
      <c r="H577" s="84"/>
      <c r="I577" s="77"/>
      <c r="J577" s="85"/>
      <c r="K577" s="77"/>
      <c r="L577" s="77"/>
      <c r="M577" s="86"/>
      <c r="N577" s="36"/>
      <c r="O577" s="86"/>
      <c r="P577" s="86"/>
      <c r="Q577" s="87"/>
      <c r="R577" s="84"/>
      <c r="S577" s="84"/>
      <c r="T577" s="84"/>
      <c r="U577" s="84"/>
      <c r="V577" s="84"/>
      <c r="AI577" s="15"/>
      <c r="AJ577" s="15"/>
      <c r="AO577" s="21"/>
      <c r="AU577" s="27"/>
    </row>
    <row r="578" spans="1:47" x14ac:dyDescent="0.25">
      <c r="A578" s="83"/>
      <c r="B578" s="47"/>
      <c r="C578" s="80"/>
      <c r="D578" s="84"/>
      <c r="E578" s="84"/>
      <c r="F578" s="84"/>
      <c r="G578" s="77"/>
      <c r="H578" s="84"/>
      <c r="I578" s="77"/>
      <c r="J578" s="85"/>
      <c r="K578" s="77"/>
      <c r="L578" s="77"/>
      <c r="M578" s="86"/>
      <c r="N578" s="86"/>
      <c r="O578" s="86"/>
      <c r="P578" s="86"/>
      <c r="Q578" s="87"/>
      <c r="R578" s="84"/>
      <c r="S578" s="84"/>
      <c r="T578" s="84"/>
      <c r="U578" s="84"/>
      <c r="V578" s="84"/>
      <c r="AI578" s="15"/>
      <c r="AJ578" s="15"/>
      <c r="AO578" s="21"/>
      <c r="AU578" s="27"/>
    </row>
    <row r="579" spans="1:47" x14ac:dyDescent="0.25">
      <c r="A579" s="83"/>
      <c r="B579" s="47"/>
      <c r="C579" s="80"/>
      <c r="D579" s="84"/>
      <c r="E579" s="84"/>
      <c r="F579" s="84"/>
      <c r="G579" s="77"/>
      <c r="H579" s="84"/>
      <c r="I579" s="77"/>
      <c r="J579" s="85"/>
      <c r="K579" s="77"/>
      <c r="L579" s="77"/>
      <c r="M579" s="86"/>
      <c r="N579" s="86"/>
      <c r="O579" s="86"/>
      <c r="P579" s="86"/>
      <c r="Q579" s="87"/>
      <c r="R579" s="84"/>
      <c r="S579" s="84"/>
      <c r="T579" s="84"/>
      <c r="U579" s="84"/>
      <c r="V579" s="84"/>
      <c r="AI579" s="15"/>
      <c r="AJ579" s="15"/>
      <c r="AO579" s="21"/>
    </row>
    <row r="580" spans="1:47" x14ac:dyDescent="0.25">
      <c r="A580" s="83"/>
      <c r="B580" s="47"/>
      <c r="C580" s="80"/>
      <c r="D580" s="84"/>
      <c r="E580" s="84"/>
      <c r="F580" s="84"/>
      <c r="G580" s="77"/>
      <c r="H580" s="84"/>
      <c r="I580" s="77"/>
      <c r="J580" s="85"/>
      <c r="K580" s="77"/>
      <c r="L580" s="77"/>
      <c r="M580" s="86"/>
      <c r="N580" s="86"/>
      <c r="O580" s="86"/>
      <c r="P580" s="86"/>
      <c r="Q580" s="87"/>
      <c r="R580" s="84"/>
      <c r="S580" s="84"/>
      <c r="T580" s="84"/>
      <c r="U580" s="84"/>
      <c r="V580" s="84"/>
      <c r="AI580" s="15"/>
      <c r="AJ580" s="15"/>
      <c r="AO580" s="21"/>
    </row>
    <row r="581" spans="1:47" x14ac:dyDescent="0.25">
      <c r="A581" s="83"/>
      <c r="B581" s="47"/>
      <c r="C581" s="80"/>
      <c r="D581" s="84"/>
      <c r="E581" s="84"/>
      <c r="F581" s="84"/>
      <c r="G581" s="77"/>
      <c r="H581" s="84"/>
      <c r="I581" s="77"/>
      <c r="J581" s="85"/>
      <c r="K581" s="77"/>
      <c r="L581" s="77"/>
      <c r="M581" s="86"/>
      <c r="N581" s="86"/>
      <c r="O581" s="86"/>
      <c r="P581" s="86"/>
      <c r="Q581" s="87"/>
      <c r="R581" s="84"/>
      <c r="S581" s="84"/>
      <c r="T581" s="84"/>
      <c r="U581" s="84"/>
      <c r="V581" s="84"/>
      <c r="AI581" s="15"/>
      <c r="AO581" s="21"/>
    </row>
    <row r="582" spans="1:47" x14ac:dyDescent="0.25">
      <c r="A582" s="83"/>
      <c r="B582" s="47"/>
      <c r="C582" s="80"/>
      <c r="D582" s="84"/>
      <c r="E582" s="84"/>
      <c r="F582" s="84"/>
      <c r="G582" s="77"/>
      <c r="H582" s="84"/>
      <c r="I582" s="77"/>
      <c r="J582" s="85"/>
      <c r="K582" s="77"/>
      <c r="L582" s="77"/>
      <c r="M582" s="86"/>
      <c r="N582" s="86"/>
      <c r="O582" s="86"/>
      <c r="P582" s="86"/>
      <c r="Q582" s="87"/>
      <c r="R582" s="84"/>
      <c r="S582" s="84"/>
      <c r="T582" s="84"/>
      <c r="U582" s="84"/>
      <c r="V582" s="84"/>
      <c r="AI582" s="15"/>
      <c r="AO582" s="21"/>
    </row>
    <row r="583" spans="1:47" x14ac:dyDescent="0.25">
      <c r="A583" s="83"/>
      <c r="B583" s="47"/>
      <c r="C583" s="80"/>
      <c r="D583" s="84"/>
      <c r="E583" s="84"/>
      <c r="F583" s="84"/>
      <c r="G583" s="77"/>
      <c r="H583" s="84"/>
      <c r="I583" s="77"/>
      <c r="J583" s="85"/>
      <c r="K583" s="77"/>
      <c r="L583" s="77"/>
      <c r="M583" s="86"/>
      <c r="N583" s="86"/>
      <c r="O583" s="86"/>
      <c r="P583" s="86"/>
      <c r="Q583" s="87"/>
      <c r="R583" s="84"/>
      <c r="S583" s="84"/>
      <c r="T583" s="84"/>
      <c r="U583" s="84"/>
      <c r="V583" s="84"/>
      <c r="AI583" s="15"/>
      <c r="AO583" s="21"/>
    </row>
    <row r="584" spans="1:47" x14ac:dyDescent="0.25">
      <c r="A584" s="83"/>
      <c r="B584" s="47"/>
      <c r="C584" s="80"/>
      <c r="D584" s="84"/>
      <c r="E584" s="84"/>
      <c r="F584" s="84"/>
      <c r="G584" s="77"/>
      <c r="H584" s="84"/>
      <c r="I584" s="77"/>
      <c r="J584" s="85"/>
      <c r="K584" s="77"/>
      <c r="L584" s="77"/>
      <c r="M584" s="86"/>
      <c r="N584" s="86"/>
      <c r="O584" s="86"/>
      <c r="P584" s="86"/>
      <c r="Q584" s="87"/>
      <c r="R584" s="84"/>
      <c r="S584" s="84"/>
      <c r="T584" s="84"/>
      <c r="U584" s="84"/>
      <c r="V584" s="84"/>
      <c r="AI584" s="15"/>
      <c r="AO584" s="21"/>
    </row>
    <row r="585" spans="1:47" x14ac:dyDescent="0.25">
      <c r="A585" s="83"/>
      <c r="B585" s="47"/>
      <c r="C585" s="80"/>
      <c r="D585" s="84"/>
      <c r="E585" s="84"/>
      <c r="F585" s="84"/>
      <c r="G585" s="77"/>
      <c r="H585" s="84"/>
      <c r="I585" s="77"/>
      <c r="J585" s="85"/>
      <c r="K585" s="77"/>
      <c r="L585" s="77"/>
      <c r="M585" s="86"/>
      <c r="N585" s="86"/>
      <c r="O585" s="86"/>
      <c r="P585" s="86"/>
      <c r="Q585" s="87"/>
      <c r="R585" s="84"/>
      <c r="S585" s="84"/>
      <c r="T585" s="84"/>
      <c r="U585" s="84"/>
      <c r="V585" s="84"/>
      <c r="AI585" s="15"/>
      <c r="AO585" s="21"/>
    </row>
    <row r="586" spans="1:47" x14ac:dyDescent="0.25">
      <c r="A586" s="83"/>
      <c r="B586" s="47"/>
      <c r="C586" s="80"/>
      <c r="D586" s="84"/>
      <c r="E586" s="84"/>
      <c r="F586" s="84"/>
      <c r="G586" s="77"/>
      <c r="H586" s="84"/>
      <c r="I586" s="77"/>
      <c r="J586" s="85"/>
      <c r="K586" s="77"/>
      <c r="L586" s="77"/>
      <c r="M586" s="86"/>
      <c r="N586" s="86"/>
      <c r="O586" s="86"/>
      <c r="P586" s="86"/>
      <c r="Q586" s="87"/>
      <c r="R586" s="84"/>
      <c r="S586" s="84"/>
      <c r="T586" s="84"/>
      <c r="U586" s="84"/>
      <c r="V586" s="84"/>
      <c r="AI586" s="15"/>
      <c r="AO586" s="21"/>
    </row>
    <row r="587" spans="1:47" x14ac:dyDescent="0.25">
      <c r="A587" s="83"/>
      <c r="B587" s="47"/>
      <c r="C587" s="80"/>
      <c r="D587" s="84"/>
      <c r="E587" s="84"/>
      <c r="F587" s="84"/>
      <c r="G587" s="77"/>
      <c r="H587" s="84"/>
      <c r="I587" s="77"/>
      <c r="J587" s="85"/>
      <c r="K587" s="77"/>
      <c r="L587" s="77"/>
      <c r="M587" s="86"/>
      <c r="N587" s="86"/>
      <c r="O587" s="86"/>
      <c r="P587" s="86"/>
      <c r="Q587" s="87"/>
      <c r="R587" s="84"/>
      <c r="S587" s="84"/>
      <c r="T587" s="84"/>
      <c r="U587" s="84"/>
      <c r="V587" s="84"/>
      <c r="AI587" s="15"/>
      <c r="AO587" s="21"/>
    </row>
    <row r="588" spans="1:47" x14ac:dyDescent="0.25">
      <c r="A588" s="83"/>
      <c r="B588" s="47"/>
      <c r="C588" s="80"/>
      <c r="D588" s="84"/>
      <c r="E588" s="84"/>
      <c r="F588" s="84"/>
      <c r="G588" s="77"/>
      <c r="H588" s="84"/>
      <c r="I588" s="77"/>
      <c r="J588" s="85"/>
      <c r="K588" s="77"/>
      <c r="L588" s="77"/>
      <c r="M588" s="86"/>
      <c r="N588" s="86"/>
      <c r="O588" s="86"/>
      <c r="P588" s="86"/>
      <c r="Q588" s="87"/>
      <c r="R588" s="84"/>
      <c r="S588" s="84"/>
      <c r="T588" s="84"/>
      <c r="U588" s="84"/>
      <c r="V588" s="84"/>
      <c r="AI588" s="15"/>
      <c r="AO588" s="21"/>
    </row>
    <row r="589" spans="1:47" x14ac:dyDescent="0.25">
      <c r="A589" s="83"/>
      <c r="B589" s="47"/>
      <c r="C589" s="80"/>
      <c r="D589" s="84"/>
      <c r="E589" s="84"/>
      <c r="F589" s="84"/>
      <c r="G589" s="77"/>
      <c r="H589" s="84"/>
      <c r="I589" s="77"/>
      <c r="J589" s="85"/>
      <c r="K589" s="77"/>
      <c r="L589" s="77"/>
      <c r="M589" s="86"/>
      <c r="N589" s="86"/>
      <c r="O589" s="86"/>
      <c r="P589" s="86"/>
      <c r="Q589" s="87"/>
      <c r="R589" s="84"/>
      <c r="S589" s="84"/>
      <c r="T589" s="84"/>
      <c r="U589" s="84"/>
      <c r="V589" s="84"/>
      <c r="AI589" s="15"/>
      <c r="AO589" s="21"/>
    </row>
    <row r="590" spans="1:47" x14ac:dyDescent="0.25">
      <c r="A590" s="83"/>
      <c r="B590" s="47"/>
      <c r="C590" s="80"/>
      <c r="H590" s="84"/>
      <c r="I590" s="77"/>
      <c r="J590" s="85"/>
      <c r="K590" s="77"/>
      <c r="L590" s="77"/>
      <c r="M590" s="86"/>
      <c r="N590" s="86"/>
      <c r="O590" s="86"/>
      <c r="P590" s="86"/>
      <c r="Q590" s="87"/>
      <c r="R590" s="84"/>
      <c r="S590" s="84"/>
      <c r="T590" s="84"/>
      <c r="U590" s="84"/>
      <c r="V590" s="84"/>
      <c r="AI590" s="15"/>
      <c r="AO590" s="21"/>
    </row>
    <row r="591" spans="1:47" x14ac:dyDescent="0.25">
      <c r="A591" s="83"/>
      <c r="B591" s="47"/>
      <c r="C591" s="80"/>
      <c r="AI591" s="15"/>
      <c r="AO591" s="21"/>
    </row>
    <row r="592" spans="1:47" x14ac:dyDescent="0.25">
      <c r="A592" s="83"/>
      <c r="B592" s="47"/>
      <c r="C592" s="80"/>
      <c r="AO592" s="21"/>
    </row>
    <row r="593" spans="1:41" x14ac:dyDescent="0.25">
      <c r="A593" s="83"/>
      <c r="B593" s="47"/>
      <c r="C593" s="80"/>
      <c r="AO593" s="21"/>
    </row>
    <row r="594" spans="1:41" x14ac:dyDescent="0.25">
      <c r="A594" s="83"/>
    </row>
    <row r="595" spans="1:41" x14ac:dyDescent="0.25">
      <c r="A595" s="83"/>
    </row>
  </sheetData>
  <sheetProtection insertColumns="0" insertRows="0" insertHyperlinks="0" deleteColumns="0" deleteRows="0" selectLockedCells="1" pivotTables="0"/>
  <mergeCells count="54">
    <mergeCell ref="H8:H10"/>
    <mergeCell ref="A8:A11"/>
    <mergeCell ref="AO8:AQ8"/>
    <mergeCell ref="AU9:AU10"/>
    <mergeCell ref="AO9:AO10"/>
    <mergeCell ref="AP9:AP10"/>
    <mergeCell ref="AQ9:AQ10"/>
    <mergeCell ref="AR9:AR10"/>
    <mergeCell ref="AS9:AS10"/>
    <mergeCell ref="AT9:AT10"/>
    <mergeCell ref="AM9:AM10"/>
    <mergeCell ref="AN9:AN10"/>
    <mergeCell ref="N8:N10"/>
    <mergeCell ref="P8:P10"/>
    <mergeCell ref="Q8:AL8"/>
    <mergeCell ref="AM8:AN8"/>
    <mergeCell ref="O8:O10"/>
    <mergeCell ref="AR7:AU7"/>
    <mergeCell ref="M8:M10"/>
    <mergeCell ref="B8:B10"/>
    <mergeCell ref="C8:C10"/>
    <mergeCell ref="D8:D10"/>
    <mergeCell ref="E8:E10"/>
    <mergeCell ref="F8:F10"/>
    <mergeCell ref="G8:G10"/>
    <mergeCell ref="I8:I10"/>
    <mergeCell ref="J8:J10"/>
    <mergeCell ref="K8:K10"/>
    <mergeCell ref="L8:L10"/>
    <mergeCell ref="AR8:AU8"/>
    <mergeCell ref="Q9:AC9"/>
    <mergeCell ref="AD9:AL9"/>
    <mergeCell ref="W4:Y4"/>
    <mergeCell ref="AB4:AM4"/>
    <mergeCell ref="AO4:AQ4"/>
    <mergeCell ref="AR4:AT4"/>
    <mergeCell ref="A5:P7"/>
    <mergeCell ref="Q5:AL5"/>
    <mergeCell ref="AM5:AN5"/>
    <mergeCell ref="AO5:AQ5"/>
    <mergeCell ref="AR5:AU5"/>
    <mergeCell ref="Q6:AL6"/>
    <mergeCell ref="AM6:AN6"/>
    <mergeCell ref="AO6:AQ6"/>
    <mergeCell ref="AR6:AU6"/>
    <mergeCell ref="Q7:AL7"/>
    <mergeCell ref="AM7:AN7"/>
    <mergeCell ref="AO7:AQ7"/>
    <mergeCell ref="A1:B3"/>
    <mergeCell ref="C1:AR2"/>
    <mergeCell ref="AS1:AU1"/>
    <mergeCell ref="AS2:AU2"/>
    <mergeCell ref="C3:AR3"/>
    <mergeCell ref="AS3:AU3"/>
  </mergeCells>
  <phoneticPr fontId="33" type="noConversion"/>
  <conditionalFormatting sqref="A12:A595">
    <cfRule type="timePeriod" dxfId="3" priority="1" timePeriod="lastMonth">
      <formula>AND(MONTH(A12)=MONTH(EDATE(TODAY(),0-1)),YEAR(A12)=YEAR(EDATE(TODAY(),0-1)))</formula>
    </cfRule>
    <cfRule type="timePeriod" dxfId="2" priority="2" timePeriod="lastWeek">
      <formula>AND(TODAY()-ROUNDDOWN(A12,0)&gt;=(WEEKDAY(TODAY())),TODAY()-ROUNDDOWN(A12,0)&lt;(WEEKDAY(TODAY())+7))</formula>
    </cfRule>
  </conditionalFormatting>
  <printOptions horizontalCentered="1" verticalCentered="1"/>
  <pageMargins left="0.7" right="0.7" top="0.75" bottom="0.5" header="0.3" footer="0.3"/>
  <pageSetup paperSize="9" scale="27" fitToHeight="0" orientation="landscape" r:id="rId1"/>
  <rowBreaks count="3" manualBreakCount="3">
    <brk id="464" max="46" man="1"/>
    <brk id="579" max="46" man="1"/>
    <brk id="588" max="46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A031-F85E-4E45-BEB4-546908764A3B}">
  <sheetPr>
    <pageSetUpPr fitToPage="1"/>
  </sheetPr>
  <dimension ref="A1:AV595"/>
  <sheetViews>
    <sheetView zoomScale="76" zoomScaleNormal="76" zoomScaleSheetLayoutView="66" workbookViewId="0">
      <selection activeCell="AT15" sqref="AT15"/>
    </sheetView>
  </sheetViews>
  <sheetFormatPr defaultRowHeight="13.2" x14ac:dyDescent="0.25"/>
  <cols>
    <col min="1" max="1" width="12.77734375" customWidth="1"/>
    <col min="2" max="2" width="12.5546875" bestFit="1" customWidth="1"/>
    <col min="3" max="3" width="12.77734375" customWidth="1"/>
    <col min="4" max="6" width="13.109375" customWidth="1"/>
    <col min="7" max="7" width="13.109375" style="2" customWidth="1"/>
    <col min="8" max="9" width="13.109375" customWidth="1"/>
    <col min="10" max="10" width="13.109375" style="2" customWidth="1"/>
    <col min="11" max="11" width="13.109375" style="7" customWidth="1"/>
    <col min="12" max="12" width="16.6640625" style="2" customWidth="1"/>
    <col min="13" max="13" width="14.33203125" style="2" customWidth="1"/>
    <col min="14" max="17" width="13.109375" style="5" customWidth="1"/>
    <col min="18" max="18" width="10" style="12" customWidth="1"/>
    <col min="19" max="19" width="10.44140625" customWidth="1"/>
    <col min="20" max="20" width="10" customWidth="1"/>
    <col min="21" max="21" width="11.77734375" bestFit="1" customWidth="1"/>
    <col min="22" max="22" width="10" customWidth="1"/>
    <col min="23" max="23" width="10.44140625" bestFit="1" customWidth="1"/>
    <col min="24" max="24" width="10" style="10" customWidth="1"/>
    <col min="25" max="25" width="10" style="13" customWidth="1"/>
    <col min="26" max="26" width="12" bestFit="1" customWidth="1"/>
    <col min="27" max="27" width="10.44140625" customWidth="1"/>
    <col min="28" max="29" width="10" customWidth="1"/>
    <col min="30" max="32" width="10" style="8" customWidth="1"/>
    <col min="33" max="33" width="10.109375" customWidth="1"/>
    <col min="34" max="34" width="12.44140625" style="8" bestFit="1" customWidth="1"/>
    <col min="35" max="39" width="10" style="8" customWidth="1"/>
    <col min="40" max="40" width="11.77734375" style="9" customWidth="1"/>
    <col min="41" max="41" width="12.77734375" customWidth="1"/>
    <col min="42" max="42" width="10.77734375" customWidth="1"/>
    <col min="43" max="44" width="10.109375" customWidth="1"/>
    <col min="45" max="47" width="11.33203125" customWidth="1"/>
    <col min="48" max="48" width="18.21875" customWidth="1"/>
  </cols>
  <sheetData>
    <row r="1" spans="1:48" ht="31.5" customHeight="1" x14ac:dyDescent="0.25">
      <c r="A1" s="116" t="s">
        <v>132</v>
      </c>
      <c r="B1" s="116"/>
      <c r="C1" s="117" t="s">
        <v>25</v>
      </c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9"/>
      <c r="AT1" s="123" t="s">
        <v>44</v>
      </c>
      <c r="AU1" s="123"/>
      <c r="AV1" s="123"/>
    </row>
    <row r="2" spans="1:48" ht="22.5" customHeight="1" x14ac:dyDescent="0.25">
      <c r="A2" s="116"/>
      <c r="B2" s="116"/>
      <c r="C2" s="120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2"/>
      <c r="AT2" s="123" t="s">
        <v>45</v>
      </c>
      <c r="AU2" s="123"/>
      <c r="AV2" s="123"/>
    </row>
    <row r="3" spans="1:48" ht="19.5" customHeight="1" x14ac:dyDescent="0.25">
      <c r="A3" s="116"/>
      <c r="B3" s="116"/>
      <c r="C3" s="124" t="s">
        <v>132</v>
      </c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25"/>
      <c r="AQ3" s="125"/>
      <c r="AR3" s="125"/>
      <c r="AS3" s="126"/>
      <c r="AT3" s="123" t="s">
        <v>46</v>
      </c>
      <c r="AU3" s="123"/>
      <c r="AV3" s="123"/>
    </row>
    <row r="4" spans="1:48" ht="33" hidden="1" customHeight="1" x14ac:dyDescent="0.25">
      <c r="A4" s="55" t="s">
        <v>8</v>
      </c>
      <c r="B4" s="55"/>
      <c r="C4" s="55"/>
      <c r="D4" s="55"/>
      <c r="E4" s="55"/>
      <c r="F4" s="55"/>
      <c r="G4" s="55"/>
      <c r="H4" s="55"/>
      <c r="I4" s="55"/>
      <c r="J4" s="55"/>
      <c r="K4" s="6"/>
      <c r="L4" s="55"/>
      <c r="M4" s="55"/>
      <c r="N4" s="4"/>
      <c r="O4" s="4"/>
      <c r="P4" s="4"/>
      <c r="Q4" s="4"/>
      <c r="R4" s="11"/>
      <c r="S4" s="55"/>
      <c r="T4" s="55"/>
      <c r="U4" s="55"/>
      <c r="V4" s="55"/>
      <c r="W4" s="55"/>
      <c r="X4" s="116" t="s">
        <v>17</v>
      </c>
      <c r="Y4" s="116"/>
      <c r="Z4" s="116"/>
      <c r="AA4" s="55"/>
      <c r="AB4" s="55"/>
      <c r="AC4" s="116" t="s">
        <v>18</v>
      </c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57"/>
      <c r="AP4" s="127"/>
      <c r="AQ4" s="127"/>
      <c r="AR4" s="127"/>
      <c r="AS4" s="128" t="s">
        <v>16</v>
      </c>
      <c r="AT4" s="128"/>
      <c r="AU4" s="128"/>
      <c r="AV4" s="3"/>
    </row>
    <row r="5" spans="1:48" ht="13.5" customHeight="1" x14ac:dyDescent="0.25">
      <c r="A5" s="129" t="s">
        <v>85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1"/>
      <c r="R5" s="138" t="s">
        <v>55</v>
      </c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40" t="s">
        <v>15</v>
      </c>
      <c r="AO5" s="140"/>
      <c r="AP5" s="140" t="s">
        <v>47</v>
      </c>
      <c r="AQ5" s="140"/>
      <c r="AR5" s="140"/>
      <c r="AS5" s="140" t="s">
        <v>1</v>
      </c>
      <c r="AT5" s="140"/>
      <c r="AU5" s="140"/>
      <c r="AV5" s="140"/>
    </row>
    <row r="6" spans="1:48" x14ac:dyDescent="0.25">
      <c r="A6" s="132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  <c r="R6" s="141" t="s">
        <v>48</v>
      </c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1" t="s">
        <v>0</v>
      </c>
      <c r="AO6" s="143"/>
      <c r="AP6" s="141" t="s">
        <v>39</v>
      </c>
      <c r="AQ6" s="142"/>
      <c r="AR6" s="143"/>
      <c r="AS6" s="144" t="s">
        <v>2</v>
      </c>
      <c r="AT6" s="145"/>
      <c r="AU6" s="145"/>
      <c r="AV6" s="146"/>
    </row>
    <row r="7" spans="1:48" x14ac:dyDescent="0.25">
      <c r="A7" s="135"/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7"/>
      <c r="R7" s="147" t="s">
        <v>20</v>
      </c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7" t="s">
        <v>7</v>
      </c>
      <c r="AO7" s="149"/>
      <c r="AP7" s="147" t="s">
        <v>0</v>
      </c>
      <c r="AQ7" s="148"/>
      <c r="AR7" s="149"/>
      <c r="AS7" s="153">
        <f>AS11*AT11*AU11</f>
        <v>0.77571503551059995</v>
      </c>
      <c r="AT7" s="153"/>
      <c r="AU7" s="153"/>
      <c r="AV7" s="153"/>
    </row>
    <row r="8" spans="1:48" ht="20.399999999999999" x14ac:dyDescent="0.25">
      <c r="A8" s="169" t="s">
        <v>26</v>
      </c>
      <c r="B8" s="180" t="s">
        <v>30</v>
      </c>
      <c r="C8" s="180" t="s">
        <v>32</v>
      </c>
      <c r="D8" s="180" t="s">
        <v>27</v>
      </c>
      <c r="E8" s="180" t="s">
        <v>28</v>
      </c>
      <c r="F8" s="182" t="s">
        <v>50</v>
      </c>
      <c r="G8" s="180" t="s">
        <v>29</v>
      </c>
      <c r="H8" s="169" t="s">
        <v>173</v>
      </c>
      <c r="I8" s="169" t="s">
        <v>257</v>
      </c>
      <c r="J8" s="180" t="s">
        <v>43</v>
      </c>
      <c r="K8" s="180" t="s">
        <v>33</v>
      </c>
      <c r="L8" s="180" t="s">
        <v>34</v>
      </c>
      <c r="M8" s="180" t="s">
        <v>35</v>
      </c>
      <c r="N8" s="180" t="s">
        <v>129</v>
      </c>
      <c r="O8" s="169" t="s">
        <v>130</v>
      </c>
      <c r="P8" s="169" t="s">
        <v>256</v>
      </c>
      <c r="Q8" s="169" t="s">
        <v>255</v>
      </c>
      <c r="R8" s="165" t="s">
        <v>6</v>
      </c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6"/>
      <c r="AH8" s="166"/>
      <c r="AI8" s="166"/>
      <c r="AJ8" s="166"/>
      <c r="AK8" s="166"/>
      <c r="AL8" s="166"/>
      <c r="AM8" s="166"/>
      <c r="AN8" s="181" t="s">
        <v>10</v>
      </c>
      <c r="AO8" s="181"/>
      <c r="AP8" s="172" t="s">
        <v>5</v>
      </c>
      <c r="AQ8" s="172"/>
      <c r="AR8" s="172"/>
      <c r="AS8" s="173" t="s">
        <v>31</v>
      </c>
      <c r="AT8" s="173"/>
      <c r="AU8" s="173"/>
      <c r="AV8" s="173"/>
    </row>
    <row r="9" spans="1:48" ht="17.399999999999999" customHeight="1" x14ac:dyDescent="0.25">
      <c r="A9" s="170"/>
      <c r="B9" s="180"/>
      <c r="C9" s="180"/>
      <c r="D9" s="180"/>
      <c r="E9" s="180"/>
      <c r="F9" s="183"/>
      <c r="G9" s="180"/>
      <c r="H9" s="170"/>
      <c r="I9" s="170"/>
      <c r="J9" s="180"/>
      <c r="K9" s="180"/>
      <c r="L9" s="180"/>
      <c r="M9" s="180"/>
      <c r="N9" s="180"/>
      <c r="O9" s="170"/>
      <c r="P9" s="170"/>
      <c r="Q9" s="170"/>
      <c r="R9" s="174" t="s">
        <v>56</v>
      </c>
      <c r="S9" s="174"/>
      <c r="T9" s="174"/>
      <c r="U9" s="174"/>
      <c r="V9" s="174"/>
      <c r="W9" s="174"/>
      <c r="X9" s="174"/>
      <c r="Y9" s="174"/>
      <c r="Z9" s="174"/>
      <c r="AA9" s="174"/>
      <c r="AB9" s="174"/>
      <c r="AC9" s="174"/>
      <c r="AD9" s="174"/>
      <c r="AE9" s="175" t="s">
        <v>57</v>
      </c>
      <c r="AF9" s="176"/>
      <c r="AG9" s="176"/>
      <c r="AH9" s="176"/>
      <c r="AI9" s="176"/>
      <c r="AJ9" s="176"/>
      <c r="AK9" s="176"/>
      <c r="AL9" s="176"/>
      <c r="AM9" s="176"/>
      <c r="AN9" s="177" t="s">
        <v>13</v>
      </c>
      <c r="AO9" s="177" t="s">
        <v>12</v>
      </c>
      <c r="AP9" s="179" t="s">
        <v>37</v>
      </c>
      <c r="AQ9" s="179" t="s">
        <v>38</v>
      </c>
      <c r="AR9" s="179" t="s">
        <v>36</v>
      </c>
      <c r="AS9" s="167" t="s">
        <v>21</v>
      </c>
      <c r="AT9" s="167" t="s">
        <v>22</v>
      </c>
      <c r="AU9" s="167" t="s">
        <v>23</v>
      </c>
      <c r="AV9" s="168" t="s">
        <v>24</v>
      </c>
    </row>
    <row r="10" spans="1:48" ht="45" x14ac:dyDescent="0.25">
      <c r="A10" s="170"/>
      <c r="B10" s="180"/>
      <c r="C10" s="180"/>
      <c r="D10" s="180"/>
      <c r="E10" s="180"/>
      <c r="F10" s="184"/>
      <c r="G10" s="180"/>
      <c r="H10" s="171"/>
      <c r="I10" s="171"/>
      <c r="J10" s="180"/>
      <c r="K10" s="180"/>
      <c r="L10" s="180"/>
      <c r="M10" s="180"/>
      <c r="N10" s="180"/>
      <c r="O10" s="171"/>
      <c r="P10" s="171"/>
      <c r="Q10" s="171"/>
      <c r="R10" s="113" t="s">
        <v>3</v>
      </c>
      <c r="S10" s="113" t="s">
        <v>63</v>
      </c>
      <c r="T10" s="113" t="s">
        <v>41</v>
      </c>
      <c r="U10" s="113" t="s">
        <v>54</v>
      </c>
      <c r="V10" s="113" t="s">
        <v>42</v>
      </c>
      <c r="W10" s="113" t="s">
        <v>11</v>
      </c>
      <c r="X10" s="113" t="s">
        <v>4</v>
      </c>
      <c r="Y10" s="113" t="s">
        <v>9</v>
      </c>
      <c r="Z10" s="115" t="s">
        <v>19</v>
      </c>
      <c r="AA10" s="113" t="s">
        <v>171</v>
      </c>
      <c r="AB10" s="113" t="s">
        <v>168</v>
      </c>
      <c r="AC10" s="113" t="s">
        <v>123</v>
      </c>
      <c r="AD10" s="113" t="s">
        <v>14</v>
      </c>
      <c r="AE10" s="114" t="s">
        <v>58</v>
      </c>
      <c r="AF10" s="114" t="s">
        <v>62</v>
      </c>
      <c r="AG10" s="110" t="s">
        <v>40</v>
      </c>
      <c r="AH10" s="114" t="s">
        <v>65</v>
      </c>
      <c r="AI10" s="114" t="s">
        <v>59</v>
      </c>
      <c r="AJ10" s="114" t="s">
        <v>84</v>
      </c>
      <c r="AK10" s="114" t="s">
        <v>61</v>
      </c>
      <c r="AL10" s="114" t="s">
        <v>60</v>
      </c>
      <c r="AM10" s="114" t="s">
        <v>64</v>
      </c>
      <c r="AN10" s="178"/>
      <c r="AO10" s="178"/>
      <c r="AP10" s="179"/>
      <c r="AQ10" s="179"/>
      <c r="AR10" s="179"/>
      <c r="AS10" s="167"/>
      <c r="AT10" s="167"/>
      <c r="AU10" s="167"/>
      <c r="AV10" s="168"/>
    </row>
    <row r="11" spans="1:48" ht="36.75" customHeight="1" x14ac:dyDescent="0.25">
      <c r="A11" s="171"/>
      <c r="B11" s="111"/>
      <c r="C11" s="111"/>
      <c r="D11" s="111"/>
      <c r="E11" s="111"/>
      <c r="F11" s="112"/>
      <c r="G11" s="111"/>
      <c r="H11" s="111"/>
      <c r="I11" s="111"/>
      <c r="J11" s="111"/>
      <c r="K11" s="111"/>
      <c r="L11" s="111"/>
      <c r="M11" s="111"/>
      <c r="N11" s="111"/>
      <c r="O11" s="112"/>
      <c r="P11" s="112"/>
      <c r="Q11" s="112"/>
      <c r="R11" s="59">
        <f>SUBTOTAL(9,R12:R392)</f>
        <v>0</v>
      </c>
      <c r="S11" s="59">
        <f>SUBTOTAL(9,S12:S392)</f>
        <v>0</v>
      </c>
      <c r="T11" s="59">
        <f>SUBTOTAL(9,T12:T575)</f>
        <v>0</v>
      </c>
      <c r="U11" s="59">
        <f>SUBTOTAL(9,U12:U575)</f>
        <v>40</v>
      </c>
      <c r="V11" s="59">
        <f>SUBTOTAL(9,V12:V493)</f>
        <v>0</v>
      </c>
      <c r="W11" s="59">
        <f>SUBTOTAL(9,W12:W436)</f>
        <v>0</v>
      </c>
      <c r="X11" s="59">
        <f>SUBTOTAL(9,X12:X436)</f>
        <v>200</v>
      </c>
      <c r="Y11" s="59">
        <f>SUBTOTAL(9,Y12:Y436)</f>
        <v>0</v>
      </c>
      <c r="Z11" s="59">
        <f>SUBTOTAL(9,Z12:Z575)</f>
        <v>0</v>
      </c>
      <c r="AA11" s="59">
        <f>SUBTOTAL(9,AA12:AA436)</f>
        <v>0</v>
      </c>
      <c r="AB11" s="59">
        <f>SUBTOTAL(9,AB12:AB436)</f>
        <v>90</v>
      </c>
      <c r="AC11" s="59">
        <f>SUBTOTAL(9,AC12:AC575)</f>
        <v>0</v>
      </c>
      <c r="AD11" s="59">
        <f>SUBTOTAL(9,AD12:AD436)</f>
        <v>330</v>
      </c>
      <c r="AE11" s="14">
        <f>SUBTOTAL(9,AE12:AE436)</f>
        <v>190</v>
      </c>
      <c r="AF11" s="14">
        <f t="shared" ref="AF11:AL11" si="0">SUBTOTAL(9,AF12:AF575)</f>
        <v>0</v>
      </c>
      <c r="AG11" s="14">
        <f t="shared" si="0"/>
        <v>0</v>
      </c>
      <c r="AH11" s="14">
        <f t="shared" si="0"/>
        <v>45270</v>
      </c>
      <c r="AI11" s="14">
        <f t="shared" si="0"/>
        <v>180</v>
      </c>
      <c r="AJ11" s="14">
        <f t="shared" si="0"/>
        <v>12740</v>
      </c>
      <c r="AK11" s="14">
        <f t="shared" si="0"/>
        <v>4260</v>
      </c>
      <c r="AL11" s="14">
        <f t="shared" si="0"/>
        <v>12710</v>
      </c>
      <c r="AM11" s="14">
        <f>SUBTOTAL(9,AM12:AM436)</f>
        <v>75060</v>
      </c>
      <c r="AN11" s="60">
        <f>SUBTOTAL(9,AN12:AN436)</f>
        <v>318327.5376254181</v>
      </c>
      <c r="AO11" s="60">
        <f>SUBTOTAL(9,AO12:AO436)</f>
        <v>250515</v>
      </c>
      <c r="AP11" s="61">
        <f>SUBTOTAL(9,AP12:AP575)</f>
        <v>0</v>
      </c>
      <c r="AQ11" s="61">
        <f>SUBTOTAL(9,AQ12:AQ575)</f>
        <v>1137</v>
      </c>
      <c r="AR11" s="61">
        <f>SUBTOTAL(9,AR12:AR575)</f>
        <v>249378</v>
      </c>
      <c r="AS11" s="39">
        <f>SUBTOTAL(1,AS12:AS436)</f>
        <v>0.99834797246097529</v>
      </c>
      <c r="AT11" s="39">
        <f>SUBTOTAL(1,AT12:AT436)</f>
        <v>0.77988961280110514</v>
      </c>
      <c r="AU11" s="39">
        <f>SUBTOTAL(1,AU12:AU436)</f>
        <v>0.99629312397407566</v>
      </c>
      <c r="AV11" s="105">
        <f>SUBTOTAL(1,AV12:AV436)</f>
        <v>0.77575410344365936</v>
      </c>
    </row>
    <row r="12" spans="1:48" s="1" customFormat="1" ht="21" customHeight="1" x14ac:dyDescent="0.25">
      <c r="A12" s="109">
        <v>46025</v>
      </c>
      <c r="B12" s="47" t="s">
        <v>49</v>
      </c>
      <c r="C12" s="108" t="s">
        <v>21</v>
      </c>
      <c r="D12" s="47" t="s">
        <v>124</v>
      </c>
      <c r="E12" s="48">
        <v>98992</v>
      </c>
      <c r="F12" s="48" t="s">
        <v>215</v>
      </c>
      <c r="G12" s="48" t="s">
        <v>125</v>
      </c>
      <c r="H12" s="30">
        <v>15036</v>
      </c>
      <c r="I12" s="30"/>
      <c r="J12" s="30">
        <v>32</v>
      </c>
      <c r="K12" s="28">
        <f t="shared" ref="K12:K75" si="1">3600/J12</f>
        <v>112.5</v>
      </c>
      <c r="L12" s="31">
        <v>0.25</v>
      </c>
      <c r="M12" s="31">
        <v>0.60416666666666663</v>
      </c>
      <c r="N12" s="32">
        <f t="shared" ref="N12:N56" si="2">IF(M12&gt;L12,M12-L12,1+M12-L12)</f>
        <v>0.35416666666666663</v>
      </c>
      <c r="O12" s="36">
        <v>510</v>
      </c>
      <c r="P12" s="36">
        <f>O12-AM12</f>
        <v>440</v>
      </c>
      <c r="Q12" s="36">
        <f>O12-AM12</f>
        <v>440</v>
      </c>
      <c r="R12" s="15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5">
        <v>120</v>
      </c>
      <c r="Y12" s="15">
        <v>0</v>
      </c>
      <c r="Z12" s="16">
        <v>0</v>
      </c>
      <c r="AA12" s="16">
        <v>0</v>
      </c>
      <c r="AB12" s="16">
        <v>0</v>
      </c>
      <c r="AC12" s="16">
        <v>0</v>
      </c>
      <c r="AD12" s="15">
        <f t="shared" ref="AD12:AD112" si="3">SUM(R12:AC12)</f>
        <v>120</v>
      </c>
      <c r="AE12" s="15">
        <v>0</v>
      </c>
      <c r="AF12" s="15">
        <v>0</v>
      </c>
      <c r="AG12" s="16">
        <v>0</v>
      </c>
      <c r="AH12" s="15">
        <v>0</v>
      </c>
      <c r="AI12" s="15">
        <v>0</v>
      </c>
      <c r="AJ12" s="15">
        <v>30</v>
      </c>
      <c r="AK12" s="15">
        <v>10</v>
      </c>
      <c r="AL12" s="15">
        <v>30</v>
      </c>
      <c r="AM12" s="15">
        <f t="shared" ref="AM12:AM140" si="4">SUM(AE12:AL12)</f>
        <v>70</v>
      </c>
      <c r="AN12" s="29">
        <f t="shared" ref="AN12:AN75" si="5">Q12*(K12/60)</f>
        <v>825</v>
      </c>
      <c r="AO12" s="15">
        <v>483</v>
      </c>
      <c r="AP12" s="17">
        <v>0</v>
      </c>
      <c r="AQ12" s="18">
        <v>1</v>
      </c>
      <c r="AR12" s="26">
        <f t="shared" ref="AR12:AR75" si="6">AO12-(AQ12+AP12)</f>
        <v>482</v>
      </c>
      <c r="AS12" s="37">
        <f>P12/Q12</f>
        <v>1</v>
      </c>
      <c r="AT12" s="38">
        <f>AO12/AN12</f>
        <v>0.58545454545454545</v>
      </c>
      <c r="AU12" s="38">
        <f>AR12/AO12</f>
        <v>0.99792960662525876</v>
      </c>
      <c r="AV12" s="27">
        <f>AS12*AT12*AU12</f>
        <v>0.58424242424242423</v>
      </c>
    </row>
    <row r="13" spans="1:48" s="1" customFormat="1" ht="21" customHeight="1" x14ac:dyDescent="0.25">
      <c r="A13" s="109">
        <v>46025</v>
      </c>
      <c r="B13" s="47" t="s">
        <v>49</v>
      </c>
      <c r="C13" s="108" t="s">
        <v>21</v>
      </c>
      <c r="D13" s="47" t="s">
        <v>122</v>
      </c>
      <c r="E13" s="48">
        <v>98992</v>
      </c>
      <c r="F13" s="48" t="s">
        <v>169</v>
      </c>
      <c r="G13" s="48" t="s">
        <v>125</v>
      </c>
      <c r="H13" s="30">
        <v>14972</v>
      </c>
      <c r="I13" s="30"/>
      <c r="J13" s="30">
        <v>32</v>
      </c>
      <c r="K13" s="28">
        <f t="shared" si="1"/>
        <v>112.5</v>
      </c>
      <c r="L13" s="31">
        <v>0.25</v>
      </c>
      <c r="M13" s="31">
        <v>0.60416666666666663</v>
      </c>
      <c r="N13" s="32">
        <f t="shared" si="2"/>
        <v>0.35416666666666663</v>
      </c>
      <c r="O13" s="36">
        <v>510</v>
      </c>
      <c r="P13" s="36">
        <f t="shared" ref="P13:P139" si="7">Q13-AD13</f>
        <v>320</v>
      </c>
      <c r="Q13" s="36">
        <f t="shared" ref="Q13:Q75" si="8">O13-AM13</f>
        <v>320</v>
      </c>
      <c r="R13" s="15">
        <v>0</v>
      </c>
      <c r="S13" s="20">
        <v>0</v>
      </c>
      <c r="T13" s="16">
        <v>0</v>
      </c>
      <c r="U13" s="16">
        <v>0</v>
      </c>
      <c r="V13" s="20">
        <v>0</v>
      </c>
      <c r="W13" s="20">
        <v>0</v>
      </c>
      <c r="X13" s="19">
        <v>0</v>
      </c>
      <c r="Y13" s="19">
        <v>0</v>
      </c>
      <c r="Z13" s="20">
        <v>0</v>
      </c>
      <c r="AA13" s="16">
        <v>0</v>
      </c>
      <c r="AB13" s="20">
        <v>0</v>
      </c>
      <c r="AC13" s="20">
        <v>0</v>
      </c>
      <c r="AD13" s="15">
        <f t="shared" si="3"/>
        <v>0</v>
      </c>
      <c r="AE13" s="15">
        <v>0</v>
      </c>
      <c r="AF13" s="19">
        <v>0</v>
      </c>
      <c r="AG13" s="20">
        <v>0</v>
      </c>
      <c r="AH13" s="15">
        <v>120</v>
      </c>
      <c r="AI13" s="15">
        <v>0</v>
      </c>
      <c r="AJ13" s="15">
        <v>30</v>
      </c>
      <c r="AK13" s="15">
        <v>10</v>
      </c>
      <c r="AL13" s="15">
        <v>30</v>
      </c>
      <c r="AM13" s="15">
        <f t="shared" si="4"/>
        <v>190</v>
      </c>
      <c r="AN13" s="29">
        <f t="shared" si="5"/>
        <v>600</v>
      </c>
      <c r="AO13" s="19">
        <v>470</v>
      </c>
      <c r="AP13" s="21">
        <v>0</v>
      </c>
      <c r="AQ13" s="22">
        <v>0</v>
      </c>
      <c r="AR13" s="26">
        <f t="shared" si="6"/>
        <v>470</v>
      </c>
      <c r="AS13" s="37">
        <f>P13/Q13</f>
        <v>1</v>
      </c>
      <c r="AT13" s="38">
        <f>AO13/AN13</f>
        <v>0.78333333333333333</v>
      </c>
      <c r="AU13" s="38">
        <f>AR13/AO13</f>
        <v>1</v>
      </c>
      <c r="AV13" s="27">
        <f>AS13*AT13*AU13</f>
        <v>0.78333333333333333</v>
      </c>
    </row>
    <row r="14" spans="1:48" s="1" customFormat="1" ht="21" customHeight="1" x14ac:dyDescent="0.25">
      <c r="A14" s="109">
        <v>46025</v>
      </c>
      <c r="B14" s="47" t="s">
        <v>49</v>
      </c>
      <c r="C14" s="108" t="s">
        <v>21</v>
      </c>
      <c r="D14" s="47" t="s">
        <v>128</v>
      </c>
      <c r="E14" s="48">
        <v>98992</v>
      </c>
      <c r="F14" s="48" t="s">
        <v>53</v>
      </c>
      <c r="G14" s="48" t="s">
        <v>125</v>
      </c>
      <c r="H14" s="30">
        <v>15671</v>
      </c>
      <c r="I14" s="30"/>
      <c r="J14" s="30">
        <v>32</v>
      </c>
      <c r="K14" s="28">
        <f t="shared" si="1"/>
        <v>112.5</v>
      </c>
      <c r="L14" s="31">
        <v>0.25</v>
      </c>
      <c r="M14" s="31">
        <v>0.60416666666666663</v>
      </c>
      <c r="N14" s="32">
        <f t="shared" si="2"/>
        <v>0.35416666666666663</v>
      </c>
      <c r="O14" s="36">
        <v>510</v>
      </c>
      <c r="P14" s="36">
        <f t="shared" si="7"/>
        <v>440</v>
      </c>
      <c r="Q14" s="36">
        <f t="shared" si="8"/>
        <v>440</v>
      </c>
      <c r="R14" s="15">
        <v>0</v>
      </c>
      <c r="S14" s="20">
        <v>0</v>
      </c>
      <c r="T14" s="16">
        <v>0</v>
      </c>
      <c r="U14" s="16">
        <v>0</v>
      </c>
      <c r="V14" s="20">
        <v>0</v>
      </c>
      <c r="W14" s="20">
        <v>0</v>
      </c>
      <c r="X14" s="19">
        <v>0</v>
      </c>
      <c r="Y14" s="19">
        <v>0</v>
      </c>
      <c r="Z14" s="20">
        <v>0</v>
      </c>
      <c r="AA14" s="16">
        <v>0</v>
      </c>
      <c r="AB14" s="20">
        <v>0</v>
      </c>
      <c r="AC14" s="20">
        <v>0</v>
      </c>
      <c r="AD14" s="15">
        <f t="shared" si="3"/>
        <v>0</v>
      </c>
      <c r="AE14" s="15">
        <v>0</v>
      </c>
      <c r="AF14" s="19">
        <v>0</v>
      </c>
      <c r="AG14" s="20">
        <v>0</v>
      </c>
      <c r="AH14" s="15">
        <v>0</v>
      </c>
      <c r="AI14" s="15">
        <v>0</v>
      </c>
      <c r="AJ14" s="15">
        <v>30</v>
      </c>
      <c r="AK14" s="15">
        <v>10</v>
      </c>
      <c r="AL14" s="15">
        <v>30</v>
      </c>
      <c r="AM14" s="15">
        <f t="shared" si="4"/>
        <v>70</v>
      </c>
      <c r="AN14" s="29">
        <f t="shared" si="5"/>
        <v>825</v>
      </c>
      <c r="AO14" s="19">
        <v>611</v>
      </c>
      <c r="AP14" s="21">
        <v>0</v>
      </c>
      <c r="AQ14" s="22">
        <v>0</v>
      </c>
      <c r="AR14" s="26">
        <f t="shared" si="6"/>
        <v>611</v>
      </c>
      <c r="AS14" s="37">
        <f>P14/Q14</f>
        <v>1</v>
      </c>
      <c r="AT14" s="38">
        <f>AO14/AN14</f>
        <v>0.7406060606060606</v>
      </c>
      <c r="AU14" s="38">
        <f>AR14/AO14</f>
        <v>1</v>
      </c>
      <c r="AV14" s="27">
        <f>AS14*AT14*AU14</f>
        <v>0.7406060606060606</v>
      </c>
    </row>
    <row r="15" spans="1:48" s="1" customFormat="1" ht="21" customHeight="1" x14ac:dyDescent="0.25">
      <c r="A15" s="109">
        <v>46025</v>
      </c>
      <c r="B15" s="47" t="s">
        <v>49</v>
      </c>
      <c r="C15" s="108" t="s">
        <v>21</v>
      </c>
      <c r="D15" s="47" t="s">
        <v>170</v>
      </c>
      <c r="E15" s="48">
        <v>98992</v>
      </c>
      <c r="F15" s="48" t="s">
        <v>176</v>
      </c>
      <c r="G15" s="48" t="s">
        <v>125</v>
      </c>
      <c r="H15" s="30">
        <v>15773</v>
      </c>
      <c r="I15" s="30"/>
      <c r="J15" s="30">
        <v>20</v>
      </c>
      <c r="K15" s="28">
        <f t="shared" si="1"/>
        <v>180</v>
      </c>
      <c r="L15" s="31">
        <v>0.25</v>
      </c>
      <c r="M15" s="31">
        <v>0.60416666666666663</v>
      </c>
      <c r="N15" s="32">
        <f t="shared" si="2"/>
        <v>0.35416666666666663</v>
      </c>
      <c r="O15" s="36">
        <v>510</v>
      </c>
      <c r="P15" s="36">
        <f t="shared" si="7"/>
        <v>440</v>
      </c>
      <c r="Q15" s="36">
        <f t="shared" si="8"/>
        <v>440</v>
      </c>
      <c r="R15" s="15">
        <v>0</v>
      </c>
      <c r="S15" s="20">
        <v>0</v>
      </c>
      <c r="T15" s="16">
        <v>0</v>
      </c>
      <c r="U15" s="16">
        <v>0</v>
      </c>
      <c r="V15" s="20">
        <v>0</v>
      </c>
      <c r="W15" s="20">
        <v>0</v>
      </c>
      <c r="X15" s="19">
        <v>0</v>
      </c>
      <c r="Y15" s="19">
        <v>0</v>
      </c>
      <c r="Z15" s="20">
        <v>0</v>
      </c>
      <c r="AA15" s="16">
        <v>0</v>
      </c>
      <c r="AB15" s="20">
        <v>0</v>
      </c>
      <c r="AC15" s="20">
        <v>0</v>
      </c>
      <c r="AD15" s="15">
        <f t="shared" si="3"/>
        <v>0</v>
      </c>
      <c r="AE15" s="15">
        <v>0</v>
      </c>
      <c r="AF15" s="19">
        <v>0</v>
      </c>
      <c r="AG15" s="20">
        <v>0</v>
      </c>
      <c r="AH15" s="15">
        <v>0</v>
      </c>
      <c r="AI15" s="15">
        <v>0</v>
      </c>
      <c r="AJ15" s="15">
        <v>30</v>
      </c>
      <c r="AK15" s="15">
        <v>10</v>
      </c>
      <c r="AL15" s="15">
        <v>30</v>
      </c>
      <c r="AM15" s="15">
        <f t="shared" si="4"/>
        <v>70</v>
      </c>
      <c r="AN15" s="29">
        <f t="shared" si="5"/>
        <v>1320</v>
      </c>
      <c r="AO15" s="19">
        <v>720</v>
      </c>
      <c r="AP15" s="21">
        <v>0</v>
      </c>
      <c r="AQ15" s="22">
        <v>0</v>
      </c>
      <c r="AR15" s="26">
        <f t="shared" si="6"/>
        <v>720</v>
      </c>
      <c r="AS15" s="37">
        <f t="shared" ref="AS15:AS78" si="9">P15/Q15</f>
        <v>1</v>
      </c>
      <c r="AT15" s="38">
        <f t="shared" ref="AT15:AT78" si="10">AO15/AN15</f>
        <v>0.54545454545454541</v>
      </c>
      <c r="AU15" s="38">
        <f t="shared" ref="AU15:AU78" si="11">AR15/AO15</f>
        <v>1</v>
      </c>
      <c r="AV15" s="27">
        <f t="shared" ref="AV15:AV78" si="12">AS15*AT15*AU15</f>
        <v>0.54545454545454541</v>
      </c>
    </row>
    <row r="16" spans="1:48" s="1" customFormat="1" ht="21" customHeight="1" x14ac:dyDescent="0.25">
      <c r="A16" s="109">
        <v>46025</v>
      </c>
      <c r="B16" s="47" t="s">
        <v>49</v>
      </c>
      <c r="C16" s="108" t="s">
        <v>21</v>
      </c>
      <c r="D16" s="47" t="s">
        <v>127</v>
      </c>
      <c r="E16" s="48">
        <v>98992</v>
      </c>
      <c r="F16" s="48" t="s">
        <v>175</v>
      </c>
      <c r="G16" s="48" t="s">
        <v>125</v>
      </c>
      <c r="H16" s="30">
        <v>16143</v>
      </c>
      <c r="I16" s="30"/>
      <c r="J16" s="30">
        <v>20</v>
      </c>
      <c r="K16" s="28">
        <f t="shared" si="1"/>
        <v>180</v>
      </c>
      <c r="L16" s="31">
        <v>0.25</v>
      </c>
      <c r="M16" s="31">
        <v>0.60416666666666663</v>
      </c>
      <c r="N16" s="32">
        <f t="shared" si="2"/>
        <v>0.35416666666666663</v>
      </c>
      <c r="O16" s="36">
        <v>510</v>
      </c>
      <c r="P16" s="36">
        <f t="shared" si="7"/>
        <v>220</v>
      </c>
      <c r="Q16" s="36">
        <f t="shared" si="8"/>
        <v>220</v>
      </c>
      <c r="R16" s="15">
        <v>0</v>
      </c>
      <c r="S16" s="20">
        <v>0</v>
      </c>
      <c r="T16" s="16">
        <v>0</v>
      </c>
      <c r="U16" s="16">
        <v>0</v>
      </c>
      <c r="V16" s="20">
        <v>0</v>
      </c>
      <c r="W16" s="20">
        <v>0</v>
      </c>
      <c r="X16" s="19">
        <v>0</v>
      </c>
      <c r="Y16" s="19">
        <v>0</v>
      </c>
      <c r="Z16" s="20">
        <v>0</v>
      </c>
      <c r="AA16" s="16">
        <v>0</v>
      </c>
      <c r="AB16" s="20">
        <v>0</v>
      </c>
      <c r="AC16" s="20">
        <v>0</v>
      </c>
      <c r="AD16" s="15">
        <f t="shared" si="3"/>
        <v>0</v>
      </c>
      <c r="AE16" s="15">
        <v>0</v>
      </c>
      <c r="AF16" s="19">
        <v>0</v>
      </c>
      <c r="AG16" s="20">
        <v>0</v>
      </c>
      <c r="AH16" s="15">
        <v>220</v>
      </c>
      <c r="AI16" s="15">
        <v>0</v>
      </c>
      <c r="AJ16" s="15">
        <v>30</v>
      </c>
      <c r="AK16" s="15">
        <v>10</v>
      </c>
      <c r="AL16" s="15">
        <v>30</v>
      </c>
      <c r="AM16" s="15">
        <f t="shared" si="4"/>
        <v>290</v>
      </c>
      <c r="AN16" s="29">
        <f t="shared" si="5"/>
        <v>660</v>
      </c>
      <c r="AO16" s="19">
        <v>650</v>
      </c>
      <c r="AP16" s="21">
        <v>0</v>
      </c>
      <c r="AQ16" s="22">
        <v>0</v>
      </c>
      <c r="AR16" s="26">
        <f t="shared" si="6"/>
        <v>650</v>
      </c>
      <c r="AS16" s="37">
        <f t="shared" si="9"/>
        <v>1</v>
      </c>
      <c r="AT16" s="38">
        <f t="shared" si="10"/>
        <v>0.98484848484848486</v>
      </c>
      <c r="AU16" s="38">
        <f t="shared" si="11"/>
        <v>1</v>
      </c>
      <c r="AV16" s="27">
        <f t="shared" si="12"/>
        <v>0.98484848484848486</v>
      </c>
    </row>
    <row r="17" spans="1:48" s="1" customFormat="1" ht="21" customHeight="1" x14ac:dyDescent="0.25">
      <c r="A17" s="109">
        <v>46025</v>
      </c>
      <c r="B17" s="47" t="s">
        <v>49</v>
      </c>
      <c r="C17" s="108" t="s">
        <v>51</v>
      </c>
      <c r="D17" s="47" t="s">
        <v>128</v>
      </c>
      <c r="E17" s="48">
        <v>98992</v>
      </c>
      <c r="F17" s="48" t="s">
        <v>53</v>
      </c>
      <c r="G17" s="48" t="s">
        <v>125</v>
      </c>
      <c r="H17" s="30">
        <v>15618</v>
      </c>
      <c r="I17" s="30"/>
      <c r="J17" s="30">
        <v>32</v>
      </c>
      <c r="K17" s="28">
        <f t="shared" si="1"/>
        <v>112.5</v>
      </c>
      <c r="L17" s="31">
        <v>0.58333333333333337</v>
      </c>
      <c r="M17" s="31">
        <v>0.9375</v>
      </c>
      <c r="N17" s="32">
        <f t="shared" si="2"/>
        <v>0.35416666666666663</v>
      </c>
      <c r="O17" s="36">
        <v>510</v>
      </c>
      <c r="P17" s="36">
        <f t="shared" si="7"/>
        <v>120</v>
      </c>
      <c r="Q17" s="36">
        <f t="shared" si="8"/>
        <v>120</v>
      </c>
      <c r="R17" s="15">
        <v>0</v>
      </c>
      <c r="S17" s="20">
        <v>0</v>
      </c>
      <c r="T17" s="16">
        <v>0</v>
      </c>
      <c r="U17" s="16">
        <v>0</v>
      </c>
      <c r="V17" s="20">
        <v>0</v>
      </c>
      <c r="W17" s="20">
        <v>0</v>
      </c>
      <c r="X17" s="19">
        <v>0</v>
      </c>
      <c r="Y17" s="19">
        <v>0</v>
      </c>
      <c r="Z17" s="20">
        <v>0</v>
      </c>
      <c r="AA17" s="16">
        <v>0</v>
      </c>
      <c r="AB17" s="20">
        <v>0</v>
      </c>
      <c r="AC17" s="20">
        <v>0</v>
      </c>
      <c r="AD17" s="15">
        <f t="shared" si="3"/>
        <v>0</v>
      </c>
      <c r="AE17" s="15">
        <v>0</v>
      </c>
      <c r="AF17" s="19">
        <v>0</v>
      </c>
      <c r="AG17" s="20">
        <v>0</v>
      </c>
      <c r="AH17" s="15">
        <v>320</v>
      </c>
      <c r="AI17" s="15">
        <v>0</v>
      </c>
      <c r="AJ17" s="15">
        <v>30</v>
      </c>
      <c r="AK17" s="15">
        <v>10</v>
      </c>
      <c r="AL17" s="15">
        <v>30</v>
      </c>
      <c r="AM17" s="15">
        <f t="shared" si="4"/>
        <v>390</v>
      </c>
      <c r="AN17" s="29">
        <f t="shared" si="5"/>
        <v>225</v>
      </c>
      <c r="AO17" s="19">
        <v>180</v>
      </c>
      <c r="AP17" s="21">
        <v>0</v>
      </c>
      <c r="AQ17" s="22">
        <v>0</v>
      </c>
      <c r="AR17" s="26">
        <f t="shared" si="6"/>
        <v>180</v>
      </c>
      <c r="AS17" s="37">
        <f t="shared" si="9"/>
        <v>1</v>
      </c>
      <c r="AT17" s="38">
        <f t="shared" si="10"/>
        <v>0.8</v>
      </c>
      <c r="AU17" s="38">
        <f t="shared" si="11"/>
        <v>1</v>
      </c>
      <c r="AV17" s="27">
        <f t="shared" si="12"/>
        <v>0.8</v>
      </c>
    </row>
    <row r="18" spans="1:48" s="1" customFormat="1" ht="21" customHeight="1" x14ac:dyDescent="0.25">
      <c r="A18" s="109">
        <v>46025</v>
      </c>
      <c r="B18" s="47" t="s">
        <v>49</v>
      </c>
      <c r="C18" s="108" t="s">
        <v>51</v>
      </c>
      <c r="D18" s="47" t="s">
        <v>170</v>
      </c>
      <c r="E18" s="48">
        <v>98992</v>
      </c>
      <c r="F18" s="48" t="s">
        <v>176</v>
      </c>
      <c r="G18" s="48" t="s">
        <v>125</v>
      </c>
      <c r="H18" s="30">
        <v>15751</v>
      </c>
      <c r="I18" s="30"/>
      <c r="J18" s="30">
        <v>20</v>
      </c>
      <c r="K18" s="28">
        <f t="shared" si="1"/>
        <v>180</v>
      </c>
      <c r="L18" s="31">
        <v>0.58333333333333337</v>
      </c>
      <c r="M18" s="31">
        <v>0.9375</v>
      </c>
      <c r="N18" s="32">
        <f t="shared" si="2"/>
        <v>0.35416666666666663</v>
      </c>
      <c r="O18" s="36">
        <v>510</v>
      </c>
      <c r="P18" s="36">
        <f t="shared" si="7"/>
        <v>120</v>
      </c>
      <c r="Q18" s="36">
        <f t="shared" si="8"/>
        <v>120</v>
      </c>
      <c r="R18" s="15">
        <v>0</v>
      </c>
      <c r="S18" s="20">
        <v>0</v>
      </c>
      <c r="T18" s="16">
        <v>0</v>
      </c>
      <c r="U18" s="16">
        <v>0</v>
      </c>
      <c r="V18" s="20">
        <v>0</v>
      </c>
      <c r="W18" s="20">
        <v>0</v>
      </c>
      <c r="X18" s="19">
        <v>0</v>
      </c>
      <c r="Y18" s="19">
        <v>0</v>
      </c>
      <c r="Z18" s="20">
        <v>0</v>
      </c>
      <c r="AA18" s="16">
        <v>0</v>
      </c>
      <c r="AB18" s="20">
        <v>0</v>
      </c>
      <c r="AC18" s="20">
        <v>0</v>
      </c>
      <c r="AD18" s="15">
        <f t="shared" si="3"/>
        <v>0</v>
      </c>
      <c r="AE18" s="15">
        <v>0</v>
      </c>
      <c r="AF18" s="19">
        <v>0</v>
      </c>
      <c r="AG18" s="20">
        <v>0</v>
      </c>
      <c r="AH18" s="15">
        <v>320</v>
      </c>
      <c r="AI18" s="15">
        <v>0</v>
      </c>
      <c r="AJ18" s="15">
        <v>30</v>
      </c>
      <c r="AK18" s="15">
        <v>10</v>
      </c>
      <c r="AL18" s="15">
        <v>30</v>
      </c>
      <c r="AM18" s="15">
        <f t="shared" si="4"/>
        <v>390</v>
      </c>
      <c r="AN18" s="29">
        <f t="shared" si="5"/>
        <v>360</v>
      </c>
      <c r="AO18" s="19">
        <v>276</v>
      </c>
      <c r="AP18" s="21">
        <v>0</v>
      </c>
      <c r="AQ18" s="22">
        <v>0</v>
      </c>
      <c r="AR18" s="26">
        <f t="shared" si="6"/>
        <v>276</v>
      </c>
      <c r="AS18" s="37">
        <f t="shared" si="9"/>
        <v>1</v>
      </c>
      <c r="AT18" s="38">
        <f t="shared" si="10"/>
        <v>0.76666666666666672</v>
      </c>
      <c r="AU18" s="38">
        <f t="shared" si="11"/>
        <v>1</v>
      </c>
      <c r="AV18" s="27">
        <f t="shared" si="12"/>
        <v>0.76666666666666672</v>
      </c>
    </row>
    <row r="19" spans="1:48" s="1" customFormat="1" ht="21" customHeight="1" x14ac:dyDescent="0.25">
      <c r="A19" s="109">
        <v>46025</v>
      </c>
      <c r="B19" s="47" t="s">
        <v>49</v>
      </c>
      <c r="C19" s="108" t="s">
        <v>51</v>
      </c>
      <c r="D19" s="47" t="s">
        <v>127</v>
      </c>
      <c r="E19" s="48">
        <v>98992</v>
      </c>
      <c r="F19" s="48" t="s">
        <v>175</v>
      </c>
      <c r="G19" s="48" t="s">
        <v>125</v>
      </c>
      <c r="H19" s="30">
        <v>15851</v>
      </c>
      <c r="I19" s="30"/>
      <c r="J19" s="30">
        <v>20</v>
      </c>
      <c r="K19" s="28">
        <f t="shared" si="1"/>
        <v>180</v>
      </c>
      <c r="L19" s="31">
        <v>0.58333333333333337</v>
      </c>
      <c r="M19" s="31">
        <v>0.9375</v>
      </c>
      <c r="N19" s="32">
        <f t="shared" si="2"/>
        <v>0.35416666666666663</v>
      </c>
      <c r="O19" s="36">
        <v>510</v>
      </c>
      <c r="P19" s="36">
        <f t="shared" si="7"/>
        <v>320</v>
      </c>
      <c r="Q19" s="36">
        <f t="shared" si="8"/>
        <v>320</v>
      </c>
      <c r="R19" s="15">
        <v>0</v>
      </c>
      <c r="S19" s="20">
        <v>0</v>
      </c>
      <c r="T19" s="16">
        <v>0</v>
      </c>
      <c r="U19" s="16">
        <v>0</v>
      </c>
      <c r="V19" s="20">
        <v>0</v>
      </c>
      <c r="W19" s="20">
        <v>0</v>
      </c>
      <c r="X19" s="19">
        <v>0</v>
      </c>
      <c r="Y19" s="19">
        <v>0</v>
      </c>
      <c r="Z19" s="20">
        <v>0</v>
      </c>
      <c r="AA19" s="16">
        <v>0</v>
      </c>
      <c r="AB19" s="20">
        <v>0</v>
      </c>
      <c r="AC19" s="20">
        <v>0</v>
      </c>
      <c r="AD19" s="15">
        <f t="shared" si="3"/>
        <v>0</v>
      </c>
      <c r="AE19" s="15">
        <v>0</v>
      </c>
      <c r="AF19" s="19">
        <v>0</v>
      </c>
      <c r="AG19" s="20">
        <v>0</v>
      </c>
      <c r="AH19" s="15">
        <v>120</v>
      </c>
      <c r="AI19" s="20">
        <v>0</v>
      </c>
      <c r="AJ19" s="15">
        <v>30</v>
      </c>
      <c r="AK19" s="15">
        <v>10</v>
      </c>
      <c r="AL19" s="15">
        <v>30</v>
      </c>
      <c r="AM19" s="15">
        <f t="shared" si="4"/>
        <v>190</v>
      </c>
      <c r="AN19" s="29">
        <f t="shared" si="5"/>
        <v>960</v>
      </c>
      <c r="AO19" s="19">
        <v>724</v>
      </c>
      <c r="AP19" s="21">
        <v>0</v>
      </c>
      <c r="AQ19" s="22">
        <v>0</v>
      </c>
      <c r="AR19" s="26">
        <f t="shared" si="6"/>
        <v>724</v>
      </c>
      <c r="AS19" s="37">
        <f t="shared" si="9"/>
        <v>1</v>
      </c>
      <c r="AT19" s="38">
        <f t="shared" si="10"/>
        <v>0.75416666666666665</v>
      </c>
      <c r="AU19" s="38">
        <f t="shared" si="11"/>
        <v>1</v>
      </c>
      <c r="AV19" s="27">
        <f t="shared" si="12"/>
        <v>0.75416666666666665</v>
      </c>
    </row>
    <row r="20" spans="1:48" s="1" customFormat="1" ht="21" customHeight="1" x14ac:dyDescent="0.25">
      <c r="A20" s="109">
        <v>46025</v>
      </c>
      <c r="B20" s="47" t="s">
        <v>49</v>
      </c>
      <c r="C20" s="108" t="s">
        <v>51</v>
      </c>
      <c r="D20" s="47" t="s">
        <v>52</v>
      </c>
      <c r="E20" s="48">
        <v>98992</v>
      </c>
      <c r="F20" s="48" t="s">
        <v>53</v>
      </c>
      <c r="G20" s="48" t="s">
        <v>87</v>
      </c>
      <c r="H20" s="30">
        <v>15672</v>
      </c>
      <c r="I20" s="30"/>
      <c r="J20" s="30">
        <v>32</v>
      </c>
      <c r="K20" s="28">
        <f t="shared" si="1"/>
        <v>112.5</v>
      </c>
      <c r="L20" s="31">
        <v>0.58333333333333337</v>
      </c>
      <c r="M20" s="31">
        <v>0.9375</v>
      </c>
      <c r="N20" s="32">
        <f t="shared" si="2"/>
        <v>0.35416666666666663</v>
      </c>
      <c r="O20" s="36">
        <v>510</v>
      </c>
      <c r="P20" s="36">
        <f t="shared" si="7"/>
        <v>220</v>
      </c>
      <c r="Q20" s="36">
        <f t="shared" si="8"/>
        <v>220</v>
      </c>
      <c r="R20" s="15">
        <v>0</v>
      </c>
      <c r="S20" s="20">
        <v>0</v>
      </c>
      <c r="T20" s="16">
        <v>0</v>
      </c>
      <c r="U20" s="16">
        <v>0</v>
      </c>
      <c r="V20" s="20">
        <v>0</v>
      </c>
      <c r="W20" s="20">
        <v>0</v>
      </c>
      <c r="X20" s="19">
        <v>0</v>
      </c>
      <c r="Y20" s="19">
        <v>0</v>
      </c>
      <c r="Z20" s="20">
        <v>0</v>
      </c>
      <c r="AA20" s="16">
        <v>0</v>
      </c>
      <c r="AB20" s="20">
        <v>0</v>
      </c>
      <c r="AC20" s="20">
        <v>0</v>
      </c>
      <c r="AD20" s="15">
        <f t="shared" si="3"/>
        <v>0</v>
      </c>
      <c r="AE20" s="15">
        <v>0</v>
      </c>
      <c r="AF20" s="19">
        <v>0</v>
      </c>
      <c r="AG20" s="20">
        <v>0</v>
      </c>
      <c r="AH20" s="15">
        <v>220</v>
      </c>
      <c r="AI20" s="20">
        <v>0</v>
      </c>
      <c r="AJ20" s="15">
        <v>30</v>
      </c>
      <c r="AK20" s="15">
        <v>10</v>
      </c>
      <c r="AL20" s="15">
        <v>30</v>
      </c>
      <c r="AM20" s="15">
        <f t="shared" si="4"/>
        <v>290</v>
      </c>
      <c r="AN20" s="29">
        <f t="shared" si="5"/>
        <v>412.5</v>
      </c>
      <c r="AO20" s="19">
        <v>315</v>
      </c>
      <c r="AP20" s="21">
        <v>0</v>
      </c>
      <c r="AQ20" s="22">
        <v>0</v>
      </c>
      <c r="AR20" s="26">
        <f t="shared" si="6"/>
        <v>315</v>
      </c>
      <c r="AS20" s="37">
        <f t="shared" si="9"/>
        <v>1</v>
      </c>
      <c r="AT20" s="38">
        <f t="shared" si="10"/>
        <v>0.76363636363636367</v>
      </c>
      <c r="AU20" s="38">
        <f t="shared" si="11"/>
        <v>1</v>
      </c>
      <c r="AV20" s="27">
        <f t="shared" si="12"/>
        <v>0.76363636363636367</v>
      </c>
    </row>
    <row r="21" spans="1:48" s="1" customFormat="1" ht="21" customHeight="1" x14ac:dyDescent="0.25">
      <c r="A21" s="109">
        <v>46027</v>
      </c>
      <c r="B21" s="47" t="s">
        <v>49</v>
      </c>
      <c r="C21" s="108" t="s">
        <v>21</v>
      </c>
      <c r="D21" s="47" t="s">
        <v>52</v>
      </c>
      <c r="E21" s="48">
        <v>98992</v>
      </c>
      <c r="F21" s="48" t="s">
        <v>53</v>
      </c>
      <c r="G21" s="48" t="s">
        <v>87</v>
      </c>
      <c r="H21" s="30">
        <v>15688</v>
      </c>
      <c r="I21" s="30"/>
      <c r="J21" s="30">
        <v>32</v>
      </c>
      <c r="K21" s="28">
        <f t="shared" si="1"/>
        <v>112.5</v>
      </c>
      <c r="L21" s="31">
        <v>0.25</v>
      </c>
      <c r="M21" s="31">
        <v>0.60416666666666663</v>
      </c>
      <c r="N21" s="32">
        <f t="shared" si="2"/>
        <v>0.35416666666666663</v>
      </c>
      <c r="O21" s="36">
        <v>510</v>
      </c>
      <c r="P21" s="36">
        <f t="shared" si="7"/>
        <v>160</v>
      </c>
      <c r="Q21" s="36">
        <f t="shared" si="8"/>
        <v>160</v>
      </c>
      <c r="R21" s="15">
        <v>0</v>
      </c>
      <c r="S21" s="20">
        <v>0</v>
      </c>
      <c r="T21" s="16">
        <v>0</v>
      </c>
      <c r="U21" s="16">
        <v>0</v>
      </c>
      <c r="V21" s="20">
        <v>0</v>
      </c>
      <c r="W21" s="20">
        <v>0</v>
      </c>
      <c r="X21" s="19">
        <v>0</v>
      </c>
      <c r="Y21" s="19">
        <v>0</v>
      </c>
      <c r="Z21" s="20">
        <v>0</v>
      </c>
      <c r="AA21" s="16">
        <v>0</v>
      </c>
      <c r="AB21" s="20">
        <v>0</v>
      </c>
      <c r="AC21" s="20">
        <v>0</v>
      </c>
      <c r="AD21" s="15">
        <f t="shared" si="3"/>
        <v>0</v>
      </c>
      <c r="AE21" s="15">
        <v>0</v>
      </c>
      <c r="AF21" s="19">
        <v>0</v>
      </c>
      <c r="AG21" s="20">
        <v>0</v>
      </c>
      <c r="AH21" s="15">
        <v>280</v>
      </c>
      <c r="AI21" s="15">
        <v>0</v>
      </c>
      <c r="AJ21" s="15">
        <v>30</v>
      </c>
      <c r="AK21" s="15">
        <v>10</v>
      </c>
      <c r="AL21" s="15">
        <v>30</v>
      </c>
      <c r="AM21" s="15">
        <f t="shared" si="4"/>
        <v>350</v>
      </c>
      <c r="AN21" s="29">
        <f t="shared" si="5"/>
        <v>300</v>
      </c>
      <c r="AO21" s="19">
        <v>265</v>
      </c>
      <c r="AP21" s="21">
        <v>0</v>
      </c>
      <c r="AQ21" s="22">
        <v>0</v>
      </c>
      <c r="AR21" s="26">
        <f t="shared" si="6"/>
        <v>265</v>
      </c>
      <c r="AS21" s="37">
        <f t="shared" si="9"/>
        <v>1</v>
      </c>
      <c r="AT21" s="38">
        <f t="shared" si="10"/>
        <v>0.8833333333333333</v>
      </c>
      <c r="AU21" s="38">
        <f t="shared" si="11"/>
        <v>1</v>
      </c>
      <c r="AV21" s="27">
        <f t="shared" si="12"/>
        <v>0.8833333333333333</v>
      </c>
    </row>
    <row r="22" spans="1:48" s="1" customFormat="1" ht="21" customHeight="1" x14ac:dyDescent="0.25">
      <c r="A22" s="109">
        <v>46027</v>
      </c>
      <c r="B22" s="47" t="s">
        <v>49</v>
      </c>
      <c r="C22" s="108" t="s">
        <v>21</v>
      </c>
      <c r="D22" s="47" t="s">
        <v>86</v>
      </c>
      <c r="E22" s="48">
        <v>98992</v>
      </c>
      <c r="F22" s="48" t="s">
        <v>176</v>
      </c>
      <c r="G22" s="48" t="s">
        <v>87</v>
      </c>
      <c r="H22" s="30">
        <v>15773</v>
      </c>
      <c r="I22" s="30"/>
      <c r="J22" s="30">
        <v>20</v>
      </c>
      <c r="K22" s="28">
        <f t="shared" si="1"/>
        <v>180</v>
      </c>
      <c r="L22" s="31">
        <v>0.25</v>
      </c>
      <c r="M22" s="31">
        <v>0.60416666666666663</v>
      </c>
      <c r="N22" s="32">
        <f t="shared" si="2"/>
        <v>0.35416666666666663</v>
      </c>
      <c r="O22" s="36">
        <v>510</v>
      </c>
      <c r="P22" s="36">
        <f t="shared" si="7"/>
        <v>220</v>
      </c>
      <c r="Q22" s="36">
        <f t="shared" si="8"/>
        <v>220</v>
      </c>
      <c r="R22" s="15">
        <v>0</v>
      </c>
      <c r="S22" s="20">
        <v>0</v>
      </c>
      <c r="T22" s="16">
        <v>0</v>
      </c>
      <c r="U22" s="16">
        <v>0</v>
      </c>
      <c r="V22" s="20">
        <v>0</v>
      </c>
      <c r="W22" s="20">
        <v>0</v>
      </c>
      <c r="X22" s="19">
        <v>0</v>
      </c>
      <c r="Y22" s="19">
        <v>0</v>
      </c>
      <c r="Z22" s="20">
        <v>0</v>
      </c>
      <c r="AA22" s="16">
        <v>0</v>
      </c>
      <c r="AB22" s="20">
        <v>0</v>
      </c>
      <c r="AC22" s="20">
        <v>0</v>
      </c>
      <c r="AD22" s="15">
        <f t="shared" si="3"/>
        <v>0</v>
      </c>
      <c r="AE22" s="15">
        <v>0</v>
      </c>
      <c r="AF22" s="19">
        <v>0</v>
      </c>
      <c r="AG22" s="20">
        <v>0</v>
      </c>
      <c r="AH22" s="15">
        <v>220</v>
      </c>
      <c r="AI22" s="15">
        <v>0</v>
      </c>
      <c r="AJ22" s="15">
        <v>30</v>
      </c>
      <c r="AK22" s="15">
        <v>10</v>
      </c>
      <c r="AL22" s="15">
        <v>30</v>
      </c>
      <c r="AM22" s="15">
        <f t="shared" si="4"/>
        <v>290</v>
      </c>
      <c r="AN22" s="29">
        <f t="shared" si="5"/>
        <v>660</v>
      </c>
      <c r="AO22" s="19">
        <v>504</v>
      </c>
      <c r="AP22" s="21">
        <v>0</v>
      </c>
      <c r="AQ22" s="22">
        <v>0</v>
      </c>
      <c r="AR22" s="26">
        <f t="shared" si="6"/>
        <v>504</v>
      </c>
      <c r="AS22" s="37">
        <f t="shared" si="9"/>
        <v>1</v>
      </c>
      <c r="AT22" s="38">
        <f t="shared" si="10"/>
        <v>0.76363636363636367</v>
      </c>
      <c r="AU22" s="38">
        <f t="shared" si="11"/>
        <v>1</v>
      </c>
      <c r="AV22" s="27">
        <f t="shared" si="12"/>
        <v>0.76363636363636367</v>
      </c>
    </row>
    <row r="23" spans="1:48" s="1" customFormat="1" ht="21" customHeight="1" x14ac:dyDescent="0.25">
      <c r="A23" s="109">
        <v>46027</v>
      </c>
      <c r="B23" s="47" t="s">
        <v>49</v>
      </c>
      <c r="C23" s="108" t="s">
        <v>21</v>
      </c>
      <c r="D23" s="47" t="s">
        <v>89</v>
      </c>
      <c r="E23" s="48">
        <v>98992</v>
      </c>
      <c r="F23" s="48" t="s">
        <v>169</v>
      </c>
      <c r="G23" s="48" t="s">
        <v>87</v>
      </c>
      <c r="H23" s="30">
        <v>15688</v>
      </c>
      <c r="I23" s="30"/>
      <c r="J23" s="30">
        <v>32</v>
      </c>
      <c r="K23" s="28">
        <f t="shared" si="1"/>
        <v>112.5</v>
      </c>
      <c r="L23" s="31">
        <v>0.25</v>
      </c>
      <c r="M23" s="31">
        <v>0.60416666666666663</v>
      </c>
      <c r="N23" s="32">
        <f t="shared" si="2"/>
        <v>0.35416666666666663</v>
      </c>
      <c r="O23" s="36">
        <v>510</v>
      </c>
      <c r="P23" s="36">
        <f t="shared" si="7"/>
        <v>440</v>
      </c>
      <c r="Q23" s="36">
        <f t="shared" si="8"/>
        <v>440</v>
      </c>
      <c r="R23" s="15">
        <v>0</v>
      </c>
      <c r="S23" s="20">
        <v>0</v>
      </c>
      <c r="T23" s="16">
        <v>0</v>
      </c>
      <c r="U23" s="16">
        <v>0</v>
      </c>
      <c r="V23" s="20">
        <v>0</v>
      </c>
      <c r="W23" s="20">
        <v>0</v>
      </c>
      <c r="X23" s="19">
        <v>0</v>
      </c>
      <c r="Y23" s="19">
        <v>0</v>
      </c>
      <c r="Z23" s="20">
        <v>0</v>
      </c>
      <c r="AA23" s="16">
        <v>0</v>
      </c>
      <c r="AB23" s="20">
        <v>0</v>
      </c>
      <c r="AC23" s="20">
        <v>0</v>
      </c>
      <c r="AD23" s="15">
        <f t="shared" si="3"/>
        <v>0</v>
      </c>
      <c r="AE23" s="15">
        <v>0</v>
      </c>
      <c r="AF23" s="19">
        <v>0</v>
      </c>
      <c r="AG23" s="20">
        <v>0</v>
      </c>
      <c r="AH23" s="15">
        <v>0</v>
      </c>
      <c r="AI23" s="15">
        <v>0</v>
      </c>
      <c r="AJ23" s="15">
        <v>30</v>
      </c>
      <c r="AK23" s="15">
        <v>10</v>
      </c>
      <c r="AL23" s="15">
        <v>30</v>
      </c>
      <c r="AM23" s="15">
        <f t="shared" si="4"/>
        <v>70</v>
      </c>
      <c r="AN23" s="29">
        <f t="shared" si="5"/>
        <v>825</v>
      </c>
      <c r="AO23" s="19">
        <v>601</v>
      </c>
      <c r="AP23" s="21">
        <v>0</v>
      </c>
      <c r="AQ23" s="22">
        <v>0</v>
      </c>
      <c r="AR23" s="26">
        <f t="shared" si="6"/>
        <v>601</v>
      </c>
      <c r="AS23" s="37">
        <f t="shared" si="9"/>
        <v>1</v>
      </c>
      <c r="AT23" s="38">
        <f t="shared" si="10"/>
        <v>0.72848484848484851</v>
      </c>
      <c r="AU23" s="38">
        <f t="shared" si="11"/>
        <v>1</v>
      </c>
      <c r="AV23" s="27">
        <f t="shared" si="12"/>
        <v>0.72848484848484851</v>
      </c>
    </row>
    <row r="24" spans="1:48" s="1" customFormat="1" ht="21" customHeight="1" x14ac:dyDescent="0.25">
      <c r="A24" s="109">
        <v>46027</v>
      </c>
      <c r="B24" s="47" t="s">
        <v>49</v>
      </c>
      <c r="C24" s="108" t="s">
        <v>21</v>
      </c>
      <c r="D24" s="47" t="s">
        <v>89</v>
      </c>
      <c r="E24" s="48">
        <v>98992</v>
      </c>
      <c r="F24" s="48" t="s">
        <v>169</v>
      </c>
      <c r="G24" s="48" t="s">
        <v>87</v>
      </c>
      <c r="H24" s="30">
        <v>15589</v>
      </c>
      <c r="I24" s="30"/>
      <c r="J24" s="30">
        <v>32</v>
      </c>
      <c r="K24" s="28">
        <f t="shared" si="1"/>
        <v>112.5</v>
      </c>
      <c r="L24" s="31">
        <v>0.25</v>
      </c>
      <c r="M24" s="31">
        <v>0.60416666666666663</v>
      </c>
      <c r="N24" s="32">
        <f t="shared" si="2"/>
        <v>0.35416666666666663</v>
      </c>
      <c r="O24" s="36">
        <v>510</v>
      </c>
      <c r="P24" s="36">
        <f t="shared" si="7"/>
        <v>220</v>
      </c>
      <c r="Q24" s="36">
        <f t="shared" si="8"/>
        <v>220</v>
      </c>
      <c r="R24" s="15">
        <v>0</v>
      </c>
      <c r="S24" s="20">
        <v>0</v>
      </c>
      <c r="T24" s="16">
        <v>0</v>
      </c>
      <c r="U24" s="16">
        <v>0</v>
      </c>
      <c r="V24" s="20">
        <v>0</v>
      </c>
      <c r="W24" s="20">
        <v>0</v>
      </c>
      <c r="X24" s="19">
        <v>0</v>
      </c>
      <c r="Y24" s="19">
        <v>0</v>
      </c>
      <c r="Z24" s="20">
        <v>0</v>
      </c>
      <c r="AA24" s="16">
        <v>0</v>
      </c>
      <c r="AB24" s="20">
        <v>0</v>
      </c>
      <c r="AC24" s="20">
        <v>0</v>
      </c>
      <c r="AD24" s="15">
        <f t="shared" si="3"/>
        <v>0</v>
      </c>
      <c r="AE24" s="15">
        <v>0</v>
      </c>
      <c r="AF24" s="19">
        <v>0</v>
      </c>
      <c r="AG24" s="20">
        <v>0</v>
      </c>
      <c r="AH24" s="15">
        <v>220</v>
      </c>
      <c r="AI24" s="15">
        <v>0</v>
      </c>
      <c r="AJ24" s="15">
        <v>30</v>
      </c>
      <c r="AK24" s="15">
        <v>10</v>
      </c>
      <c r="AL24" s="15">
        <v>30</v>
      </c>
      <c r="AM24" s="15">
        <f t="shared" si="4"/>
        <v>290</v>
      </c>
      <c r="AN24" s="29">
        <f t="shared" si="5"/>
        <v>412.5</v>
      </c>
      <c r="AO24" s="19">
        <v>367</v>
      </c>
      <c r="AP24" s="21">
        <v>0</v>
      </c>
      <c r="AQ24" s="22">
        <v>0</v>
      </c>
      <c r="AR24" s="26">
        <f t="shared" si="6"/>
        <v>367</v>
      </c>
      <c r="AS24" s="37">
        <f t="shared" si="9"/>
        <v>1</v>
      </c>
      <c r="AT24" s="38">
        <f t="shared" si="10"/>
        <v>0.88969696969696965</v>
      </c>
      <c r="AU24" s="38">
        <f t="shared" si="11"/>
        <v>1</v>
      </c>
      <c r="AV24" s="27">
        <f t="shared" si="12"/>
        <v>0.88969696969696965</v>
      </c>
    </row>
    <row r="25" spans="1:48" s="1" customFormat="1" ht="21" customHeight="1" x14ac:dyDescent="0.25">
      <c r="A25" s="109">
        <v>46027</v>
      </c>
      <c r="B25" s="47" t="s">
        <v>49</v>
      </c>
      <c r="C25" s="108" t="s">
        <v>21</v>
      </c>
      <c r="D25" s="47" t="s">
        <v>86</v>
      </c>
      <c r="E25" s="48">
        <v>98992</v>
      </c>
      <c r="F25" s="48" t="s">
        <v>176</v>
      </c>
      <c r="G25" s="48" t="s">
        <v>87</v>
      </c>
      <c r="H25" s="30">
        <v>15773</v>
      </c>
      <c r="I25" s="30"/>
      <c r="J25" s="30">
        <v>20</v>
      </c>
      <c r="K25" s="28">
        <f t="shared" si="1"/>
        <v>180</v>
      </c>
      <c r="L25" s="31">
        <v>0.25</v>
      </c>
      <c r="M25" s="31">
        <v>0.60416666666666663</v>
      </c>
      <c r="N25" s="32">
        <f t="shared" si="2"/>
        <v>0.35416666666666663</v>
      </c>
      <c r="O25" s="36">
        <v>510</v>
      </c>
      <c r="P25" s="36">
        <f t="shared" si="7"/>
        <v>260</v>
      </c>
      <c r="Q25" s="36">
        <f t="shared" si="8"/>
        <v>260</v>
      </c>
      <c r="R25" s="15">
        <v>0</v>
      </c>
      <c r="S25" s="20">
        <v>0</v>
      </c>
      <c r="T25" s="16">
        <v>0</v>
      </c>
      <c r="U25" s="16">
        <v>0</v>
      </c>
      <c r="V25" s="20">
        <v>0</v>
      </c>
      <c r="W25" s="20">
        <v>0</v>
      </c>
      <c r="X25" s="19">
        <v>0</v>
      </c>
      <c r="Y25" s="19">
        <v>0</v>
      </c>
      <c r="Z25" s="20">
        <v>0</v>
      </c>
      <c r="AA25" s="16">
        <v>0</v>
      </c>
      <c r="AB25" s="20">
        <v>0</v>
      </c>
      <c r="AC25" s="20">
        <v>0</v>
      </c>
      <c r="AD25" s="15">
        <f t="shared" si="3"/>
        <v>0</v>
      </c>
      <c r="AE25" s="15">
        <v>0</v>
      </c>
      <c r="AF25" s="19">
        <v>0</v>
      </c>
      <c r="AG25" s="20">
        <v>0</v>
      </c>
      <c r="AH25" s="15">
        <v>180</v>
      </c>
      <c r="AI25" s="15">
        <v>0</v>
      </c>
      <c r="AJ25" s="15">
        <v>30</v>
      </c>
      <c r="AK25" s="15">
        <v>10</v>
      </c>
      <c r="AL25" s="15">
        <v>30</v>
      </c>
      <c r="AM25" s="15">
        <f t="shared" si="4"/>
        <v>250</v>
      </c>
      <c r="AN25" s="29">
        <f t="shared" si="5"/>
        <v>780</v>
      </c>
      <c r="AO25" s="19">
        <v>650</v>
      </c>
      <c r="AP25" s="21">
        <v>0</v>
      </c>
      <c r="AQ25" s="22">
        <v>0</v>
      </c>
      <c r="AR25" s="26">
        <f t="shared" si="6"/>
        <v>650</v>
      </c>
      <c r="AS25" s="37">
        <f t="shared" si="9"/>
        <v>1</v>
      </c>
      <c r="AT25" s="38">
        <f t="shared" si="10"/>
        <v>0.83333333333333337</v>
      </c>
      <c r="AU25" s="38">
        <f t="shared" si="11"/>
        <v>1</v>
      </c>
      <c r="AV25" s="27">
        <f t="shared" si="12"/>
        <v>0.83333333333333337</v>
      </c>
    </row>
    <row r="26" spans="1:48" s="1" customFormat="1" ht="21" customHeight="1" x14ac:dyDescent="0.25">
      <c r="A26" s="109">
        <v>46027</v>
      </c>
      <c r="B26" s="47" t="s">
        <v>49</v>
      </c>
      <c r="C26" s="108" t="s">
        <v>21</v>
      </c>
      <c r="D26" s="47" t="s">
        <v>124</v>
      </c>
      <c r="E26" s="48">
        <v>98992</v>
      </c>
      <c r="F26" s="48" t="s">
        <v>215</v>
      </c>
      <c r="G26" s="48" t="s">
        <v>125</v>
      </c>
      <c r="H26" s="30">
        <v>15036</v>
      </c>
      <c r="I26" s="30"/>
      <c r="J26" s="30">
        <v>32</v>
      </c>
      <c r="K26" s="28">
        <f t="shared" si="1"/>
        <v>112.5</v>
      </c>
      <c r="L26" s="31">
        <v>0.25</v>
      </c>
      <c r="M26" s="31">
        <v>0.60416666666666663</v>
      </c>
      <c r="N26" s="32">
        <f t="shared" si="2"/>
        <v>0.35416666666666663</v>
      </c>
      <c r="O26" s="36">
        <v>510</v>
      </c>
      <c r="P26" s="36">
        <f t="shared" si="7"/>
        <v>440</v>
      </c>
      <c r="Q26" s="36">
        <f t="shared" si="8"/>
        <v>440</v>
      </c>
      <c r="R26" s="15">
        <v>0</v>
      </c>
      <c r="S26" s="20">
        <v>0</v>
      </c>
      <c r="T26" s="16">
        <v>0</v>
      </c>
      <c r="U26" s="16">
        <v>0</v>
      </c>
      <c r="V26" s="20">
        <v>0</v>
      </c>
      <c r="W26" s="20">
        <v>0</v>
      </c>
      <c r="X26" s="19">
        <v>0</v>
      </c>
      <c r="Y26" s="19">
        <v>0</v>
      </c>
      <c r="Z26" s="20">
        <v>0</v>
      </c>
      <c r="AA26" s="16">
        <v>0</v>
      </c>
      <c r="AB26" s="20">
        <v>0</v>
      </c>
      <c r="AC26" s="20">
        <v>0</v>
      </c>
      <c r="AD26" s="15">
        <f t="shared" si="3"/>
        <v>0</v>
      </c>
      <c r="AE26" s="15">
        <v>0</v>
      </c>
      <c r="AF26" s="19">
        <v>0</v>
      </c>
      <c r="AG26" s="20">
        <v>0</v>
      </c>
      <c r="AH26" s="15">
        <v>0</v>
      </c>
      <c r="AI26" s="15">
        <v>0</v>
      </c>
      <c r="AJ26" s="15">
        <v>30</v>
      </c>
      <c r="AK26" s="15">
        <v>10</v>
      </c>
      <c r="AL26" s="15">
        <v>30</v>
      </c>
      <c r="AM26" s="15">
        <f t="shared" si="4"/>
        <v>70</v>
      </c>
      <c r="AN26" s="29">
        <f t="shared" si="5"/>
        <v>825</v>
      </c>
      <c r="AO26" s="19">
        <v>702</v>
      </c>
      <c r="AP26" s="21">
        <v>0</v>
      </c>
      <c r="AQ26" s="22">
        <v>0</v>
      </c>
      <c r="AR26" s="26">
        <f t="shared" si="6"/>
        <v>702</v>
      </c>
      <c r="AS26" s="37">
        <f t="shared" si="9"/>
        <v>1</v>
      </c>
      <c r="AT26" s="38">
        <f t="shared" si="10"/>
        <v>0.85090909090909095</v>
      </c>
      <c r="AU26" s="38">
        <f t="shared" si="11"/>
        <v>1</v>
      </c>
      <c r="AV26" s="27">
        <f t="shared" si="12"/>
        <v>0.85090909090909095</v>
      </c>
    </row>
    <row r="27" spans="1:48" s="1" customFormat="1" ht="21" customHeight="1" x14ac:dyDescent="0.25">
      <c r="A27" s="109">
        <v>46027</v>
      </c>
      <c r="B27" s="47" t="s">
        <v>49</v>
      </c>
      <c r="C27" s="108" t="s">
        <v>21</v>
      </c>
      <c r="D27" s="47" t="s">
        <v>122</v>
      </c>
      <c r="E27" s="48">
        <v>98992</v>
      </c>
      <c r="F27" s="48" t="s">
        <v>169</v>
      </c>
      <c r="G27" s="48" t="s">
        <v>125</v>
      </c>
      <c r="H27" s="30">
        <v>14972</v>
      </c>
      <c r="I27" s="30"/>
      <c r="J27" s="30">
        <v>32</v>
      </c>
      <c r="K27" s="28">
        <f t="shared" si="1"/>
        <v>112.5</v>
      </c>
      <c r="L27" s="31">
        <v>0.25</v>
      </c>
      <c r="M27" s="31">
        <v>0.60416666666666663</v>
      </c>
      <c r="N27" s="32">
        <f t="shared" si="2"/>
        <v>0.35416666666666663</v>
      </c>
      <c r="O27" s="36">
        <v>510</v>
      </c>
      <c r="P27" s="36">
        <f t="shared" si="7"/>
        <v>320</v>
      </c>
      <c r="Q27" s="36">
        <f t="shared" si="8"/>
        <v>320</v>
      </c>
      <c r="R27" s="15">
        <v>0</v>
      </c>
      <c r="S27" s="20">
        <v>0</v>
      </c>
      <c r="T27" s="16">
        <v>0</v>
      </c>
      <c r="U27" s="16">
        <v>0</v>
      </c>
      <c r="V27" s="20">
        <v>0</v>
      </c>
      <c r="W27" s="20">
        <v>0</v>
      </c>
      <c r="X27" s="19">
        <v>0</v>
      </c>
      <c r="Y27" s="19">
        <v>0</v>
      </c>
      <c r="Z27" s="20">
        <v>0</v>
      </c>
      <c r="AA27" s="16">
        <v>0</v>
      </c>
      <c r="AB27" s="20">
        <v>0</v>
      </c>
      <c r="AC27" s="20">
        <v>0</v>
      </c>
      <c r="AD27" s="15">
        <f t="shared" si="3"/>
        <v>0</v>
      </c>
      <c r="AE27" s="15">
        <v>0</v>
      </c>
      <c r="AF27" s="19">
        <v>0</v>
      </c>
      <c r="AG27" s="20">
        <v>0</v>
      </c>
      <c r="AH27" s="15">
        <v>120</v>
      </c>
      <c r="AI27" s="15">
        <v>0</v>
      </c>
      <c r="AJ27" s="15">
        <v>30</v>
      </c>
      <c r="AK27" s="15">
        <v>10</v>
      </c>
      <c r="AL27" s="15">
        <v>30</v>
      </c>
      <c r="AM27" s="15">
        <f t="shared" si="4"/>
        <v>190</v>
      </c>
      <c r="AN27" s="29">
        <f t="shared" si="5"/>
        <v>600</v>
      </c>
      <c r="AO27" s="19">
        <v>512</v>
      </c>
      <c r="AP27" s="21">
        <v>0</v>
      </c>
      <c r="AQ27" s="22">
        <v>0</v>
      </c>
      <c r="AR27" s="26">
        <f t="shared" si="6"/>
        <v>512</v>
      </c>
      <c r="AS27" s="37">
        <f t="shared" si="9"/>
        <v>1</v>
      </c>
      <c r="AT27" s="38">
        <f t="shared" si="10"/>
        <v>0.85333333333333339</v>
      </c>
      <c r="AU27" s="38">
        <f t="shared" si="11"/>
        <v>1</v>
      </c>
      <c r="AV27" s="27">
        <f t="shared" si="12"/>
        <v>0.85333333333333339</v>
      </c>
    </row>
    <row r="28" spans="1:48" s="1" customFormat="1" ht="21" customHeight="1" x14ac:dyDescent="0.25">
      <c r="A28" s="109">
        <v>46027</v>
      </c>
      <c r="B28" s="47" t="s">
        <v>49</v>
      </c>
      <c r="C28" s="108" t="s">
        <v>21</v>
      </c>
      <c r="D28" s="47" t="s">
        <v>128</v>
      </c>
      <c r="E28" s="48">
        <v>98992</v>
      </c>
      <c r="F28" s="48" t="s">
        <v>53</v>
      </c>
      <c r="G28" s="48" t="s">
        <v>125</v>
      </c>
      <c r="H28" s="30">
        <v>16000</v>
      </c>
      <c r="I28" s="30"/>
      <c r="J28" s="30">
        <v>32</v>
      </c>
      <c r="K28" s="28">
        <f t="shared" si="1"/>
        <v>112.5</v>
      </c>
      <c r="L28" s="31">
        <v>0.25</v>
      </c>
      <c r="M28" s="31">
        <v>0.60416666666666663</v>
      </c>
      <c r="N28" s="32">
        <f t="shared" si="2"/>
        <v>0.35416666666666663</v>
      </c>
      <c r="O28" s="36">
        <v>510</v>
      </c>
      <c r="P28" s="36">
        <f t="shared" si="7"/>
        <v>260</v>
      </c>
      <c r="Q28" s="36">
        <f t="shared" si="8"/>
        <v>260</v>
      </c>
      <c r="R28" s="15">
        <v>0</v>
      </c>
      <c r="S28" s="20">
        <v>0</v>
      </c>
      <c r="T28" s="16">
        <v>0</v>
      </c>
      <c r="U28" s="16">
        <v>0</v>
      </c>
      <c r="V28" s="20">
        <v>0</v>
      </c>
      <c r="W28" s="20">
        <v>0</v>
      </c>
      <c r="X28" s="19">
        <v>0</v>
      </c>
      <c r="Y28" s="19">
        <v>0</v>
      </c>
      <c r="Z28" s="20">
        <v>0</v>
      </c>
      <c r="AA28" s="16">
        <v>0</v>
      </c>
      <c r="AB28" s="20">
        <v>0</v>
      </c>
      <c r="AC28" s="20">
        <v>0</v>
      </c>
      <c r="AD28" s="15">
        <f t="shared" si="3"/>
        <v>0</v>
      </c>
      <c r="AE28" s="15">
        <v>0</v>
      </c>
      <c r="AF28" s="19">
        <v>0</v>
      </c>
      <c r="AG28" s="20">
        <v>0</v>
      </c>
      <c r="AH28" s="15">
        <v>180</v>
      </c>
      <c r="AI28" s="15">
        <v>0</v>
      </c>
      <c r="AJ28" s="15">
        <v>30</v>
      </c>
      <c r="AK28" s="15">
        <v>10</v>
      </c>
      <c r="AL28" s="15">
        <v>30</v>
      </c>
      <c r="AM28" s="15">
        <f t="shared" si="4"/>
        <v>250</v>
      </c>
      <c r="AN28" s="29">
        <f t="shared" si="5"/>
        <v>487.5</v>
      </c>
      <c r="AO28" s="19">
        <v>465</v>
      </c>
      <c r="AP28" s="21">
        <v>0</v>
      </c>
      <c r="AQ28" s="22">
        <v>0</v>
      </c>
      <c r="AR28" s="26">
        <f t="shared" si="6"/>
        <v>465</v>
      </c>
      <c r="AS28" s="37">
        <f t="shared" si="9"/>
        <v>1</v>
      </c>
      <c r="AT28" s="38">
        <f t="shared" si="10"/>
        <v>0.9538461538461539</v>
      </c>
      <c r="AU28" s="38">
        <f t="shared" si="11"/>
        <v>1</v>
      </c>
      <c r="AV28" s="27">
        <f t="shared" si="12"/>
        <v>0.9538461538461539</v>
      </c>
    </row>
    <row r="29" spans="1:48" s="1" customFormat="1" ht="21" customHeight="1" x14ac:dyDescent="0.25">
      <c r="A29" s="109">
        <v>46027</v>
      </c>
      <c r="B29" s="47" t="s">
        <v>49</v>
      </c>
      <c r="C29" s="108" t="s">
        <v>51</v>
      </c>
      <c r="D29" s="47" t="s">
        <v>124</v>
      </c>
      <c r="E29" s="48">
        <v>98992</v>
      </c>
      <c r="F29" s="48" t="s">
        <v>215</v>
      </c>
      <c r="G29" s="48" t="s">
        <v>125</v>
      </c>
      <c r="H29" s="30">
        <v>15114</v>
      </c>
      <c r="I29" s="30"/>
      <c r="J29" s="30">
        <v>32</v>
      </c>
      <c r="K29" s="28">
        <f t="shared" si="1"/>
        <v>112.5</v>
      </c>
      <c r="L29" s="31">
        <v>0.25</v>
      </c>
      <c r="M29" s="31">
        <v>0.60416666666666663</v>
      </c>
      <c r="N29" s="32">
        <f t="shared" si="2"/>
        <v>0.35416666666666663</v>
      </c>
      <c r="O29" s="36">
        <v>510</v>
      </c>
      <c r="P29" s="36">
        <f t="shared" si="7"/>
        <v>380</v>
      </c>
      <c r="Q29" s="36">
        <f t="shared" si="8"/>
        <v>380</v>
      </c>
      <c r="R29" s="15">
        <v>0</v>
      </c>
      <c r="S29" s="20">
        <v>0</v>
      </c>
      <c r="T29" s="16">
        <v>0</v>
      </c>
      <c r="U29" s="16">
        <v>0</v>
      </c>
      <c r="V29" s="20">
        <v>0</v>
      </c>
      <c r="W29" s="20">
        <v>0</v>
      </c>
      <c r="X29" s="19">
        <v>0</v>
      </c>
      <c r="Y29" s="19">
        <v>0</v>
      </c>
      <c r="Z29" s="20">
        <v>0</v>
      </c>
      <c r="AA29" s="16">
        <v>0</v>
      </c>
      <c r="AB29" s="20">
        <v>0</v>
      </c>
      <c r="AC29" s="20">
        <v>0</v>
      </c>
      <c r="AD29" s="15">
        <f t="shared" si="3"/>
        <v>0</v>
      </c>
      <c r="AE29" s="15">
        <v>0</v>
      </c>
      <c r="AF29" s="19">
        <v>0</v>
      </c>
      <c r="AG29" s="20">
        <v>0</v>
      </c>
      <c r="AH29" s="15">
        <v>60</v>
      </c>
      <c r="AI29" s="15">
        <v>0</v>
      </c>
      <c r="AJ29" s="15">
        <v>30</v>
      </c>
      <c r="AK29" s="15">
        <v>10</v>
      </c>
      <c r="AL29" s="15">
        <v>30</v>
      </c>
      <c r="AM29" s="15">
        <f t="shared" si="4"/>
        <v>130</v>
      </c>
      <c r="AN29" s="29">
        <f t="shared" si="5"/>
        <v>712.5</v>
      </c>
      <c r="AO29" s="19">
        <v>626</v>
      </c>
      <c r="AP29" s="21">
        <v>0</v>
      </c>
      <c r="AQ29" s="22">
        <v>0</v>
      </c>
      <c r="AR29" s="26">
        <f t="shared" si="6"/>
        <v>626</v>
      </c>
      <c r="AS29" s="37">
        <f t="shared" si="9"/>
        <v>1</v>
      </c>
      <c r="AT29" s="38">
        <f t="shared" si="10"/>
        <v>0.87859649122807015</v>
      </c>
      <c r="AU29" s="38">
        <f t="shared" si="11"/>
        <v>1</v>
      </c>
      <c r="AV29" s="27">
        <f t="shared" si="12"/>
        <v>0.87859649122807015</v>
      </c>
    </row>
    <row r="30" spans="1:48" s="1" customFormat="1" ht="21" customHeight="1" x14ac:dyDescent="0.25">
      <c r="A30" s="109">
        <v>46027</v>
      </c>
      <c r="B30" s="47" t="s">
        <v>49</v>
      </c>
      <c r="C30" s="108" t="s">
        <v>51</v>
      </c>
      <c r="D30" s="47" t="s">
        <v>122</v>
      </c>
      <c r="E30" s="48">
        <v>98992</v>
      </c>
      <c r="F30" s="48" t="s">
        <v>169</v>
      </c>
      <c r="G30" s="48" t="s">
        <v>125</v>
      </c>
      <c r="H30" s="30">
        <v>13106</v>
      </c>
      <c r="I30" s="30"/>
      <c r="J30" s="30">
        <v>32</v>
      </c>
      <c r="K30" s="28">
        <f t="shared" si="1"/>
        <v>112.5</v>
      </c>
      <c r="L30" s="31">
        <v>0.25</v>
      </c>
      <c r="M30" s="31">
        <v>0.60416666666666663</v>
      </c>
      <c r="N30" s="32">
        <f t="shared" si="2"/>
        <v>0.35416666666666663</v>
      </c>
      <c r="O30" s="36">
        <v>510</v>
      </c>
      <c r="P30" s="36">
        <f t="shared" si="7"/>
        <v>440</v>
      </c>
      <c r="Q30" s="36">
        <f t="shared" si="8"/>
        <v>440</v>
      </c>
      <c r="R30" s="15">
        <v>0</v>
      </c>
      <c r="S30" s="20">
        <v>0</v>
      </c>
      <c r="T30" s="16">
        <v>0</v>
      </c>
      <c r="U30" s="16">
        <v>0</v>
      </c>
      <c r="V30" s="20">
        <v>0</v>
      </c>
      <c r="W30" s="20">
        <v>0</v>
      </c>
      <c r="X30" s="19">
        <v>0</v>
      </c>
      <c r="Y30" s="19">
        <v>0</v>
      </c>
      <c r="Z30" s="20">
        <v>0</v>
      </c>
      <c r="AA30" s="16">
        <v>0</v>
      </c>
      <c r="AB30" s="20">
        <v>0</v>
      </c>
      <c r="AC30" s="20">
        <v>0</v>
      </c>
      <c r="AD30" s="15">
        <f t="shared" si="3"/>
        <v>0</v>
      </c>
      <c r="AE30" s="15">
        <v>0</v>
      </c>
      <c r="AF30" s="19">
        <v>0</v>
      </c>
      <c r="AG30" s="20">
        <v>0</v>
      </c>
      <c r="AH30" s="15">
        <v>0</v>
      </c>
      <c r="AI30" s="15">
        <v>0</v>
      </c>
      <c r="AJ30" s="15">
        <v>30</v>
      </c>
      <c r="AK30" s="15">
        <v>10</v>
      </c>
      <c r="AL30" s="15">
        <v>30</v>
      </c>
      <c r="AM30" s="15">
        <f t="shared" si="4"/>
        <v>70</v>
      </c>
      <c r="AN30" s="29">
        <f t="shared" si="5"/>
        <v>825</v>
      </c>
      <c r="AO30" s="19">
        <f>214+610</f>
        <v>824</v>
      </c>
      <c r="AP30" s="21">
        <v>0</v>
      </c>
      <c r="AQ30" s="22">
        <v>0</v>
      </c>
      <c r="AR30" s="26">
        <f t="shared" si="6"/>
        <v>824</v>
      </c>
      <c r="AS30" s="37">
        <f t="shared" si="9"/>
        <v>1</v>
      </c>
      <c r="AT30" s="38">
        <f t="shared" si="10"/>
        <v>0.99878787878787878</v>
      </c>
      <c r="AU30" s="38">
        <f t="shared" si="11"/>
        <v>1</v>
      </c>
      <c r="AV30" s="27">
        <f t="shared" si="12"/>
        <v>0.99878787878787878</v>
      </c>
    </row>
    <row r="31" spans="1:48" s="1" customFormat="1" ht="21" customHeight="1" x14ac:dyDescent="0.25">
      <c r="A31" s="109">
        <v>46027</v>
      </c>
      <c r="B31" s="47" t="s">
        <v>49</v>
      </c>
      <c r="C31" s="108" t="s">
        <v>51</v>
      </c>
      <c r="D31" s="47" t="s">
        <v>128</v>
      </c>
      <c r="E31" s="48">
        <v>98992</v>
      </c>
      <c r="F31" s="48" t="s">
        <v>53</v>
      </c>
      <c r="G31" s="48" t="s">
        <v>125</v>
      </c>
      <c r="H31" s="30">
        <v>15618</v>
      </c>
      <c r="I31" s="30"/>
      <c r="J31" s="30">
        <v>32</v>
      </c>
      <c r="K31" s="28">
        <f t="shared" si="1"/>
        <v>112.5</v>
      </c>
      <c r="L31" s="31">
        <v>0.58333333333333337</v>
      </c>
      <c r="M31" s="31">
        <v>0.9375</v>
      </c>
      <c r="N31" s="32">
        <f t="shared" si="2"/>
        <v>0.35416666666666663</v>
      </c>
      <c r="O31" s="36">
        <v>510</v>
      </c>
      <c r="P31" s="36">
        <f t="shared" si="7"/>
        <v>440</v>
      </c>
      <c r="Q31" s="36">
        <f t="shared" si="8"/>
        <v>440</v>
      </c>
      <c r="R31" s="15">
        <v>0</v>
      </c>
      <c r="S31" s="20">
        <v>0</v>
      </c>
      <c r="T31" s="16">
        <v>0</v>
      </c>
      <c r="U31" s="16">
        <v>0</v>
      </c>
      <c r="V31" s="20">
        <v>0</v>
      </c>
      <c r="W31" s="20">
        <v>0</v>
      </c>
      <c r="X31" s="19">
        <v>0</v>
      </c>
      <c r="Y31" s="19">
        <v>0</v>
      </c>
      <c r="Z31" s="20">
        <v>0</v>
      </c>
      <c r="AA31" s="16">
        <v>0</v>
      </c>
      <c r="AB31" s="20">
        <v>0</v>
      </c>
      <c r="AC31" s="20">
        <v>0</v>
      </c>
      <c r="AD31" s="15">
        <f t="shared" si="3"/>
        <v>0</v>
      </c>
      <c r="AE31" s="15">
        <v>0</v>
      </c>
      <c r="AF31" s="19">
        <v>0</v>
      </c>
      <c r="AG31" s="20">
        <v>0</v>
      </c>
      <c r="AH31" s="15">
        <v>0</v>
      </c>
      <c r="AI31" s="15">
        <v>0</v>
      </c>
      <c r="AJ31" s="15">
        <v>30</v>
      </c>
      <c r="AK31" s="15">
        <v>10</v>
      </c>
      <c r="AL31" s="15">
        <v>30</v>
      </c>
      <c r="AM31" s="15">
        <f t="shared" si="4"/>
        <v>70</v>
      </c>
      <c r="AN31" s="29">
        <f t="shared" si="5"/>
        <v>825</v>
      </c>
      <c r="AO31" s="19">
        <f>233+401</f>
        <v>634</v>
      </c>
      <c r="AP31" s="21">
        <v>0</v>
      </c>
      <c r="AQ31" s="22">
        <v>0</v>
      </c>
      <c r="AR31" s="26">
        <f t="shared" si="6"/>
        <v>634</v>
      </c>
      <c r="AS31" s="37">
        <f t="shared" si="9"/>
        <v>1</v>
      </c>
      <c r="AT31" s="38">
        <f t="shared" si="10"/>
        <v>0.76848484848484844</v>
      </c>
      <c r="AU31" s="38">
        <f t="shared" si="11"/>
        <v>1</v>
      </c>
      <c r="AV31" s="27">
        <f t="shared" si="12"/>
        <v>0.76848484848484844</v>
      </c>
    </row>
    <row r="32" spans="1:48" s="1" customFormat="1" ht="21" customHeight="1" x14ac:dyDescent="0.25">
      <c r="A32" s="109">
        <v>46027</v>
      </c>
      <c r="B32" s="47" t="s">
        <v>49</v>
      </c>
      <c r="C32" s="108" t="s">
        <v>51</v>
      </c>
      <c r="D32" s="47" t="s">
        <v>170</v>
      </c>
      <c r="E32" s="48">
        <v>98992</v>
      </c>
      <c r="F32" s="48" t="s">
        <v>176</v>
      </c>
      <c r="G32" s="48" t="s">
        <v>125</v>
      </c>
      <c r="H32" s="30">
        <v>15859</v>
      </c>
      <c r="I32" s="30"/>
      <c r="J32" s="30">
        <v>20</v>
      </c>
      <c r="K32" s="28">
        <f t="shared" si="1"/>
        <v>180</v>
      </c>
      <c r="L32" s="31">
        <v>0.58333333333333337</v>
      </c>
      <c r="M32" s="31">
        <v>0.9375</v>
      </c>
      <c r="N32" s="32">
        <f t="shared" si="2"/>
        <v>0.35416666666666663</v>
      </c>
      <c r="O32" s="36">
        <v>510</v>
      </c>
      <c r="P32" s="36">
        <f t="shared" si="7"/>
        <v>440</v>
      </c>
      <c r="Q32" s="36">
        <f t="shared" si="8"/>
        <v>440</v>
      </c>
      <c r="R32" s="15">
        <v>0</v>
      </c>
      <c r="S32" s="20">
        <v>0</v>
      </c>
      <c r="T32" s="16">
        <v>0</v>
      </c>
      <c r="U32" s="16">
        <v>0</v>
      </c>
      <c r="V32" s="20">
        <v>0</v>
      </c>
      <c r="W32" s="20">
        <v>0</v>
      </c>
      <c r="X32" s="19">
        <v>0</v>
      </c>
      <c r="Y32" s="19">
        <v>0</v>
      </c>
      <c r="Z32" s="20">
        <v>0</v>
      </c>
      <c r="AA32" s="16">
        <v>0</v>
      </c>
      <c r="AB32" s="20">
        <v>0</v>
      </c>
      <c r="AC32" s="20">
        <v>0</v>
      </c>
      <c r="AD32" s="15">
        <f t="shared" si="3"/>
        <v>0</v>
      </c>
      <c r="AE32" s="15">
        <v>0</v>
      </c>
      <c r="AF32" s="19">
        <v>0</v>
      </c>
      <c r="AG32" s="20">
        <v>0</v>
      </c>
      <c r="AH32" s="15">
        <v>0</v>
      </c>
      <c r="AI32" s="15">
        <v>0</v>
      </c>
      <c r="AJ32" s="15">
        <v>30</v>
      </c>
      <c r="AK32" s="15">
        <v>10</v>
      </c>
      <c r="AL32" s="15">
        <v>30</v>
      </c>
      <c r="AM32" s="15">
        <f t="shared" si="4"/>
        <v>70</v>
      </c>
      <c r="AN32" s="29">
        <f t="shared" si="5"/>
        <v>1320</v>
      </c>
      <c r="AO32" s="19">
        <f>696+317</f>
        <v>1013</v>
      </c>
      <c r="AP32" s="21">
        <v>0</v>
      </c>
      <c r="AQ32" s="22">
        <v>0</v>
      </c>
      <c r="AR32" s="26">
        <f t="shared" si="6"/>
        <v>1013</v>
      </c>
      <c r="AS32" s="37">
        <f t="shared" si="9"/>
        <v>1</v>
      </c>
      <c r="AT32" s="38">
        <f t="shared" si="10"/>
        <v>0.76742424242424245</v>
      </c>
      <c r="AU32" s="38">
        <f t="shared" si="11"/>
        <v>1</v>
      </c>
      <c r="AV32" s="27">
        <f t="shared" si="12"/>
        <v>0.76742424242424245</v>
      </c>
    </row>
    <row r="33" spans="1:48" s="1" customFormat="1" ht="21" customHeight="1" x14ac:dyDescent="0.25">
      <c r="A33" s="109">
        <v>46027</v>
      </c>
      <c r="B33" s="47" t="s">
        <v>49</v>
      </c>
      <c r="C33" s="108" t="s">
        <v>51</v>
      </c>
      <c r="D33" s="47" t="s">
        <v>127</v>
      </c>
      <c r="E33" s="48">
        <v>98992</v>
      </c>
      <c r="F33" s="48" t="s">
        <v>175</v>
      </c>
      <c r="G33" s="48" t="s">
        <v>125</v>
      </c>
      <c r="H33" s="30">
        <v>15672</v>
      </c>
      <c r="I33" s="30"/>
      <c r="J33" s="30">
        <v>20</v>
      </c>
      <c r="K33" s="28">
        <f t="shared" si="1"/>
        <v>180</v>
      </c>
      <c r="L33" s="31">
        <v>0.58333333333333337</v>
      </c>
      <c r="M33" s="31">
        <v>0.9375</v>
      </c>
      <c r="N33" s="32">
        <f t="shared" si="2"/>
        <v>0.35416666666666663</v>
      </c>
      <c r="O33" s="36">
        <v>510</v>
      </c>
      <c r="P33" s="36">
        <f t="shared" si="7"/>
        <v>320</v>
      </c>
      <c r="Q33" s="36">
        <f t="shared" si="8"/>
        <v>320</v>
      </c>
      <c r="R33" s="15">
        <v>0</v>
      </c>
      <c r="S33" s="20">
        <v>0</v>
      </c>
      <c r="T33" s="16">
        <v>0</v>
      </c>
      <c r="U33" s="16">
        <v>0</v>
      </c>
      <c r="V33" s="20">
        <v>0</v>
      </c>
      <c r="W33" s="20">
        <v>0</v>
      </c>
      <c r="X33" s="19">
        <v>0</v>
      </c>
      <c r="Y33" s="19">
        <v>0</v>
      </c>
      <c r="Z33" s="20">
        <v>0</v>
      </c>
      <c r="AA33" s="16">
        <v>0</v>
      </c>
      <c r="AB33" s="20">
        <v>0</v>
      </c>
      <c r="AC33" s="20">
        <v>0</v>
      </c>
      <c r="AD33" s="15">
        <f t="shared" si="3"/>
        <v>0</v>
      </c>
      <c r="AE33" s="15">
        <v>0</v>
      </c>
      <c r="AF33" s="19">
        <v>0</v>
      </c>
      <c r="AG33" s="20">
        <v>0</v>
      </c>
      <c r="AH33" s="15">
        <v>120</v>
      </c>
      <c r="AI33" s="15">
        <v>0</v>
      </c>
      <c r="AJ33" s="15">
        <v>30</v>
      </c>
      <c r="AK33" s="15">
        <v>10</v>
      </c>
      <c r="AL33" s="15">
        <v>30</v>
      </c>
      <c r="AM33" s="15">
        <f t="shared" si="4"/>
        <v>190</v>
      </c>
      <c r="AN33" s="29">
        <f t="shared" si="5"/>
        <v>960</v>
      </c>
      <c r="AO33" s="19">
        <f>693+121</f>
        <v>814</v>
      </c>
      <c r="AP33" s="21">
        <v>0</v>
      </c>
      <c r="AQ33" s="22">
        <v>0</v>
      </c>
      <c r="AR33" s="26">
        <f t="shared" si="6"/>
        <v>814</v>
      </c>
      <c r="AS33" s="37">
        <f t="shared" si="9"/>
        <v>1</v>
      </c>
      <c r="AT33" s="38">
        <f t="shared" si="10"/>
        <v>0.84791666666666665</v>
      </c>
      <c r="AU33" s="38">
        <f t="shared" si="11"/>
        <v>1</v>
      </c>
      <c r="AV33" s="27">
        <f t="shared" si="12"/>
        <v>0.84791666666666665</v>
      </c>
    </row>
    <row r="34" spans="1:48" s="1" customFormat="1" ht="21" customHeight="1" x14ac:dyDescent="0.25">
      <c r="A34" s="109">
        <v>46028</v>
      </c>
      <c r="B34" s="47" t="s">
        <v>49</v>
      </c>
      <c r="C34" s="108" t="s">
        <v>21</v>
      </c>
      <c r="D34" s="47" t="s">
        <v>94</v>
      </c>
      <c r="E34" s="48">
        <v>98992</v>
      </c>
      <c r="F34" s="48" t="s">
        <v>67</v>
      </c>
      <c r="G34" s="48" t="s">
        <v>174</v>
      </c>
      <c r="H34" s="30">
        <v>14033</v>
      </c>
      <c r="I34" s="30"/>
      <c r="J34" s="30">
        <v>24</v>
      </c>
      <c r="K34" s="28">
        <f t="shared" si="1"/>
        <v>150</v>
      </c>
      <c r="L34" s="31">
        <v>0.25</v>
      </c>
      <c r="M34" s="31">
        <v>0.60416666666666663</v>
      </c>
      <c r="N34" s="32">
        <f t="shared" si="2"/>
        <v>0.35416666666666663</v>
      </c>
      <c r="O34" s="36">
        <v>510</v>
      </c>
      <c r="P34" s="36">
        <f t="shared" si="7"/>
        <v>440</v>
      </c>
      <c r="Q34" s="36">
        <f t="shared" si="8"/>
        <v>440</v>
      </c>
      <c r="R34" s="15">
        <v>0</v>
      </c>
      <c r="S34" s="20">
        <v>0</v>
      </c>
      <c r="T34" s="16">
        <v>0</v>
      </c>
      <c r="U34" s="16">
        <v>0</v>
      </c>
      <c r="V34" s="20">
        <v>0</v>
      </c>
      <c r="W34" s="20">
        <v>0</v>
      </c>
      <c r="X34" s="19">
        <v>0</v>
      </c>
      <c r="Y34" s="19">
        <v>0</v>
      </c>
      <c r="Z34" s="20">
        <v>0</v>
      </c>
      <c r="AA34" s="16">
        <v>0</v>
      </c>
      <c r="AB34" s="20">
        <v>0</v>
      </c>
      <c r="AC34" s="20">
        <v>0</v>
      </c>
      <c r="AD34" s="15">
        <f t="shared" si="3"/>
        <v>0</v>
      </c>
      <c r="AE34" s="15">
        <v>0</v>
      </c>
      <c r="AF34" s="19">
        <v>0</v>
      </c>
      <c r="AG34" s="20">
        <v>0</v>
      </c>
      <c r="AH34" s="15">
        <v>0</v>
      </c>
      <c r="AI34" s="15">
        <v>0</v>
      </c>
      <c r="AJ34" s="15">
        <v>30</v>
      </c>
      <c r="AK34" s="15">
        <v>10</v>
      </c>
      <c r="AL34" s="15">
        <v>30</v>
      </c>
      <c r="AM34" s="15">
        <f t="shared" si="4"/>
        <v>70</v>
      </c>
      <c r="AN34" s="29">
        <f t="shared" si="5"/>
        <v>1100</v>
      </c>
      <c r="AO34" s="19">
        <v>920</v>
      </c>
      <c r="AP34" s="21">
        <v>0</v>
      </c>
      <c r="AQ34" s="22">
        <v>0</v>
      </c>
      <c r="AR34" s="26">
        <f t="shared" si="6"/>
        <v>920</v>
      </c>
      <c r="AS34" s="37">
        <f t="shared" si="9"/>
        <v>1</v>
      </c>
      <c r="AT34" s="38">
        <f t="shared" si="10"/>
        <v>0.83636363636363631</v>
      </c>
      <c r="AU34" s="38">
        <f t="shared" si="11"/>
        <v>1</v>
      </c>
      <c r="AV34" s="27">
        <f t="shared" si="12"/>
        <v>0.83636363636363631</v>
      </c>
    </row>
    <row r="35" spans="1:48" s="1" customFormat="1" ht="21" customHeight="1" x14ac:dyDescent="0.25">
      <c r="A35" s="109">
        <v>46028</v>
      </c>
      <c r="B35" s="47" t="s">
        <v>49</v>
      </c>
      <c r="C35" s="107" t="s">
        <v>21</v>
      </c>
      <c r="D35" s="47" t="s">
        <v>88</v>
      </c>
      <c r="E35" s="48">
        <v>98992</v>
      </c>
      <c r="F35" s="48" t="s">
        <v>126</v>
      </c>
      <c r="G35" s="48" t="s">
        <v>87</v>
      </c>
      <c r="H35" s="30">
        <v>11682</v>
      </c>
      <c r="I35" s="30"/>
      <c r="J35" s="30">
        <v>32</v>
      </c>
      <c r="K35" s="28">
        <f t="shared" si="1"/>
        <v>112.5</v>
      </c>
      <c r="L35" s="31">
        <v>0.25</v>
      </c>
      <c r="M35" s="31">
        <v>0.60416666666666663</v>
      </c>
      <c r="N35" s="32">
        <f t="shared" si="2"/>
        <v>0.35416666666666663</v>
      </c>
      <c r="O35" s="36">
        <v>510</v>
      </c>
      <c r="P35" s="36">
        <f t="shared" si="7"/>
        <v>440</v>
      </c>
      <c r="Q35" s="36">
        <f t="shared" si="8"/>
        <v>440</v>
      </c>
      <c r="R35" s="15">
        <v>0</v>
      </c>
      <c r="S35" s="20">
        <v>0</v>
      </c>
      <c r="T35" s="16">
        <v>0</v>
      </c>
      <c r="U35" s="16">
        <v>0</v>
      </c>
      <c r="V35" s="20">
        <v>0</v>
      </c>
      <c r="W35" s="20">
        <v>0</v>
      </c>
      <c r="X35" s="19">
        <v>0</v>
      </c>
      <c r="Y35" s="19">
        <v>0</v>
      </c>
      <c r="Z35" s="20">
        <v>0</v>
      </c>
      <c r="AA35" s="16">
        <v>0</v>
      </c>
      <c r="AB35" s="20">
        <v>0</v>
      </c>
      <c r="AC35" s="20">
        <v>0</v>
      </c>
      <c r="AD35" s="15">
        <f t="shared" si="3"/>
        <v>0</v>
      </c>
      <c r="AE35" s="15">
        <v>0</v>
      </c>
      <c r="AF35" s="19">
        <v>0</v>
      </c>
      <c r="AG35" s="20">
        <v>0</v>
      </c>
      <c r="AH35" s="15">
        <v>0</v>
      </c>
      <c r="AI35" s="15">
        <v>0</v>
      </c>
      <c r="AJ35" s="15">
        <v>30</v>
      </c>
      <c r="AK35" s="15">
        <v>10</v>
      </c>
      <c r="AL35" s="15">
        <v>30</v>
      </c>
      <c r="AM35" s="15">
        <f t="shared" si="4"/>
        <v>70</v>
      </c>
      <c r="AN35" s="29">
        <f t="shared" si="5"/>
        <v>825</v>
      </c>
      <c r="AO35" s="19">
        <v>706</v>
      </c>
      <c r="AP35" s="21">
        <v>0</v>
      </c>
      <c r="AQ35" s="22">
        <v>0</v>
      </c>
      <c r="AR35" s="26">
        <f t="shared" si="6"/>
        <v>706</v>
      </c>
      <c r="AS35" s="37">
        <f t="shared" si="9"/>
        <v>1</v>
      </c>
      <c r="AT35" s="38">
        <f t="shared" si="10"/>
        <v>0.85575757575757572</v>
      </c>
      <c r="AU35" s="38">
        <f t="shared" si="11"/>
        <v>1</v>
      </c>
      <c r="AV35" s="27">
        <f t="shared" si="12"/>
        <v>0.85575757575757572</v>
      </c>
    </row>
    <row r="36" spans="1:48" s="1" customFormat="1" ht="21" customHeight="1" x14ac:dyDescent="0.25">
      <c r="A36" s="109">
        <v>46028</v>
      </c>
      <c r="B36" s="47" t="s">
        <v>49</v>
      </c>
      <c r="C36" s="107" t="s">
        <v>21</v>
      </c>
      <c r="D36" s="47" t="s">
        <v>52</v>
      </c>
      <c r="E36" s="48">
        <v>98992</v>
      </c>
      <c r="F36" s="48" t="s">
        <v>53</v>
      </c>
      <c r="G36" s="48" t="s">
        <v>87</v>
      </c>
      <c r="H36" s="30">
        <v>16000</v>
      </c>
      <c r="I36" s="30"/>
      <c r="J36" s="30">
        <v>32</v>
      </c>
      <c r="K36" s="28">
        <f t="shared" si="1"/>
        <v>112.5</v>
      </c>
      <c r="L36" s="31">
        <v>0.25</v>
      </c>
      <c r="M36" s="31">
        <v>0.60416666666666663</v>
      </c>
      <c r="N36" s="32">
        <f t="shared" si="2"/>
        <v>0.35416666666666663</v>
      </c>
      <c r="O36" s="36">
        <v>510</v>
      </c>
      <c r="P36" s="36">
        <f t="shared" si="7"/>
        <v>190</v>
      </c>
      <c r="Q36" s="36">
        <f t="shared" si="8"/>
        <v>190</v>
      </c>
      <c r="R36" s="15">
        <v>0</v>
      </c>
      <c r="S36" s="20">
        <v>0</v>
      </c>
      <c r="T36" s="16">
        <v>0</v>
      </c>
      <c r="U36" s="16">
        <v>0</v>
      </c>
      <c r="V36" s="20">
        <v>0</v>
      </c>
      <c r="W36" s="20">
        <v>0</v>
      </c>
      <c r="X36" s="19">
        <v>0</v>
      </c>
      <c r="Y36" s="19">
        <v>0</v>
      </c>
      <c r="Z36" s="20">
        <v>0</v>
      </c>
      <c r="AA36" s="16">
        <v>0</v>
      </c>
      <c r="AB36" s="20">
        <v>0</v>
      </c>
      <c r="AC36" s="20">
        <v>0</v>
      </c>
      <c r="AD36" s="15">
        <f t="shared" si="3"/>
        <v>0</v>
      </c>
      <c r="AE36" s="15">
        <v>0</v>
      </c>
      <c r="AF36" s="19">
        <v>0</v>
      </c>
      <c r="AG36" s="20">
        <v>0</v>
      </c>
      <c r="AH36" s="15">
        <v>250</v>
      </c>
      <c r="AI36" s="15">
        <v>0</v>
      </c>
      <c r="AJ36" s="15">
        <v>30</v>
      </c>
      <c r="AK36" s="15">
        <v>10</v>
      </c>
      <c r="AL36" s="15">
        <v>30</v>
      </c>
      <c r="AM36" s="15">
        <f t="shared" si="4"/>
        <v>320</v>
      </c>
      <c r="AN36" s="29">
        <f t="shared" si="5"/>
        <v>356.25</v>
      </c>
      <c r="AO36" s="19">
        <v>284</v>
      </c>
      <c r="AP36" s="21">
        <v>0</v>
      </c>
      <c r="AQ36" s="22">
        <v>0</v>
      </c>
      <c r="AR36" s="26">
        <f t="shared" si="6"/>
        <v>284</v>
      </c>
      <c r="AS36" s="37">
        <f t="shared" si="9"/>
        <v>1</v>
      </c>
      <c r="AT36" s="38">
        <f t="shared" si="10"/>
        <v>0.79719298245614034</v>
      </c>
      <c r="AU36" s="38">
        <f t="shared" si="11"/>
        <v>1</v>
      </c>
      <c r="AV36" s="27">
        <f t="shared" si="12"/>
        <v>0.79719298245614034</v>
      </c>
    </row>
    <row r="37" spans="1:48" s="1" customFormat="1" ht="21" customHeight="1" x14ac:dyDescent="0.25">
      <c r="A37" s="109">
        <v>46028</v>
      </c>
      <c r="B37" s="47" t="s">
        <v>49</v>
      </c>
      <c r="C37" s="107" t="s">
        <v>21</v>
      </c>
      <c r="D37" s="47" t="s">
        <v>172</v>
      </c>
      <c r="E37" s="48">
        <v>98992</v>
      </c>
      <c r="F37" s="48" t="s">
        <v>175</v>
      </c>
      <c r="G37" s="48" t="s">
        <v>87</v>
      </c>
      <c r="H37" s="30">
        <v>15632</v>
      </c>
      <c r="I37" s="30"/>
      <c r="J37" s="30">
        <v>20</v>
      </c>
      <c r="K37" s="28">
        <f t="shared" si="1"/>
        <v>180</v>
      </c>
      <c r="L37" s="31">
        <v>0.25</v>
      </c>
      <c r="M37" s="31">
        <v>0.60416666666666663</v>
      </c>
      <c r="N37" s="32">
        <f t="shared" si="2"/>
        <v>0.35416666666666663</v>
      </c>
      <c r="O37" s="36">
        <v>510</v>
      </c>
      <c r="P37" s="36">
        <f t="shared" si="7"/>
        <v>200</v>
      </c>
      <c r="Q37" s="36">
        <f t="shared" si="8"/>
        <v>200</v>
      </c>
      <c r="R37" s="15">
        <v>0</v>
      </c>
      <c r="S37" s="20">
        <v>0</v>
      </c>
      <c r="T37" s="16">
        <v>0</v>
      </c>
      <c r="U37" s="16">
        <v>0</v>
      </c>
      <c r="V37" s="20">
        <v>0</v>
      </c>
      <c r="W37" s="20">
        <v>0</v>
      </c>
      <c r="X37" s="19">
        <v>0</v>
      </c>
      <c r="Y37" s="19">
        <v>0</v>
      </c>
      <c r="Z37" s="20">
        <v>0</v>
      </c>
      <c r="AA37" s="16">
        <v>0</v>
      </c>
      <c r="AB37" s="20">
        <v>0</v>
      </c>
      <c r="AC37" s="20">
        <v>0</v>
      </c>
      <c r="AD37" s="15">
        <f t="shared" si="3"/>
        <v>0</v>
      </c>
      <c r="AE37" s="15">
        <v>0</v>
      </c>
      <c r="AF37" s="19">
        <v>0</v>
      </c>
      <c r="AG37" s="20">
        <v>0</v>
      </c>
      <c r="AH37" s="15">
        <v>240</v>
      </c>
      <c r="AI37" s="15">
        <v>0</v>
      </c>
      <c r="AJ37" s="15">
        <v>30</v>
      </c>
      <c r="AK37" s="15">
        <v>10</v>
      </c>
      <c r="AL37" s="15">
        <v>30</v>
      </c>
      <c r="AM37" s="15">
        <f t="shared" si="4"/>
        <v>310</v>
      </c>
      <c r="AN37" s="29">
        <f t="shared" si="5"/>
        <v>600</v>
      </c>
      <c r="AO37" s="19">
        <v>480</v>
      </c>
      <c r="AP37" s="21">
        <v>0</v>
      </c>
      <c r="AQ37" s="22">
        <v>0</v>
      </c>
      <c r="AR37" s="26">
        <f t="shared" si="6"/>
        <v>480</v>
      </c>
      <c r="AS37" s="37">
        <f t="shared" si="9"/>
        <v>1</v>
      </c>
      <c r="AT37" s="38">
        <f t="shared" si="10"/>
        <v>0.8</v>
      </c>
      <c r="AU37" s="38">
        <f t="shared" si="11"/>
        <v>1</v>
      </c>
      <c r="AV37" s="27">
        <f t="shared" si="12"/>
        <v>0.8</v>
      </c>
    </row>
    <row r="38" spans="1:48" s="1" customFormat="1" ht="21" customHeight="1" x14ac:dyDescent="0.25">
      <c r="A38" s="109">
        <v>46028</v>
      </c>
      <c r="B38" s="47" t="s">
        <v>49</v>
      </c>
      <c r="C38" s="107" t="s">
        <v>21</v>
      </c>
      <c r="D38" s="47" t="s">
        <v>124</v>
      </c>
      <c r="E38" s="48">
        <v>98992</v>
      </c>
      <c r="F38" s="48" t="s">
        <v>215</v>
      </c>
      <c r="G38" s="48" t="s">
        <v>125</v>
      </c>
      <c r="H38" s="30">
        <v>15036</v>
      </c>
      <c r="I38" s="30"/>
      <c r="J38" s="30">
        <v>32</v>
      </c>
      <c r="K38" s="28">
        <f t="shared" si="1"/>
        <v>112.5</v>
      </c>
      <c r="L38" s="31">
        <v>0.25</v>
      </c>
      <c r="M38" s="31">
        <v>0.60416666666666663</v>
      </c>
      <c r="N38" s="32">
        <f t="shared" si="2"/>
        <v>0.35416666666666663</v>
      </c>
      <c r="O38" s="36">
        <v>510</v>
      </c>
      <c r="P38" s="36">
        <f t="shared" si="7"/>
        <v>440</v>
      </c>
      <c r="Q38" s="36">
        <f t="shared" si="8"/>
        <v>440</v>
      </c>
      <c r="R38" s="15">
        <v>0</v>
      </c>
      <c r="S38" s="20">
        <v>0</v>
      </c>
      <c r="T38" s="16">
        <v>0</v>
      </c>
      <c r="U38" s="16">
        <v>0</v>
      </c>
      <c r="V38" s="20">
        <v>0</v>
      </c>
      <c r="W38" s="20">
        <v>0</v>
      </c>
      <c r="X38" s="19">
        <v>0</v>
      </c>
      <c r="Y38" s="19">
        <v>0</v>
      </c>
      <c r="Z38" s="20">
        <v>0</v>
      </c>
      <c r="AA38" s="16">
        <v>0</v>
      </c>
      <c r="AB38" s="20">
        <v>0</v>
      </c>
      <c r="AC38" s="20">
        <v>0</v>
      </c>
      <c r="AD38" s="15">
        <f t="shared" si="3"/>
        <v>0</v>
      </c>
      <c r="AE38" s="15">
        <v>0</v>
      </c>
      <c r="AF38" s="19">
        <v>0</v>
      </c>
      <c r="AG38" s="20">
        <v>0</v>
      </c>
      <c r="AH38" s="15">
        <v>0</v>
      </c>
      <c r="AI38" s="15">
        <v>0</v>
      </c>
      <c r="AJ38" s="15">
        <v>30</v>
      </c>
      <c r="AK38" s="15">
        <v>10</v>
      </c>
      <c r="AL38" s="15">
        <v>30</v>
      </c>
      <c r="AM38" s="15">
        <f t="shared" si="4"/>
        <v>70</v>
      </c>
      <c r="AN38" s="29">
        <f t="shared" si="5"/>
        <v>825</v>
      </c>
      <c r="AO38" s="19">
        <v>751</v>
      </c>
      <c r="AP38" s="21">
        <v>0</v>
      </c>
      <c r="AQ38" s="22">
        <v>0</v>
      </c>
      <c r="AR38" s="26">
        <f t="shared" si="6"/>
        <v>751</v>
      </c>
      <c r="AS38" s="37">
        <f t="shared" si="9"/>
        <v>1</v>
      </c>
      <c r="AT38" s="38">
        <f t="shared" si="10"/>
        <v>0.91030303030303028</v>
      </c>
      <c r="AU38" s="38">
        <f t="shared" si="11"/>
        <v>1</v>
      </c>
      <c r="AV38" s="27">
        <f t="shared" si="12"/>
        <v>0.91030303030303028</v>
      </c>
    </row>
    <row r="39" spans="1:48" s="1" customFormat="1" ht="21" customHeight="1" x14ac:dyDescent="0.25">
      <c r="A39" s="109">
        <v>46028</v>
      </c>
      <c r="B39" s="47" t="s">
        <v>49</v>
      </c>
      <c r="C39" s="107" t="s">
        <v>21</v>
      </c>
      <c r="D39" s="47" t="s">
        <v>122</v>
      </c>
      <c r="E39" s="48">
        <v>98992</v>
      </c>
      <c r="F39" s="48" t="s">
        <v>169</v>
      </c>
      <c r="G39" s="48" t="s">
        <v>125</v>
      </c>
      <c r="H39" s="30">
        <v>14972</v>
      </c>
      <c r="I39" s="30"/>
      <c r="J39" s="30">
        <v>32</v>
      </c>
      <c r="K39" s="28">
        <f t="shared" si="1"/>
        <v>112.5</v>
      </c>
      <c r="L39" s="31">
        <v>0.25</v>
      </c>
      <c r="M39" s="31">
        <v>0.60416666666666663</v>
      </c>
      <c r="N39" s="32">
        <f t="shared" si="2"/>
        <v>0.35416666666666663</v>
      </c>
      <c r="O39" s="36">
        <v>510</v>
      </c>
      <c r="P39" s="36">
        <f t="shared" si="7"/>
        <v>440</v>
      </c>
      <c r="Q39" s="36">
        <f t="shared" si="8"/>
        <v>440</v>
      </c>
      <c r="R39" s="15">
        <v>0</v>
      </c>
      <c r="S39" s="20">
        <v>0</v>
      </c>
      <c r="T39" s="16">
        <v>0</v>
      </c>
      <c r="U39" s="16">
        <v>0</v>
      </c>
      <c r="V39" s="20">
        <v>0</v>
      </c>
      <c r="W39" s="20">
        <v>0</v>
      </c>
      <c r="X39" s="19">
        <v>0</v>
      </c>
      <c r="Y39" s="19">
        <v>0</v>
      </c>
      <c r="Z39" s="20">
        <v>0</v>
      </c>
      <c r="AA39" s="16">
        <v>0</v>
      </c>
      <c r="AB39" s="20">
        <v>0</v>
      </c>
      <c r="AC39" s="20">
        <v>0</v>
      </c>
      <c r="AD39" s="15">
        <f t="shared" si="3"/>
        <v>0</v>
      </c>
      <c r="AE39" s="15">
        <v>0</v>
      </c>
      <c r="AF39" s="19">
        <v>0</v>
      </c>
      <c r="AG39" s="20">
        <v>0</v>
      </c>
      <c r="AH39" s="15">
        <v>0</v>
      </c>
      <c r="AI39" s="15">
        <v>0</v>
      </c>
      <c r="AJ39" s="15">
        <v>30</v>
      </c>
      <c r="AK39" s="15">
        <v>10</v>
      </c>
      <c r="AL39" s="15">
        <v>30</v>
      </c>
      <c r="AM39" s="15">
        <f t="shared" si="4"/>
        <v>70</v>
      </c>
      <c r="AN39" s="29">
        <f t="shared" si="5"/>
        <v>825</v>
      </c>
      <c r="AO39" s="19">
        <v>707</v>
      </c>
      <c r="AP39" s="21">
        <v>0</v>
      </c>
      <c r="AQ39" s="22">
        <v>0</v>
      </c>
      <c r="AR39" s="26">
        <f t="shared" si="6"/>
        <v>707</v>
      </c>
      <c r="AS39" s="37">
        <f t="shared" si="9"/>
        <v>1</v>
      </c>
      <c r="AT39" s="38">
        <f t="shared" si="10"/>
        <v>0.85696969696969694</v>
      </c>
      <c r="AU39" s="38">
        <f t="shared" si="11"/>
        <v>1</v>
      </c>
      <c r="AV39" s="27">
        <f t="shared" si="12"/>
        <v>0.85696969696969694</v>
      </c>
    </row>
    <row r="40" spans="1:48" s="1" customFormat="1" ht="21" customHeight="1" x14ac:dyDescent="0.25">
      <c r="A40" s="109">
        <v>46028</v>
      </c>
      <c r="B40" s="47" t="s">
        <v>49</v>
      </c>
      <c r="C40" s="107" t="s">
        <v>21</v>
      </c>
      <c r="D40" s="47" t="s">
        <v>128</v>
      </c>
      <c r="E40" s="48">
        <v>98992</v>
      </c>
      <c r="F40" s="48" t="s">
        <v>53</v>
      </c>
      <c r="G40" s="48" t="s">
        <v>125</v>
      </c>
      <c r="H40" s="30">
        <v>15672</v>
      </c>
      <c r="I40" s="30"/>
      <c r="J40" s="30">
        <v>32</v>
      </c>
      <c r="K40" s="28">
        <f t="shared" si="1"/>
        <v>112.5</v>
      </c>
      <c r="L40" s="31">
        <v>0.25</v>
      </c>
      <c r="M40" s="31">
        <v>0.60416666666666663</v>
      </c>
      <c r="N40" s="32">
        <f t="shared" si="2"/>
        <v>0.35416666666666663</v>
      </c>
      <c r="O40" s="36">
        <v>510</v>
      </c>
      <c r="P40" s="36">
        <f t="shared" si="7"/>
        <v>440</v>
      </c>
      <c r="Q40" s="36">
        <f t="shared" si="8"/>
        <v>440</v>
      </c>
      <c r="R40" s="15">
        <v>0</v>
      </c>
      <c r="S40" s="20">
        <v>0</v>
      </c>
      <c r="T40" s="16">
        <v>0</v>
      </c>
      <c r="U40" s="16">
        <v>0</v>
      </c>
      <c r="V40" s="20">
        <v>0</v>
      </c>
      <c r="W40" s="20">
        <v>0</v>
      </c>
      <c r="X40" s="19">
        <v>0</v>
      </c>
      <c r="Y40" s="19">
        <v>0</v>
      </c>
      <c r="Z40" s="20">
        <v>0</v>
      </c>
      <c r="AA40" s="16">
        <v>0</v>
      </c>
      <c r="AB40" s="20">
        <v>0</v>
      </c>
      <c r="AC40" s="20">
        <v>0</v>
      </c>
      <c r="AD40" s="15">
        <f t="shared" si="3"/>
        <v>0</v>
      </c>
      <c r="AE40" s="15">
        <v>0</v>
      </c>
      <c r="AF40" s="19">
        <v>0</v>
      </c>
      <c r="AG40" s="20">
        <v>0</v>
      </c>
      <c r="AH40" s="15">
        <v>0</v>
      </c>
      <c r="AI40" s="15">
        <v>0</v>
      </c>
      <c r="AJ40" s="15">
        <v>30</v>
      </c>
      <c r="AK40" s="15">
        <v>10</v>
      </c>
      <c r="AL40" s="15">
        <v>30</v>
      </c>
      <c r="AM40" s="15">
        <f t="shared" si="4"/>
        <v>70</v>
      </c>
      <c r="AN40" s="29">
        <f t="shared" si="5"/>
        <v>825</v>
      </c>
      <c r="AO40" s="19">
        <v>704</v>
      </c>
      <c r="AP40" s="21">
        <v>0</v>
      </c>
      <c r="AQ40" s="22">
        <v>0</v>
      </c>
      <c r="AR40" s="26">
        <f t="shared" si="6"/>
        <v>704</v>
      </c>
      <c r="AS40" s="37">
        <f t="shared" si="9"/>
        <v>1</v>
      </c>
      <c r="AT40" s="38">
        <f t="shared" si="10"/>
        <v>0.85333333333333339</v>
      </c>
      <c r="AU40" s="38">
        <f t="shared" si="11"/>
        <v>1</v>
      </c>
      <c r="AV40" s="27">
        <f t="shared" si="12"/>
        <v>0.85333333333333339</v>
      </c>
    </row>
    <row r="41" spans="1:48" s="1" customFormat="1" ht="21" customHeight="1" x14ac:dyDescent="0.25">
      <c r="A41" s="109">
        <v>46028</v>
      </c>
      <c r="B41" s="47" t="s">
        <v>49</v>
      </c>
      <c r="C41" s="107" t="s">
        <v>21</v>
      </c>
      <c r="D41" s="47" t="s">
        <v>170</v>
      </c>
      <c r="E41" s="48">
        <v>98992</v>
      </c>
      <c r="F41" s="48" t="s">
        <v>176</v>
      </c>
      <c r="G41" s="48" t="s">
        <v>125</v>
      </c>
      <c r="H41" s="30">
        <v>15773</v>
      </c>
      <c r="I41" s="30"/>
      <c r="J41" s="30">
        <v>20</v>
      </c>
      <c r="K41" s="28">
        <f t="shared" si="1"/>
        <v>180</v>
      </c>
      <c r="L41" s="31">
        <v>0.25</v>
      </c>
      <c r="M41" s="31">
        <v>0.60416666666666663</v>
      </c>
      <c r="N41" s="32">
        <f t="shared" si="2"/>
        <v>0.35416666666666663</v>
      </c>
      <c r="O41" s="36">
        <v>510</v>
      </c>
      <c r="P41" s="36">
        <f t="shared" si="7"/>
        <v>220</v>
      </c>
      <c r="Q41" s="36">
        <f t="shared" si="8"/>
        <v>220</v>
      </c>
      <c r="R41" s="15">
        <v>0</v>
      </c>
      <c r="S41" s="20">
        <v>0</v>
      </c>
      <c r="T41" s="16">
        <v>0</v>
      </c>
      <c r="U41" s="16">
        <v>0</v>
      </c>
      <c r="V41" s="20">
        <v>0</v>
      </c>
      <c r="W41" s="20">
        <v>0</v>
      </c>
      <c r="X41" s="19">
        <v>0</v>
      </c>
      <c r="Y41" s="19">
        <v>0</v>
      </c>
      <c r="Z41" s="20">
        <v>0</v>
      </c>
      <c r="AA41" s="16">
        <v>0</v>
      </c>
      <c r="AB41" s="20">
        <v>0</v>
      </c>
      <c r="AC41" s="20">
        <v>0</v>
      </c>
      <c r="AD41" s="15">
        <f t="shared" si="3"/>
        <v>0</v>
      </c>
      <c r="AE41" s="15">
        <v>0</v>
      </c>
      <c r="AF41" s="19">
        <v>0</v>
      </c>
      <c r="AG41" s="20">
        <v>0</v>
      </c>
      <c r="AH41" s="15">
        <v>220</v>
      </c>
      <c r="AI41" s="15">
        <v>0</v>
      </c>
      <c r="AJ41" s="15">
        <v>30</v>
      </c>
      <c r="AK41" s="15">
        <v>10</v>
      </c>
      <c r="AL41" s="15">
        <v>30</v>
      </c>
      <c r="AM41" s="15">
        <f t="shared" si="4"/>
        <v>290</v>
      </c>
      <c r="AN41" s="29">
        <f t="shared" si="5"/>
        <v>660</v>
      </c>
      <c r="AO41" s="19">
        <v>520</v>
      </c>
      <c r="AP41" s="21">
        <v>0</v>
      </c>
      <c r="AQ41" s="22">
        <v>0</v>
      </c>
      <c r="AR41" s="26">
        <f t="shared" si="6"/>
        <v>520</v>
      </c>
      <c r="AS41" s="37">
        <f t="shared" si="9"/>
        <v>1</v>
      </c>
      <c r="AT41" s="38">
        <f t="shared" si="10"/>
        <v>0.78787878787878785</v>
      </c>
      <c r="AU41" s="38">
        <f t="shared" si="11"/>
        <v>1</v>
      </c>
      <c r="AV41" s="27">
        <f t="shared" si="12"/>
        <v>0.78787878787878785</v>
      </c>
    </row>
    <row r="42" spans="1:48" s="1" customFormat="1" ht="21" customHeight="1" x14ac:dyDescent="0.25">
      <c r="A42" s="109">
        <v>46028</v>
      </c>
      <c r="B42" s="47" t="s">
        <v>49</v>
      </c>
      <c r="C42" s="107" t="s">
        <v>21</v>
      </c>
      <c r="D42" s="47" t="s">
        <v>127</v>
      </c>
      <c r="E42" s="48">
        <v>98992</v>
      </c>
      <c r="F42" s="48" t="s">
        <v>175</v>
      </c>
      <c r="G42" s="48" t="s">
        <v>125</v>
      </c>
      <c r="H42" s="30">
        <v>16146</v>
      </c>
      <c r="I42" s="30"/>
      <c r="J42" s="30">
        <v>20</v>
      </c>
      <c r="K42" s="28">
        <f t="shared" si="1"/>
        <v>180</v>
      </c>
      <c r="L42" s="31">
        <v>0.25</v>
      </c>
      <c r="M42" s="31">
        <v>0.60416666666666663</v>
      </c>
      <c r="N42" s="32">
        <f t="shared" si="2"/>
        <v>0.35416666666666663</v>
      </c>
      <c r="O42" s="36">
        <v>510</v>
      </c>
      <c r="P42" s="36">
        <f t="shared" si="7"/>
        <v>380</v>
      </c>
      <c r="Q42" s="36">
        <f t="shared" si="8"/>
        <v>380</v>
      </c>
      <c r="R42" s="15">
        <v>0</v>
      </c>
      <c r="S42" s="20">
        <v>0</v>
      </c>
      <c r="T42" s="16">
        <v>0</v>
      </c>
      <c r="U42" s="16">
        <v>0</v>
      </c>
      <c r="V42" s="20">
        <v>0</v>
      </c>
      <c r="W42" s="20">
        <v>0</v>
      </c>
      <c r="X42" s="19">
        <v>0</v>
      </c>
      <c r="Y42" s="19">
        <v>0</v>
      </c>
      <c r="Z42" s="20">
        <v>0</v>
      </c>
      <c r="AA42" s="16">
        <v>0</v>
      </c>
      <c r="AB42" s="20">
        <v>0</v>
      </c>
      <c r="AC42" s="20">
        <v>0</v>
      </c>
      <c r="AD42" s="15">
        <f t="shared" si="3"/>
        <v>0</v>
      </c>
      <c r="AE42" s="15">
        <v>0</v>
      </c>
      <c r="AF42" s="19">
        <v>0</v>
      </c>
      <c r="AG42" s="20">
        <v>0</v>
      </c>
      <c r="AH42" s="15">
        <v>60</v>
      </c>
      <c r="AI42" s="15">
        <v>0</v>
      </c>
      <c r="AJ42" s="15">
        <v>30</v>
      </c>
      <c r="AK42" s="15">
        <v>10</v>
      </c>
      <c r="AL42" s="15">
        <v>30</v>
      </c>
      <c r="AM42" s="15">
        <f t="shared" si="4"/>
        <v>130</v>
      </c>
      <c r="AN42" s="29">
        <f t="shared" si="5"/>
        <v>1140</v>
      </c>
      <c r="AO42" s="19">
        <v>936</v>
      </c>
      <c r="AP42" s="21">
        <v>0</v>
      </c>
      <c r="AQ42" s="22">
        <v>0</v>
      </c>
      <c r="AR42" s="26">
        <f t="shared" si="6"/>
        <v>936</v>
      </c>
      <c r="AS42" s="37">
        <f t="shared" si="9"/>
        <v>1</v>
      </c>
      <c r="AT42" s="38">
        <f t="shared" si="10"/>
        <v>0.82105263157894737</v>
      </c>
      <c r="AU42" s="38">
        <f t="shared" si="11"/>
        <v>1</v>
      </c>
      <c r="AV42" s="27">
        <f t="shared" si="12"/>
        <v>0.82105263157894737</v>
      </c>
    </row>
    <row r="43" spans="1:48" s="1" customFormat="1" ht="21" customHeight="1" x14ac:dyDescent="0.25">
      <c r="A43" s="109">
        <v>46028</v>
      </c>
      <c r="B43" s="47" t="s">
        <v>49</v>
      </c>
      <c r="C43" s="107" t="s">
        <v>51</v>
      </c>
      <c r="D43" s="47" t="s">
        <v>124</v>
      </c>
      <c r="E43" s="48">
        <v>98992</v>
      </c>
      <c r="F43" s="48" t="s">
        <v>215</v>
      </c>
      <c r="G43" s="48" t="s">
        <v>125</v>
      </c>
      <c r="H43" s="30">
        <v>13105</v>
      </c>
      <c r="I43" s="30"/>
      <c r="J43" s="30">
        <v>32</v>
      </c>
      <c r="K43" s="28">
        <f t="shared" si="1"/>
        <v>112.5</v>
      </c>
      <c r="L43" s="31">
        <v>0.58333333333333337</v>
      </c>
      <c r="M43" s="31">
        <v>0.9375</v>
      </c>
      <c r="N43" s="32">
        <f t="shared" si="2"/>
        <v>0.35416666666666663</v>
      </c>
      <c r="O43" s="36">
        <v>510</v>
      </c>
      <c r="P43" s="36">
        <f t="shared" si="7"/>
        <v>440</v>
      </c>
      <c r="Q43" s="36">
        <f t="shared" si="8"/>
        <v>440</v>
      </c>
      <c r="R43" s="15">
        <v>0</v>
      </c>
      <c r="S43" s="20">
        <v>0</v>
      </c>
      <c r="T43" s="16">
        <v>0</v>
      </c>
      <c r="U43" s="16">
        <v>0</v>
      </c>
      <c r="V43" s="20">
        <v>0</v>
      </c>
      <c r="W43" s="20">
        <v>0</v>
      </c>
      <c r="X43" s="19">
        <v>0</v>
      </c>
      <c r="Y43" s="19">
        <v>0</v>
      </c>
      <c r="Z43" s="20">
        <v>0</v>
      </c>
      <c r="AA43" s="16">
        <v>0</v>
      </c>
      <c r="AB43" s="20">
        <v>0</v>
      </c>
      <c r="AC43" s="20">
        <v>0</v>
      </c>
      <c r="AD43" s="15">
        <f t="shared" si="3"/>
        <v>0</v>
      </c>
      <c r="AE43" s="15">
        <v>0</v>
      </c>
      <c r="AF43" s="19">
        <v>0</v>
      </c>
      <c r="AG43" s="20">
        <v>0</v>
      </c>
      <c r="AH43" s="15">
        <v>0</v>
      </c>
      <c r="AI43" s="15">
        <v>0</v>
      </c>
      <c r="AJ43" s="15">
        <v>30</v>
      </c>
      <c r="AK43" s="15">
        <v>10</v>
      </c>
      <c r="AL43" s="15">
        <v>30</v>
      </c>
      <c r="AM43" s="15">
        <f t="shared" si="4"/>
        <v>70</v>
      </c>
      <c r="AN43" s="29">
        <f t="shared" si="5"/>
        <v>825</v>
      </c>
      <c r="AO43" s="19">
        <v>727</v>
      </c>
      <c r="AP43" s="21">
        <v>0</v>
      </c>
      <c r="AQ43" s="22">
        <v>1</v>
      </c>
      <c r="AR43" s="26">
        <f t="shared" si="6"/>
        <v>726</v>
      </c>
      <c r="AS43" s="37">
        <f t="shared" si="9"/>
        <v>1</v>
      </c>
      <c r="AT43" s="38">
        <f t="shared" si="10"/>
        <v>0.88121212121212122</v>
      </c>
      <c r="AU43" s="38">
        <f t="shared" si="11"/>
        <v>0.99862448418156813</v>
      </c>
      <c r="AV43" s="27">
        <f t="shared" si="12"/>
        <v>0.88</v>
      </c>
    </row>
    <row r="44" spans="1:48" s="1" customFormat="1" ht="21" customHeight="1" x14ac:dyDescent="0.25">
      <c r="A44" s="109">
        <v>46028</v>
      </c>
      <c r="B44" s="47" t="s">
        <v>49</v>
      </c>
      <c r="C44" s="107" t="s">
        <v>51</v>
      </c>
      <c r="D44" s="47" t="s">
        <v>122</v>
      </c>
      <c r="E44" s="48">
        <v>98992</v>
      </c>
      <c r="F44" s="48" t="s">
        <v>169</v>
      </c>
      <c r="G44" s="48" t="s">
        <v>125</v>
      </c>
      <c r="H44" s="30">
        <v>13106</v>
      </c>
      <c r="I44" s="30"/>
      <c r="J44" s="30">
        <v>32</v>
      </c>
      <c r="K44" s="28">
        <f t="shared" si="1"/>
        <v>112.5</v>
      </c>
      <c r="L44" s="31">
        <v>0.58333333333333337</v>
      </c>
      <c r="M44" s="31">
        <v>0.9375</v>
      </c>
      <c r="N44" s="32">
        <f t="shared" si="2"/>
        <v>0.35416666666666663</v>
      </c>
      <c r="O44" s="36">
        <v>510</v>
      </c>
      <c r="P44" s="36">
        <f t="shared" si="7"/>
        <v>440</v>
      </c>
      <c r="Q44" s="36">
        <f t="shared" si="8"/>
        <v>440</v>
      </c>
      <c r="R44" s="15">
        <v>0</v>
      </c>
      <c r="S44" s="20">
        <v>0</v>
      </c>
      <c r="T44" s="16">
        <v>0</v>
      </c>
      <c r="U44" s="16">
        <v>0</v>
      </c>
      <c r="V44" s="20">
        <v>0</v>
      </c>
      <c r="W44" s="20">
        <v>0</v>
      </c>
      <c r="X44" s="19">
        <v>0</v>
      </c>
      <c r="Y44" s="19">
        <v>0</v>
      </c>
      <c r="Z44" s="20">
        <v>0</v>
      </c>
      <c r="AA44" s="16">
        <v>0</v>
      </c>
      <c r="AB44" s="20">
        <v>0</v>
      </c>
      <c r="AC44" s="20">
        <v>0</v>
      </c>
      <c r="AD44" s="15">
        <f t="shared" si="3"/>
        <v>0</v>
      </c>
      <c r="AE44" s="15">
        <v>0</v>
      </c>
      <c r="AF44" s="19">
        <v>0</v>
      </c>
      <c r="AG44" s="20">
        <v>0</v>
      </c>
      <c r="AH44" s="15">
        <v>0</v>
      </c>
      <c r="AI44" s="15">
        <v>0</v>
      </c>
      <c r="AJ44" s="15">
        <v>30</v>
      </c>
      <c r="AK44" s="15">
        <v>10</v>
      </c>
      <c r="AL44" s="15">
        <v>30</v>
      </c>
      <c r="AM44" s="15">
        <f t="shared" si="4"/>
        <v>70</v>
      </c>
      <c r="AN44" s="29">
        <f t="shared" si="5"/>
        <v>825</v>
      </c>
      <c r="AO44" s="19">
        <v>717</v>
      </c>
      <c r="AP44" s="21">
        <v>0</v>
      </c>
      <c r="AQ44" s="22">
        <v>0</v>
      </c>
      <c r="AR44" s="26">
        <f t="shared" si="6"/>
        <v>717</v>
      </c>
      <c r="AS44" s="37">
        <f t="shared" si="9"/>
        <v>1</v>
      </c>
      <c r="AT44" s="38">
        <f t="shared" si="10"/>
        <v>0.86909090909090914</v>
      </c>
      <c r="AU44" s="38">
        <f t="shared" si="11"/>
        <v>1</v>
      </c>
      <c r="AV44" s="27">
        <f t="shared" si="12"/>
        <v>0.86909090909090914</v>
      </c>
    </row>
    <row r="45" spans="1:48" s="1" customFormat="1" ht="21" customHeight="1" x14ac:dyDescent="0.25">
      <c r="A45" s="109">
        <v>46028</v>
      </c>
      <c r="B45" s="47" t="s">
        <v>49</v>
      </c>
      <c r="C45" s="107" t="s">
        <v>51</v>
      </c>
      <c r="D45" s="47" t="s">
        <v>128</v>
      </c>
      <c r="E45" s="48">
        <v>98992</v>
      </c>
      <c r="F45" s="48" t="s">
        <v>53</v>
      </c>
      <c r="G45" s="48" t="s">
        <v>125</v>
      </c>
      <c r="H45" s="30">
        <v>15168</v>
      </c>
      <c r="I45" s="30"/>
      <c r="J45" s="30">
        <v>32</v>
      </c>
      <c r="K45" s="28">
        <f t="shared" si="1"/>
        <v>112.5</v>
      </c>
      <c r="L45" s="31">
        <v>0.58333333333333337</v>
      </c>
      <c r="M45" s="31">
        <v>0.9375</v>
      </c>
      <c r="N45" s="32">
        <f t="shared" si="2"/>
        <v>0.35416666666666663</v>
      </c>
      <c r="O45" s="36">
        <v>510</v>
      </c>
      <c r="P45" s="36">
        <f t="shared" si="7"/>
        <v>440</v>
      </c>
      <c r="Q45" s="36">
        <f t="shared" si="8"/>
        <v>440</v>
      </c>
      <c r="R45" s="15">
        <v>0</v>
      </c>
      <c r="S45" s="20">
        <v>0</v>
      </c>
      <c r="T45" s="16">
        <v>0</v>
      </c>
      <c r="U45" s="16">
        <v>0</v>
      </c>
      <c r="V45" s="20">
        <v>0</v>
      </c>
      <c r="W45" s="20">
        <v>0</v>
      </c>
      <c r="X45" s="19">
        <v>0</v>
      </c>
      <c r="Y45" s="19">
        <v>0</v>
      </c>
      <c r="Z45" s="20">
        <v>0</v>
      </c>
      <c r="AA45" s="16">
        <v>0</v>
      </c>
      <c r="AB45" s="20">
        <v>0</v>
      </c>
      <c r="AC45" s="20">
        <v>0</v>
      </c>
      <c r="AD45" s="15">
        <f t="shared" si="3"/>
        <v>0</v>
      </c>
      <c r="AE45" s="15">
        <v>0</v>
      </c>
      <c r="AF45" s="19">
        <v>0</v>
      </c>
      <c r="AG45" s="20">
        <v>0</v>
      </c>
      <c r="AH45" s="15">
        <v>0</v>
      </c>
      <c r="AI45" s="15">
        <v>0</v>
      </c>
      <c r="AJ45" s="15">
        <v>30</v>
      </c>
      <c r="AK45" s="15">
        <v>10</v>
      </c>
      <c r="AL45" s="15">
        <v>30</v>
      </c>
      <c r="AM45" s="15">
        <f t="shared" si="4"/>
        <v>70</v>
      </c>
      <c r="AN45" s="29">
        <f t="shared" si="5"/>
        <v>825</v>
      </c>
      <c r="AO45" s="19">
        <v>717</v>
      </c>
      <c r="AP45" s="21">
        <v>0</v>
      </c>
      <c r="AQ45" s="22">
        <v>0</v>
      </c>
      <c r="AR45" s="26">
        <f t="shared" si="6"/>
        <v>717</v>
      </c>
      <c r="AS45" s="37">
        <f t="shared" si="9"/>
        <v>1</v>
      </c>
      <c r="AT45" s="38">
        <f t="shared" si="10"/>
        <v>0.86909090909090914</v>
      </c>
      <c r="AU45" s="38">
        <f t="shared" si="11"/>
        <v>1</v>
      </c>
      <c r="AV45" s="27">
        <f t="shared" si="12"/>
        <v>0.86909090909090914</v>
      </c>
    </row>
    <row r="46" spans="1:48" s="1" customFormat="1" ht="21" customHeight="1" x14ac:dyDescent="0.25">
      <c r="A46" s="109">
        <v>46028</v>
      </c>
      <c r="B46" s="47" t="s">
        <v>49</v>
      </c>
      <c r="C46" s="107" t="s">
        <v>51</v>
      </c>
      <c r="D46" s="47" t="s">
        <v>88</v>
      </c>
      <c r="E46" s="48">
        <v>98992</v>
      </c>
      <c r="F46" s="48" t="s">
        <v>126</v>
      </c>
      <c r="G46" s="48" t="s">
        <v>87</v>
      </c>
      <c r="H46" s="30">
        <v>15114</v>
      </c>
      <c r="I46" s="30"/>
      <c r="J46" s="30">
        <v>32</v>
      </c>
      <c r="K46" s="28">
        <f t="shared" si="1"/>
        <v>112.5</v>
      </c>
      <c r="L46" s="31">
        <v>0.58333333333333337</v>
      </c>
      <c r="M46" s="31">
        <v>0.9375</v>
      </c>
      <c r="N46" s="32">
        <f t="shared" si="2"/>
        <v>0.35416666666666663</v>
      </c>
      <c r="O46" s="36">
        <v>510</v>
      </c>
      <c r="P46" s="36">
        <f t="shared" si="7"/>
        <v>440</v>
      </c>
      <c r="Q46" s="36">
        <f t="shared" si="8"/>
        <v>440</v>
      </c>
      <c r="R46" s="15">
        <v>0</v>
      </c>
      <c r="S46" s="20">
        <v>0</v>
      </c>
      <c r="T46" s="16">
        <v>0</v>
      </c>
      <c r="U46" s="16">
        <v>0</v>
      </c>
      <c r="V46" s="20">
        <v>0</v>
      </c>
      <c r="W46" s="20">
        <v>0</v>
      </c>
      <c r="X46" s="19">
        <v>0</v>
      </c>
      <c r="Y46" s="19">
        <v>0</v>
      </c>
      <c r="Z46" s="20">
        <v>0</v>
      </c>
      <c r="AA46" s="16">
        <v>0</v>
      </c>
      <c r="AB46" s="20">
        <v>0</v>
      </c>
      <c r="AC46" s="20">
        <v>0</v>
      </c>
      <c r="AD46" s="15">
        <f t="shared" si="3"/>
        <v>0</v>
      </c>
      <c r="AE46" s="15">
        <v>0</v>
      </c>
      <c r="AF46" s="19">
        <v>0</v>
      </c>
      <c r="AG46" s="20">
        <v>0</v>
      </c>
      <c r="AH46" s="15">
        <v>0</v>
      </c>
      <c r="AI46" s="15">
        <v>0</v>
      </c>
      <c r="AJ46" s="15">
        <v>30</v>
      </c>
      <c r="AK46" s="15">
        <v>10</v>
      </c>
      <c r="AL46" s="15">
        <v>30</v>
      </c>
      <c r="AM46" s="15">
        <f t="shared" si="4"/>
        <v>70</v>
      </c>
      <c r="AN46" s="29">
        <f t="shared" si="5"/>
        <v>825</v>
      </c>
      <c r="AO46" s="19">
        <v>620</v>
      </c>
      <c r="AP46" s="21">
        <v>0</v>
      </c>
      <c r="AQ46" s="22">
        <v>0</v>
      </c>
      <c r="AR46" s="26">
        <f t="shared" si="6"/>
        <v>620</v>
      </c>
      <c r="AS46" s="37">
        <f t="shared" si="9"/>
        <v>1</v>
      </c>
      <c r="AT46" s="38">
        <f t="shared" si="10"/>
        <v>0.75151515151515147</v>
      </c>
      <c r="AU46" s="38">
        <f t="shared" si="11"/>
        <v>1</v>
      </c>
      <c r="AV46" s="27">
        <f t="shared" si="12"/>
        <v>0.75151515151515147</v>
      </c>
    </row>
    <row r="47" spans="1:48" s="1" customFormat="1" ht="21" customHeight="1" x14ac:dyDescent="0.25">
      <c r="A47" s="109">
        <v>46028</v>
      </c>
      <c r="B47" s="47" t="s">
        <v>49</v>
      </c>
      <c r="C47" s="107" t="s">
        <v>51</v>
      </c>
      <c r="D47" s="47" t="s">
        <v>89</v>
      </c>
      <c r="E47" s="48">
        <v>98992</v>
      </c>
      <c r="F47" s="48" t="s">
        <v>169</v>
      </c>
      <c r="G47" s="48" t="s">
        <v>87</v>
      </c>
      <c r="H47" s="30">
        <v>16219</v>
      </c>
      <c r="I47" s="30"/>
      <c r="J47" s="30">
        <v>32</v>
      </c>
      <c r="K47" s="28">
        <f t="shared" si="1"/>
        <v>112.5</v>
      </c>
      <c r="L47" s="31">
        <v>0.58333333333333337</v>
      </c>
      <c r="M47" s="31">
        <v>0.9375</v>
      </c>
      <c r="N47" s="32">
        <f>IF(M47&gt;L47,M47-L47,1+M47-L47)</f>
        <v>0.35416666666666663</v>
      </c>
      <c r="O47" s="36">
        <v>510</v>
      </c>
      <c r="P47" s="36">
        <f t="shared" si="7"/>
        <v>440</v>
      </c>
      <c r="Q47" s="36">
        <f t="shared" si="8"/>
        <v>440</v>
      </c>
      <c r="R47" s="15">
        <v>0</v>
      </c>
      <c r="S47" s="20">
        <v>0</v>
      </c>
      <c r="T47" s="16">
        <v>0</v>
      </c>
      <c r="U47" s="16">
        <v>0</v>
      </c>
      <c r="V47" s="20">
        <v>0</v>
      </c>
      <c r="W47" s="20">
        <v>0</v>
      </c>
      <c r="X47" s="19">
        <v>0</v>
      </c>
      <c r="Y47" s="19">
        <v>0</v>
      </c>
      <c r="Z47" s="20">
        <v>0</v>
      </c>
      <c r="AA47" s="16">
        <v>0</v>
      </c>
      <c r="AB47" s="20">
        <v>0</v>
      </c>
      <c r="AC47" s="20">
        <v>0</v>
      </c>
      <c r="AD47" s="15">
        <f t="shared" si="3"/>
        <v>0</v>
      </c>
      <c r="AE47" s="15">
        <v>0</v>
      </c>
      <c r="AF47" s="19">
        <v>0</v>
      </c>
      <c r="AG47" s="20">
        <v>0</v>
      </c>
      <c r="AH47" s="15">
        <v>0</v>
      </c>
      <c r="AI47" s="15">
        <v>0</v>
      </c>
      <c r="AJ47" s="15">
        <v>30</v>
      </c>
      <c r="AK47" s="15">
        <v>10</v>
      </c>
      <c r="AL47" s="15">
        <v>30</v>
      </c>
      <c r="AM47" s="15">
        <f t="shared" si="4"/>
        <v>70</v>
      </c>
      <c r="AN47" s="29">
        <f t="shared" si="5"/>
        <v>825</v>
      </c>
      <c r="AO47" s="19">
        <v>640</v>
      </c>
      <c r="AP47" s="21">
        <v>0</v>
      </c>
      <c r="AQ47" s="22">
        <v>1</v>
      </c>
      <c r="AR47" s="26">
        <f t="shared" si="6"/>
        <v>639</v>
      </c>
      <c r="AS47" s="37">
        <f t="shared" si="9"/>
        <v>1</v>
      </c>
      <c r="AT47" s="38">
        <f t="shared" si="10"/>
        <v>0.77575757575757576</v>
      </c>
      <c r="AU47" s="38">
        <f t="shared" si="11"/>
        <v>0.99843749999999998</v>
      </c>
      <c r="AV47" s="27">
        <f t="shared" si="12"/>
        <v>0.77454545454545454</v>
      </c>
    </row>
    <row r="48" spans="1:48" s="1" customFormat="1" ht="21" customHeight="1" x14ac:dyDescent="0.25">
      <c r="A48" s="109">
        <v>46028</v>
      </c>
      <c r="B48" s="47" t="s">
        <v>49</v>
      </c>
      <c r="C48" s="107" t="s">
        <v>51</v>
      </c>
      <c r="D48" s="47" t="s">
        <v>52</v>
      </c>
      <c r="E48" s="48">
        <v>98992</v>
      </c>
      <c r="F48" s="48" t="s">
        <v>53</v>
      </c>
      <c r="G48" s="48" t="s">
        <v>87</v>
      </c>
      <c r="H48" s="30">
        <v>15688</v>
      </c>
      <c r="I48" s="30"/>
      <c r="J48" s="30">
        <v>32</v>
      </c>
      <c r="K48" s="28">
        <f t="shared" si="1"/>
        <v>112.5</v>
      </c>
      <c r="L48" s="31">
        <v>0.58333333333333337</v>
      </c>
      <c r="M48" s="31">
        <v>0.9375</v>
      </c>
      <c r="N48" s="32">
        <f t="shared" si="2"/>
        <v>0.35416666666666663</v>
      </c>
      <c r="O48" s="36">
        <v>510</v>
      </c>
      <c r="P48" s="36">
        <f t="shared" si="7"/>
        <v>440</v>
      </c>
      <c r="Q48" s="36">
        <f t="shared" si="8"/>
        <v>440</v>
      </c>
      <c r="R48" s="15">
        <v>0</v>
      </c>
      <c r="S48" s="20">
        <v>0</v>
      </c>
      <c r="T48" s="16">
        <v>0</v>
      </c>
      <c r="U48" s="16">
        <v>0</v>
      </c>
      <c r="V48" s="20">
        <v>0</v>
      </c>
      <c r="W48" s="20">
        <v>0</v>
      </c>
      <c r="X48" s="19">
        <v>0</v>
      </c>
      <c r="Y48" s="19">
        <v>0</v>
      </c>
      <c r="Z48" s="20">
        <v>0</v>
      </c>
      <c r="AA48" s="16">
        <v>0</v>
      </c>
      <c r="AB48" s="20">
        <v>0</v>
      </c>
      <c r="AC48" s="20">
        <v>0</v>
      </c>
      <c r="AD48" s="15">
        <f t="shared" si="3"/>
        <v>0</v>
      </c>
      <c r="AE48" s="15">
        <v>0</v>
      </c>
      <c r="AF48" s="19">
        <v>0</v>
      </c>
      <c r="AG48" s="20">
        <v>0</v>
      </c>
      <c r="AH48" s="15">
        <v>0</v>
      </c>
      <c r="AI48" s="15">
        <v>0</v>
      </c>
      <c r="AJ48" s="15">
        <v>30</v>
      </c>
      <c r="AK48" s="15">
        <v>10</v>
      </c>
      <c r="AL48" s="15">
        <v>30</v>
      </c>
      <c r="AM48" s="15">
        <f t="shared" si="4"/>
        <v>70</v>
      </c>
      <c r="AN48" s="29">
        <f t="shared" si="5"/>
        <v>825</v>
      </c>
      <c r="AO48" s="19">
        <v>639</v>
      </c>
      <c r="AP48" s="21">
        <v>0</v>
      </c>
      <c r="AQ48" s="22">
        <v>0</v>
      </c>
      <c r="AR48" s="26">
        <f t="shared" si="6"/>
        <v>639</v>
      </c>
      <c r="AS48" s="37">
        <f t="shared" si="9"/>
        <v>1</v>
      </c>
      <c r="AT48" s="38">
        <f t="shared" si="10"/>
        <v>0.77454545454545454</v>
      </c>
      <c r="AU48" s="38">
        <f t="shared" si="11"/>
        <v>1</v>
      </c>
      <c r="AV48" s="27">
        <f t="shared" si="12"/>
        <v>0.77454545454545454</v>
      </c>
    </row>
    <row r="49" spans="1:48" s="1" customFormat="1" ht="21" customHeight="1" x14ac:dyDescent="0.25">
      <c r="A49" s="109">
        <v>46028</v>
      </c>
      <c r="B49" s="47" t="s">
        <v>49</v>
      </c>
      <c r="C49" s="107" t="s">
        <v>51</v>
      </c>
      <c r="D49" s="47" t="s">
        <v>86</v>
      </c>
      <c r="E49" s="48">
        <v>98992</v>
      </c>
      <c r="F49" s="48" t="s">
        <v>176</v>
      </c>
      <c r="G49" s="48" t="s">
        <v>87</v>
      </c>
      <c r="H49" s="30">
        <v>15859</v>
      </c>
      <c r="I49" s="30"/>
      <c r="J49" s="30">
        <v>20</v>
      </c>
      <c r="K49" s="28">
        <f t="shared" si="1"/>
        <v>180</v>
      </c>
      <c r="L49" s="31">
        <v>0.58333333333333337</v>
      </c>
      <c r="M49" s="31">
        <v>0.9375</v>
      </c>
      <c r="N49" s="32">
        <f t="shared" si="2"/>
        <v>0.35416666666666663</v>
      </c>
      <c r="O49" s="36">
        <v>510</v>
      </c>
      <c r="P49" s="36">
        <f t="shared" si="7"/>
        <v>120</v>
      </c>
      <c r="Q49" s="36">
        <f t="shared" si="8"/>
        <v>120</v>
      </c>
      <c r="R49" s="15">
        <v>0</v>
      </c>
      <c r="S49" s="20">
        <v>0</v>
      </c>
      <c r="T49" s="16">
        <v>0</v>
      </c>
      <c r="U49" s="16">
        <v>0</v>
      </c>
      <c r="V49" s="20">
        <v>0</v>
      </c>
      <c r="W49" s="20">
        <v>0</v>
      </c>
      <c r="X49" s="19">
        <v>0</v>
      </c>
      <c r="Y49" s="19">
        <v>0</v>
      </c>
      <c r="Z49" s="20">
        <v>0</v>
      </c>
      <c r="AA49" s="16">
        <v>0</v>
      </c>
      <c r="AB49" s="20">
        <v>0</v>
      </c>
      <c r="AC49" s="20">
        <v>0</v>
      </c>
      <c r="AD49" s="15">
        <f t="shared" si="3"/>
        <v>0</v>
      </c>
      <c r="AE49" s="15">
        <v>0</v>
      </c>
      <c r="AF49" s="19">
        <v>0</v>
      </c>
      <c r="AG49" s="20">
        <v>0</v>
      </c>
      <c r="AH49" s="15">
        <v>320</v>
      </c>
      <c r="AI49" s="15">
        <v>0</v>
      </c>
      <c r="AJ49" s="15">
        <v>30</v>
      </c>
      <c r="AK49" s="15">
        <v>10</v>
      </c>
      <c r="AL49" s="15">
        <v>30</v>
      </c>
      <c r="AM49" s="15">
        <f t="shared" si="4"/>
        <v>390</v>
      </c>
      <c r="AN49" s="29">
        <f t="shared" si="5"/>
        <v>360</v>
      </c>
      <c r="AO49" s="19">
        <v>288</v>
      </c>
      <c r="AP49" s="21">
        <v>0</v>
      </c>
      <c r="AQ49" s="22">
        <v>0</v>
      </c>
      <c r="AR49" s="26">
        <f t="shared" si="6"/>
        <v>288</v>
      </c>
      <c r="AS49" s="37">
        <f t="shared" si="9"/>
        <v>1</v>
      </c>
      <c r="AT49" s="38">
        <f t="shared" si="10"/>
        <v>0.8</v>
      </c>
      <c r="AU49" s="38">
        <f t="shared" si="11"/>
        <v>1</v>
      </c>
      <c r="AV49" s="27">
        <f t="shared" si="12"/>
        <v>0.8</v>
      </c>
    </row>
    <row r="50" spans="1:48" s="1" customFormat="1" ht="21" customHeight="1" x14ac:dyDescent="0.25">
      <c r="A50" s="109">
        <v>46028</v>
      </c>
      <c r="B50" s="47" t="s">
        <v>49</v>
      </c>
      <c r="C50" s="107" t="s">
        <v>51</v>
      </c>
      <c r="D50" s="47" t="s">
        <v>172</v>
      </c>
      <c r="E50" s="48">
        <v>98992</v>
      </c>
      <c r="F50" s="48" t="s">
        <v>175</v>
      </c>
      <c r="G50" s="48" t="s">
        <v>87</v>
      </c>
      <c r="H50" s="30">
        <v>15689</v>
      </c>
      <c r="I50" s="30"/>
      <c r="J50" s="30">
        <v>20</v>
      </c>
      <c r="K50" s="28">
        <f t="shared" si="1"/>
        <v>180</v>
      </c>
      <c r="L50" s="31">
        <v>0.58333333333333337</v>
      </c>
      <c r="M50" s="31">
        <v>0.9375</v>
      </c>
      <c r="N50" s="32">
        <f t="shared" si="2"/>
        <v>0.35416666666666663</v>
      </c>
      <c r="O50" s="36">
        <v>510</v>
      </c>
      <c r="P50" s="36">
        <f t="shared" si="7"/>
        <v>120</v>
      </c>
      <c r="Q50" s="36">
        <f t="shared" si="8"/>
        <v>120</v>
      </c>
      <c r="R50" s="15">
        <v>0</v>
      </c>
      <c r="S50" s="20">
        <v>0</v>
      </c>
      <c r="T50" s="16">
        <v>0</v>
      </c>
      <c r="U50" s="16">
        <v>0</v>
      </c>
      <c r="V50" s="20">
        <v>0</v>
      </c>
      <c r="W50" s="20">
        <v>0</v>
      </c>
      <c r="X50" s="19">
        <v>0</v>
      </c>
      <c r="Y50" s="19">
        <v>0</v>
      </c>
      <c r="Z50" s="20">
        <v>0</v>
      </c>
      <c r="AA50" s="16">
        <v>0</v>
      </c>
      <c r="AB50" s="20">
        <v>0</v>
      </c>
      <c r="AC50" s="20">
        <v>0</v>
      </c>
      <c r="AD50" s="15">
        <f t="shared" si="3"/>
        <v>0</v>
      </c>
      <c r="AE50" s="15">
        <v>0</v>
      </c>
      <c r="AF50" s="19">
        <v>0</v>
      </c>
      <c r="AG50" s="20">
        <v>0</v>
      </c>
      <c r="AH50" s="15">
        <v>320</v>
      </c>
      <c r="AI50" s="15">
        <v>0</v>
      </c>
      <c r="AJ50" s="15">
        <v>30</v>
      </c>
      <c r="AK50" s="15">
        <v>10</v>
      </c>
      <c r="AL50" s="15">
        <v>30</v>
      </c>
      <c r="AM50" s="15">
        <f t="shared" si="4"/>
        <v>390</v>
      </c>
      <c r="AN50" s="29">
        <f t="shared" si="5"/>
        <v>360</v>
      </c>
      <c r="AO50" s="19">
        <v>324</v>
      </c>
      <c r="AP50" s="21">
        <v>0</v>
      </c>
      <c r="AQ50" s="22">
        <v>0</v>
      </c>
      <c r="AR50" s="26">
        <f t="shared" si="6"/>
        <v>324</v>
      </c>
      <c r="AS50" s="37">
        <f t="shared" si="9"/>
        <v>1</v>
      </c>
      <c r="AT50" s="38">
        <f t="shared" si="10"/>
        <v>0.9</v>
      </c>
      <c r="AU50" s="38">
        <f t="shared" si="11"/>
        <v>1</v>
      </c>
      <c r="AV50" s="27">
        <f t="shared" si="12"/>
        <v>0.9</v>
      </c>
    </row>
    <row r="51" spans="1:48" s="1" customFormat="1" ht="21" customHeight="1" x14ac:dyDescent="0.25">
      <c r="A51" s="109">
        <v>46028</v>
      </c>
      <c r="B51" s="47" t="s">
        <v>49</v>
      </c>
      <c r="C51" s="107" t="s">
        <v>51</v>
      </c>
      <c r="D51" s="47" t="s">
        <v>94</v>
      </c>
      <c r="E51" s="48">
        <v>98992</v>
      </c>
      <c r="F51" s="48" t="s">
        <v>67</v>
      </c>
      <c r="G51" s="48" t="s">
        <v>174</v>
      </c>
      <c r="H51" s="30">
        <v>12019</v>
      </c>
      <c r="I51" s="30"/>
      <c r="J51" s="30">
        <v>24</v>
      </c>
      <c r="K51" s="28">
        <f t="shared" si="1"/>
        <v>150</v>
      </c>
      <c r="L51" s="31">
        <v>0.58333333333333337</v>
      </c>
      <c r="M51" s="31">
        <v>0.9375</v>
      </c>
      <c r="N51" s="32">
        <f t="shared" si="2"/>
        <v>0.35416666666666663</v>
      </c>
      <c r="O51" s="36">
        <v>510</v>
      </c>
      <c r="P51" s="36">
        <f t="shared" si="7"/>
        <v>440</v>
      </c>
      <c r="Q51" s="36">
        <f t="shared" si="8"/>
        <v>440</v>
      </c>
      <c r="R51" s="15">
        <v>0</v>
      </c>
      <c r="S51" s="20">
        <v>0</v>
      </c>
      <c r="T51" s="16">
        <v>0</v>
      </c>
      <c r="U51" s="16">
        <v>0</v>
      </c>
      <c r="V51" s="20">
        <v>0</v>
      </c>
      <c r="W51" s="20">
        <v>0</v>
      </c>
      <c r="X51" s="19">
        <v>0</v>
      </c>
      <c r="Y51" s="19">
        <v>0</v>
      </c>
      <c r="Z51" s="20">
        <v>0</v>
      </c>
      <c r="AA51" s="16">
        <v>0</v>
      </c>
      <c r="AB51" s="20">
        <v>0</v>
      </c>
      <c r="AC51" s="20">
        <v>0</v>
      </c>
      <c r="AD51" s="15">
        <f t="shared" si="3"/>
        <v>0</v>
      </c>
      <c r="AE51" s="15">
        <v>0</v>
      </c>
      <c r="AF51" s="19">
        <v>0</v>
      </c>
      <c r="AG51" s="20">
        <v>0</v>
      </c>
      <c r="AH51" s="15">
        <v>0</v>
      </c>
      <c r="AI51" s="15">
        <v>0</v>
      </c>
      <c r="AJ51" s="15">
        <v>30</v>
      </c>
      <c r="AK51" s="15">
        <v>10</v>
      </c>
      <c r="AL51" s="15">
        <v>30</v>
      </c>
      <c r="AM51" s="15">
        <f t="shared" si="4"/>
        <v>70</v>
      </c>
      <c r="AN51" s="29">
        <f t="shared" si="5"/>
        <v>1100</v>
      </c>
      <c r="AO51" s="19">
        <v>962</v>
      </c>
      <c r="AP51" s="21">
        <v>0</v>
      </c>
      <c r="AQ51" s="22">
        <v>0</v>
      </c>
      <c r="AR51" s="26">
        <f t="shared" si="6"/>
        <v>962</v>
      </c>
      <c r="AS51" s="37">
        <f t="shared" si="9"/>
        <v>1</v>
      </c>
      <c r="AT51" s="38">
        <f t="shared" si="10"/>
        <v>0.87454545454545451</v>
      </c>
      <c r="AU51" s="38">
        <f t="shared" si="11"/>
        <v>1</v>
      </c>
      <c r="AV51" s="27">
        <f t="shared" si="12"/>
        <v>0.87454545454545451</v>
      </c>
    </row>
    <row r="52" spans="1:48" s="1" customFormat="1" ht="21" customHeight="1" x14ac:dyDescent="0.25">
      <c r="A52" s="109">
        <v>46028</v>
      </c>
      <c r="B52" s="47" t="s">
        <v>49</v>
      </c>
      <c r="C52" s="107" t="s">
        <v>51</v>
      </c>
      <c r="D52" s="47" t="s">
        <v>127</v>
      </c>
      <c r="E52" s="48">
        <v>98992</v>
      </c>
      <c r="F52" s="48" t="s">
        <v>175</v>
      </c>
      <c r="G52" s="48" t="s">
        <v>125</v>
      </c>
      <c r="H52" s="30">
        <v>15689</v>
      </c>
      <c r="I52" s="30"/>
      <c r="J52" s="30">
        <v>20</v>
      </c>
      <c r="K52" s="28">
        <f t="shared" si="1"/>
        <v>180</v>
      </c>
      <c r="L52" s="31">
        <v>0.58333333333333337</v>
      </c>
      <c r="M52" s="31">
        <v>0.9375</v>
      </c>
      <c r="N52" s="32">
        <f t="shared" si="2"/>
        <v>0.35416666666666663</v>
      </c>
      <c r="O52" s="36">
        <v>510</v>
      </c>
      <c r="P52" s="36">
        <f t="shared" si="7"/>
        <v>70</v>
      </c>
      <c r="Q52" s="36">
        <f t="shared" si="8"/>
        <v>70</v>
      </c>
      <c r="R52" s="15">
        <v>0</v>
      </c>
      <c r="S52" s="20">
        <v>0</v>
      </c>
      <c r="T52" s="16">
        <v>0</v>
      </c>
      <c r="U52" s="16">
        <v>0</v>
      </c>
      <c r="V52" s="20">
        <v>0</v>
      </c>
      <c r="W52" s="20">
        <v>0</v>
      </c>
      <c r="X52" s="19">
        <v>0</v>
      </c>
      <c r="Y52" s="19">
        <v>0</v>
      </c>
      <c r="Z52" s="20">
        <v>0</v>
      </c>
      <c r="AA52" s="16">
        <v>0</v>
      </c>
      <c r="AB52" s="20">
        <v>0</v>
      </c>
      <c r="AC52" s="20">
        <v>0</v>
      </c>
      <c r="AD52" s="15">
        <f t="shared" si="3"/>
        <v>0</v>
      </c>
      <c r="AE52" s="15">
        <v>0</v>
      </c>
      <c r="AF52" s="19">
        <v>0</v>
      </c>
      <c r="AG52" s="20">
        <v>0</v>
      </c>
      <c r="AH52" s="15">
        <v>370</v>
      </c>
      <c r="AI52" s="15">
        <v>0</v>
      </c>
      <c r="AJ52" s="15">
        <v>30</v>
      </c>
      <c r="AK52" s="15">
        <v>10</v>
      </c>
      <c r="AL52" s="15">
        <v>30</v>
      </c>
      <c r="AM52" s="15">
        <f t="shared" si="4"/>
        <v>440</v>
      </c>
      <c r="AN52" s="29">
        <f t="shared" si="5"/>
        <v>210</v>
      </c>
      <c r="AO52" s="19">
        <v>160</v>
      </c>
      <c r="AP52" s="21">
        <v>0</v>
      </c>
      <c r="AQ52" s="22">
        <v>0</v>
      </c>
      <c r="AR52" s="26">
        <f t="shared" si="6"/>
        <v>160</v>
      </c>
      <c r="AS52" s="37">
        <f t="shared" si="9"/>
        <v>1</v>
      </c>
      <c r="AT52" s="38">
        <f t="shared" si="10"/>
        <v>0.76190476190476186</v>
      </c>
      <c r="AU52" s="38">
        <f t="shared" si="11"/>
        <v>1</v>
      </c>
      <c r="AV52" s="27">
        <f t="shared" si="12"/>
        <v>0.76190476190476186</v>
      </c>
    </row>
    <row r="53" spans="1:48" s="1" customFormat="1" ht="21" customHeight="1" x14ac:dyDescent="0.25">
      <c r="A53" s="109">
        <v>46029</v>
      </c>
      <c r="B53" s="47" t="s">
        <v>49</v>
      </c>
      <c r="C53" s="107" t="s">
        <v>21</v>
      </c>
      <c r="D53" s="47" t="s">
        <v>94</v>
      </c>
      <c r="E53" s="48">
        <v>98992</v>
      </c>
      <c r="F53" s="48" t="s">
        <v>67</v>
      </c>
      <c r="G53" s="48" t="s">
        <v>174</v>
      </c>
      <c r="H53" s="30">
        <v>14033</v>
      </c>
      <c r="I53" s="30"/>
      <c r="J53" s="30">
        <v>24</v>
      </c>
      <c r="K53" s="28">
        <f t="shared" si="1"/>
        <v>150</v>
      </c>
      <c r="L53" s="31">
        <v>0.25</v>
      </c>
      <c r="M53" s="31">
        <v>0.60416666666666663</v>
      </c>
      <c r="N53" s="32">
        <f t="shared" si="2"/>
        <v>0.35416666666666663</v>
      </c>
      <c r="O53" s="36">
        <v>510</v>
      </c>
      <c r="P53" s="36">
        <f t="shared" si="7"/>
        <v>440</v>
      </c>
      <c r="Q53" s="36">
        <f t="shared" si="8"/>
        <v>440</v>
      </c>
      <c r="R53" s="15">
        <v>0</v>
      </c>
      <c r="S53" s="20">
        <v>0</v>
      </c>
      <c r="T53" s="16">
        <v>0</v>
      </c>
      <c r="U53" s="16">
        <v>0</v>
      </c>
      <c r="V53" s="20">
        <v>0</v>
      </c>
      <c r="W53" s="20">
        <v>0</v>
      </c>
      <c r="X53" s="19">
        <v>0</v>
      </c>
      <c r="Y53" s="19">
        <v>0</v>
      </c>
      <c r="Z53" s="20">
        <v>0</v>
      </c>
      <c r="AA53" s="16">
        <v>0</v>
      </c>
      <c r="AB53" s="20">
        <v>0</v>
      </c>
      <c r="AC53" s="20">
        <v>0</v>
      </c>
      <c r="AD53" s="15">
        <f t="shared" si="3"/>
        <v>0</v>
      </c>
      <c r="AE53" s="15">
        <v>0</v>
      </c>
      <c r="AF53" s="19">
        <v>0</v>
      </c>
      <c r="AG53" s="20">
        <v>0</v>
      </c>
      <c r="AH53" s="15">
        <v>0</v>
      </c>
      <c r="AI53" s="15">
        <v>0</v>
      </c>
      <c r="AJ53" s="15">
        <v>30</v>
      </c>
      <c r="AK53" s="15">
        <v>10</v>
      </c>
      <c r="AL53" s="15">
        <v>30</v>
      </c>
      <c r="AM53" s="15">
        <f t="shared" si="4"/>
        <v>70</v>
      </c>
      <c r="AN53" s="29">
        <f t="shared" si="5"/>
        <v>1100</v>
      </c>
      <c r="AO53" s="19">
        <v>852</v>
      </c>
      <c r="AP53" s="21">
        <v>0</v>
      </c>
      <c r="AQ53" s="22">
        <v>0</v>
      </c>
      <c r="AR53" s="26">
        <f t="shared" si="6"/>
        <v>852</v>
      </c>
      <c r="AS53" s="37">
        <f t="shared" si="9"/>
        <v>1</v>
      </c>
      <c r="AT53" s="38">
        <f t="shared" si="10"/>
        <v>0.77454545454545454</v>
      </c>
      <c r="AU53" s="38">
        <f t="shared" si="11"/>
        <v>1</v>
      </c>
      <c r="AV53" s="27">
        <f t="shared" si="12"/>
        <v>0.77454545454545454</v>
      </c>
    </row>
    <row r="54" spans="1:48" s="1" customFormat="1" ht="21" customHeight="1" x14ac:dyDescent="0.25">
      <c r="A54" s="109">
        <v>46029</v>
      </c>
      <c r="B54" s="47" t="s">
        <v>49</v>
      </c>
      <c r="C54" s="107" t="s">
        <v>21</v>
      </c>
      <c r="D54" s="47" t="s">
        <v>88</v>
      </c>
      <c r="E54" s="48">
        <v>98992</v>
      </c>
      <c r="F54" s="48" t="s">
        <v>126</v>
      </c>
      <c r="G54" s="48" t="s">
        <v>87</v>
      </c>
      <c r="H54" s="30">
        <v>11682</v>
      </c>
      <c r="I54" s="30"/>
      <c r="J54" s="30">
        <v>32</v>
      </c>
      <c r="K54" s="28">
        <f t="shared" si="1"/>
        <v>112.5</v>
      </c>
      <c r="L54" s="31">
        <v>0.25</v>
      </c>
      <c r="M54" s="31">
        <v>0.60416666666666663</v>
      </c>
      <c r="N54" s="32">
        <f t="shared" si="2"/>
        <v>0.35416666666666663</v>
      </c>
      <c r="O54" s="36">
        <v>510</v>
      </c>
      <c r="P54" s="36">
        <f t="shared" si="7"/>
        <v>440</v>
      </c>
      <c r="Q54" s="36">
        <f t="shared" si="8"/>
        <v>440</v>
      </c>
      <c r="R54" s="15">
        <v>0</v>
      </c>
      <c r="S54" s="20">
        <v>0</v>
      </c>
      <c r="T54" s="16">
        <v>0</v>
      </c>
      <c r="U54" s="16">
        <v>0</v>
      </c>
      <c r="V54" s="20">
        <v>0</v>
      </c>
      <c r="W54" s="20">
        <v>0</v>
      </c>
      <c r="X54" s="19">
        <v>0</v>
      </c>
      <c r="Y54" s="19">
        <v>0</v>
      </c>
      <c r="Z54" s="20">
        <v>0</v>
      </c>
      <c r="AA54" s="16">
        <v>0</v>
      </c>
      <c r="AB54" s="20">
        <v>0</v>
      </c>
      <c r="AC54" s="20">
        <v>0</v>
      </c>
      <c r="AD54" s="15">
        <f t="shared" si="3"/>
        <v>0</v>
      </c>
      <c r="AE54" s="15">
        <v>0</v>
      </c>
      <c r="AF54" s="19">
        <v>0</v>
      </c>
      <c r="AG54" s="20">
        <v>0</v>
      </c>
      <c r="AH54" s="15">
        <v>0</v>
      </c>
      <c r="AI54" s="15">
        <v>0</v>
      </c>
      <c r="AJ54" s="15">
        <v>30</v>
      </c>
      <c r="AK54" s="15">
        <v>10</v>
      </c>
      <c r="AL54" s="15">
        <v>30</v>
      </c>
      <c r="AM54" s="15">
        <f t="shared" si="4"/>
        <v>70</v>
      </c>
      <c r="AN54" s="29">
        <f t="shared" si="5"/>
        <v>825</v>
      </c>
      <c r="AO54" s="19">
        <v>740</v>
      </c>
      <c r="AP54" s="21">
        <v>0</v>
      </c>
      <c r="AQ54" s="22">
        <v>2</v>
      </c>
      <c r="AR54" s="26">
        <f t="shared" si="6"/>
        <v>738</v>
      </c>
      <c r="AS54" s="37">
        <f t="shared" si="9"/>
        <v>1</v>
      </c>
      <c r="AT54" s="38">
        <f t="shared" si="10"/>
        <v>0.89696969696969697</v>
      </c>
      <c r="AU54" s="38">
        <f t="shared" si="11"/>
        <v>0.99729729729729732</v>
      </c>
      <c r="AV54" s="27">
        <f t="shared" si="12"/>
        <v>0.89454545454545453</v>
      </c>
    </row>
    <row r="55" spans="1:48" s="1" customFormat="1" ht="21" customHeight="1" x14ac:dyDescent="0.25">
      <c r="A55" s="109">
        <v>46029</v>
      </c>
      <c r="B55" s="47" t="s">
        <v>49</v>
      </c>
      <c r="C55" s="107" t="s">
        <v>21</v>
      </c>
      <c r="D55" s="47" t="s">
        <v>89</v>
      </c>
      <c r="E55" s="48">
        <v>98992</v>
      </c>
      <c r="F55" s="48" t="s">
        <v>169</v>
      </c>
      <c r="G55" s="48" t="s">
        <v>87</v>
      </c>
      <c r="H55" s="30">
        <v>15727</v>
      </c>
      <c r="I55" s="30"/>
      <c r="J55" s="30">
        <v>32</v>
      </c>
      <c r="K55" s="28">
        <f t="shared" si="1"/>
        <v>112.5</v>
      </c>
      <c r="L55" s="31">
        <v>0.25</v>
      </c>
      <c r="M55" s="31">
        <v>0.60416666666666663</v>
      </c>
      <c r="N55" s="32">
        <f t="shared" si="2"/>
        <v>0.35416666666666663</v>
      </c>
      <c r="O55" s="36">
        <v>510</v>
      </c>
      <c r="P55" s="36">
        <f t="shared" si="7"/>
        <v>440</v>
      </c>
      <c r="Q55" s="36">
        <f t="shared" si="8"/>
        <v>440</v>
      </c>
      <c r="R55" s="15">
        <v>0</v>
      </c>
      <c r="S55" s="20">
        <v>0</v>
      </c>
      <c r="T55" s="16">
        <v>0</v>
      </c>
      <c r="U55" s="16">
        <v>0</v>
      </c>
      <c r="V55" s="20">
        <v>0</v>
      </c>
      <c r="W55" s="20">
        <v>0</v>
      </c>
      <c r="X55" s="19">
        <v>0</v>
      </c>
      <c r="Y55" s="19">
        <v>0</v>
      </c>
      <c r="Z55" s="20">
        <v>0</v>
      </c>
      <c r="AA55" s="16">
        <v>0</v>
      </c>
      <c r="AB55" s="20">
        <v>0</v>
      </c>
      <c r="AC55" s="20">
        <v>0</v>
      </c>
      <c r="AD55" s="15">
        <f t="shared" si="3"/>
        <v>0</v>
      </c>
      <c r="AE55" s="15">
        <v>0</v>
      </c>
      <c r="AF55" s="19">
        <v>0</v>
      </c>
      <c r="AG55" s="20">
        <v>0</v>
      </c>
      <c r="AH55" s="15">
        <v>0</v>
      </c>
      <c r="AI55" s="15">
        <v>0</v>
      </c>
      <c r="AJ55" s="15">
        <v>30</v>
      </c>
      <c r="AK55" s="15">
        <v>10</v>
      </c>
      <c r="AL55" s="15">
        <v>30</v>
      </c>
      <c r="AM55" s="15">
        <f t="shared" si="4"/>
        <v>70</v>
      </c>
      <c r="AN55" s="29">
        <f t="shared" si="5"/>
        <v>825</v>
      </c>
      <c r="AO55" s="19">
        <v>652</v>
      </c>
      <c r="AP55" s="21">
        <v>0</v>
      </c>
      <c r="AQ55" s="22">
        <v>0</v>
      </c>
      <c r="AR55" s="26">
        <f t="shared" si="6"/>
        <v>652</v>
      </c>
      <c r="AS55" s="37">
        <f t="shared" si="9"/>
        <v>1</v>
      </c>
      <c r="AT55" s="38">
        <f t="shared" si="10"/>
        <v>0.79030303030303028</v>
      </c>
      <c r="AU55" s="38">
        <f t="shared" si="11"/>
        <v>1</v>
      </c>
      <c r="AV55" s="27">
        <f t="shared" si="12"/>
        <v>0.79030303030303028</v>
      </c>
    </row>
    <row r="56" spans="1:48" s="1" customFormat="1" ht="21" customHeight="1" x14ac:dyDescent="0.25">
      <c r="A56" s="109">
        <v>46029</v>
      </c>
      <c r="B56" s="47" t="s">
        <v>49</v>
      </c>
      <c r="C56" s="107" t="s">
        <v>21</v>
      </c>
      <c r="D56" s="47" t="s">
        <v>52</v>
      </c>
      <c r="E56" s="48">
        <v>98992</v>
      </c>
      <c r="F56" s="48" t="s">
        <v>53</v>
      </c>
      <c r="G56" s="48" t="s">
        <v>87</v>
      </c>
      <c r="H56" s="30">
        <v>15632</v>
      </c>
      <c r="I56" s="30"/>
      <c r="J56" s="30">
        <v>32</v>
      </c>
      <c r="K56" s="28">
        <f t="shared" si="1"/>
        <v>112.5</v>
      </c>
      <c r="L56" s="31">
        <v>0.25</v>
      </c>
      <c r="M56" s="31">
        <v>0.60416666666666663</v>
      </c>
      <c r="N56" s="32">
        <f t="shared" si="2"/>
        <v>0.35416666666666663</v>
      </c>
      <c r="O56" s="36">
        <v>510</v>
      </c>
      <c r="P56" s="36">
        <f t="shared" si="7"/>
        <v>320</v>
      </c>
      <c r="Q56" s="36">
        <f t="shared" si="8"/>
        <v>320</v>
      </c>
      <c r="R56" s="15">
        <v>0</v>
      </c>
      <c r="S56" s="20">
        <v>0</v>
      </c>
      <c r="T56" s="16">
        <v>0</v>
      </c>
      <c r="U56" s="16">
        <v>0</v>
      </c>
      <c r="V56" s="20">
        <v>0</v>
      </c>
      <c r="W56" s="20">
        <v>0</v>
      </c>
      <c r="X56" s="19">
        <v>0</v>
      </c>
      <c r="Y56" s="19">
        <v>0</v>
      </c>
      <c r="Z56" s="20">
        <v>0</v>
      </c>
      <c r="AA56" s="16">
        <v>0</v>
      </c>
      <c r="AB56" s="20">
        <v>0</v>
      </c>
      <c r="AC56" s="20">
        <v>0</v>
      </c>
      <c r="AD56" s="15">
        <f t="shared" si="3"/>
        <v>0</v>
      </c>
      <c r="AE56" s="15">
        <v>0</v>
      </c>
      <c r="AF56" s="19">
        <v>0</v>
      </c>
      <c r="AG56" s="20">
        <v>0</v>
      </c>
      <c r="AH56" s="15">
        <v>120</v>
      </c>
      <c r="AI56" s="15">
        <v>0</v>
      </c>
      <c r="AJ56" s="15">
        <v>30</v>
      </c>
      <c r="AK56" s="15">
        <v>10</v>
      </c>
      <c r="AL56" s="15">
        <v>30</v>
      </c>
      <c r="AM56" s="15">
        <f t="shared" si="4"/>
        <v>190</v>
      </c>
      <c r="AN56" s="29">
        <f t="shared" si="5"/>
        <v>600</v>
      </c>
      <c r="AO56" s="19">
        <v>497</v>
      </c>
      <c r="AP56" s="21">
        <v>0</v>
      </c>
      <c r="AQ56" s="22">
        <v>0</v>
      </c>
      <c r="AR56" s="26">
        <f t="shared" si="6"/>
        <v>497</v>
      </c>
      <c r="AS56" s="37">
        <f t="shared" si="9"/>
        <v>1</v>
      </c>
      <c r="AT56" s="38">
        <f t="shared" si="10"/>
        <v>0.82833333333333337</v>
      </c>
      <c r="AU56" s="38">
        <f t="shared" si="11"/>
        <v>1</v>
      </c>
      <c r="AV56" s="27">
        <f t="shared" si="12"/>
        <v>0.82833333333333337</v>
      </c>
    </row>
    <row r="57" spans="1:48" s="1" customFormat="1" ht="21" customHeight="1" x14ac:dyDescent="0.25">
      <c r="A57" s="109">
        <v>46029</v>
      </c>
      <c r="B57" s="47" t="s">
        <v>49</v>
      </c>
      <c r="C57" s="107" t="s">
        <v>21</v>
      </c>
      <c r="D57" s="47" t="s">
        <v>86</v>
      </c>
      <c r="E57" s="48">
        <v>98992</v>
      </c>
      <c r="F57" s="48" t="s">
        <v>176</v>
      </c>
      <c r="G57" s="48" t="s">
        <v>87</v>
      </c>
      <c r="H57" s="30">
        <v>15773</v>
      </c>
      <c r="I57" s="30"/>
      <c r="J57" s="30">
        <v>20</v>
      </c>
      <c r="K57" s="28">
        <f t="shared" si="1"/>
        <v>180</v>
      </c>
      <c r="L57" s="31">
        <v>0.25</v>
      </c>
      <c r="M57" s="31">
        <v>0.60416666666666663</v>
      </c>
      <c r="N57" s="32">
        <f>IF(M57&gt;L57,M57-L57,1+M57-L57)</f>
        <v>0.35416666666666663</v>
      </c>
      <c r="O57" s="36">
        <v>510</v>
      </c>
      <c r="P57" s="36">
        <f t="shared" si="7"/>
        <v>380</v>
      </c>
      <c r="Q57" s="36">
        <f t="shared" si="8"/>
        <v>380</v>
      </c>
      <c r="R57" s="15">
        <v>0</v>
      </c>
      <c r="S57" s="20">
        <v>0</v>
      </c>
      <c r="T57" s="16">
        <v>0</v>
      </c>
      <c r="U57" s="16">
        <v>0</v>
      </c>
      <c r="V57" s="20">
        <v>0</v>
      </c>
      <c r="W57" s="20">
        <v>0</v>
      </c>
      <c r="X57" s="19">
        <v>0</v>
      </c>
      <c r="Y57" s="19">
        <v>0</v>
      </c>
      <c r="Z57" s="20">
        <v>0</v>
      </c>
      <c r="AA57" s="16">
        <v>0</v>
      </c>
      <c r="AB57" s="20">
        <v>0</v>
      </c>
      <c r="AC57" s="20">
        <v>0</v>
      </c>
      <c r="AD57" s="15">
        <f t="shared" si="3"/>
        <v>0</v>
      </c>
      <c r="AE57" s="15">
        <v>0</v>
      </c>
      <c r="AF57" s="19">
        <v>0</v>
      </c>
      <c r="AG57" s="20">
        <v>0</v>
      </c>
      <c r="AH57" s="15">
        <v>60</v>
      </c>
      <c r="AI57" s="15">
        <v>0</v>
      </c>
      <c r="AJ57" s="15">
        <v>30</v>
      </c>
      <c r="AK57" s="15">
        <v>10</v>
      </c>
      <c r="AL57" s="15">
        <v>30</v>
      </c>
      <c r="AM57" s="15">
        <f t="shared" si="4"/>
        <v>130</v>
      </c>
      <c r="AN57" s="29">
        <f t="shared" si="5"/>
        <v>1140</v>
      </c>
      <c r="AO57" s="19">
        <v>900</v>
      </c>
      <c r="AP57" s="21">
        <v>0</v>
      </c>
      <c r="AQ57" s="22">
        <v>0</v>
      </c>
      <c r="AR57" s="26">
        <f t="shared" si="6"/>
        <v>900</v>
      </c>
      <c r="AS57" s="37">
        <f t="shared" si="9"/>
        <v>1</v>
      </c>
      <c r="AT57" s="38">
        <f t="shared" si="10"/>
        <v>0.78947368421052633</v>
      </c>
      <c r="AU57" s="38">
        <f t="shared" si="11"/>
        <v>1</v>
      </c>
      <c r="AV57" s="27">
        <f t="shared" si="12"/>
        <v>0.78947368421052633</v>
      </c>
    </row>
    <row r="58" spans="1:48" s="1" customFormat="1" ht="21" customHeight="1" x14ac:dyDescent="0.25">
      <c r="A58" s="109">
        <v>46029</v>
      </c>
      <c r="B58" s="47" t="s">
        <v>49</v>
      </c>
      <c r="C58" s="107" t="s">
        <v>21</v>
      </c>
      <c r="D58" s="47" t="s">
        <v>172</v>
      </c>
      <c r="E58" s="48">
        <v>98992</v>
      </c>
      <c r="F58" s="48" t="s">
        <v>175</v>
      </c>
      <c r="G58" s="48" t="s">
        <v>87</v>
      </c>
      <c r="H58" s="30">
        <v>15857</v>
      </c>
      <c r="I58" s="30"/>
      <c r="J58" s="30">
        <v>20</v>
      </c>
      <c r="K58" s="28">
        <f t="shared" si="1"/>
        <v>180</v>
      </c>
      <c r="L58" s="31">
        <v>0.25</v>
      </c>
      <c r="M58" s="31">
        <v>0.60416666666666663</v>
      </c>
      <c r="N58" s="32">
        <f t="shared" ref="N58:N71" si="13">IF(M58&gt;L58,M58-L58,1+M58-L58)</f>
        <v>0.35416666666666663</v>
      </c>
      <c r="O58" s="36">
        <v>510</v>
      </c>
      <c r="P58" s="36">
        <f t="shared" si="7"/>
        <v>260</v>
      </c>
      <c r="Q58" s="36">
        <f t="shared" si="8"/>
        <v>260</v>
      </c>
      <c r="R58" s="15">
        <v>0</v>
      </c>
      <c r="S58" s="20">
        <v>0</v>
      </c>
      <c r="T58" s="16">
        <v>0</v>
      </c>
      <c r="U58" s="16">
        <v>0</v>
      </c>
      <c r="V58" s="20">
        <v>0</v>
      </c>
      <c r="W58" s="20">
        <v>0</v>
      </c>
      <c r="X58" s="19">
        <v>0</v>
      </c>
      <c r="Y58" s="19">
        <v>0</v>
      </c>
      <c r="Z58" s="20">
        <v>0</v>
      </c>
      <c r="AA58" s="16">
        <v>0</v>
      </c>
      <c r="AB58" s="20">
        <v>0</v>
      </c>
      <c r="AC58" s="20">
        <v>0</v>
      </c>
      <c r="AD58" s="15">
        <f t="shared" si="3"/>
        <v>0</v>
      </c>
      <c r="AE58" s="15">
        <v>0</v>
      </c>
      <c r="AF58" s="19">
        <v>0</v>
      </c>
      <c r="AG58" s="20">
        <v>0</v>
      </c>
      <c r="AH58" s="15">
        <v>180</v>
      </c>
      <c r="AI58" s="15">
        <v>0</v>
      </c>
      <c r="AJ58" s="15">
        <v>30</v>
      </c>
      <c r="AK58" s="15">
        <v>10</v>
      </c>
      <c r="AL58" s="15">
        <v>30</v>
      </c>
      <c r="AM58" s="15">
        <f t="shared" si="4"/>
        <v>250</v>
      </c>
      <c r="AN58" s="29">
        <f t="shared" si="5"/>
        <v>780</v>
      </c>
      <c r="AO58" s="19">
        <v>720</v>
      </c>
      <c r="AP58" s="21">
        <v>0</v>
      </c>
      <c r="AQ58" s="22">
        <v>0</v>
      </c>
      <c r="AR58" s="26">
        <f t="shared" si="6"/>
        <v>720</v>
      </c>
      <c r="AS58" s="37">
        <f t="shared" si="9"/>
        <v>1</v>
      </c>
      <c r="AT58" s="38">
        <f t="shared" si="10"/>
        <v>0.92307692307692313</v>
      </c>
      <c r="AU58" s="38">
        <f t="shared" si="11"/>
        <v>1</v>
      </c>
      <c r="AV58" s="27">
        <f t="shared" si="12"/>
        <v>0.92307692307692313</v>
      </c>
    </row>
    <row r="59" spans="1:48" s="1" customFormat="1" ht="21" customHeight="1" x14ac:dyDescent="0.25">
      <c r="A59" s="109">
        <v>46029</v>
      </c>
      <c r="B59" s="47" t="s">
        <v>49</v>
      </c>
      <c r="C59" s="107" t="s">
        <v>21</v>
      </c>
      <c r="D59" s="47" t="s">
        <v>124</v>
      </c>
      <c r="E59" s="48">
        <v>98992</v>
      </c>
      <c r="F59" s="48" t="s">
        <v>215</v>
      </c>
      <c r="G59" s="48" t="s">
        <v>125</v>
      </c>
      <c r="H59" s="30">
        <v>14972</v>
      </c>
      <c r="I59" s="30"/>
      <c r="J59" s="30">
        <v>32</v>
      </c>
      <c r="K59" s="28">
        <f t="shared" si="1"/>
        <v>112.5</v>
      </c>
      <c r="L59" s="31">
        <v>0.25</v>
      </c>
      <c r="M59" s="31">
        <v>0.60416666666666663</v>
      </c>
      <c r="N59" s="32">
        <f t="shared" si="13"/>
        <v>0.35416666666666663</v>
      </c>
      <c r="O59" s="36">
        <v>510</v>
      </c>
      <c r="P59" s="36">
        <f t="shared" si="7"/>
        <v>440</v>
      </c>
      <c r="Q59" s="36">
        <f t="shared" si="8"/>
        <v>440</v>
      </c>
      <c r="R59" s="15">
        <v>0</v>
      </c>
      <c r="S59" s="20">
        <v>0</v>
      </c>
      <c r="T59" s="16">
        <v>0</v>
      </c>
      <c r="U59" s="16">
        <v>0</v>
      </c>
      <c r="V59" s="20">
        <v>0</v>
      </c>
      <c r="W59" s="20">
        <v>0</v>
      </c>
      <c r="X59" s="19">
        <v>0</v>
      </c>
      <c r="Y59" s="19">
        <v>0</v>
      </c>
      <c r="Z59" s="20">
        <v>0</v>
      </c>
      <c r="AA59" s="16">
        <v>0</v>
      </c>
      <c r="AB59" s="20">
        <v>0</v>
      </c>
      <c r="AC59" s="20">
        <v>0</v>
      </c>
      <c r="AD59" s="15">
        <f t="shared" si="3"/>
        <v>0</v>
      </c>
      <c r="AE59" s="15">
        <v>0</v>
      </c>
      <c r="AF59" s="19">
        <v>0</v>
      </c>
      <c r="AG59" s="20">
        <v>0</v>
      </c>
      <c r="AH59" s="15">
        <v>0</v>
      </c>
      <c r="AI59" s="15">
        <v>0</v>
      </c>
      <c r="AJ59" s="15">
        <v>30</v>
      </c>
      <c r="AK59" s="15">
        <v>10</v>
      </c>
      <c r="AL59" s="15">
        <v>30</v>
      </c>
      <c r="AM59" s="15">
        <f t="shared" si="4"/>
        <v>70</v>
      </c>
      <c r="AN59" s="29">
        <f t="shared" si="5"/>
        <v>825</v>
      </c>
      <c r="AO59" s="19">
        <v>801</v>
      </c>
      <c r="AP59" s="21">
        <v>0</v>
      </c>
      <c r="AQ59" s="22">
        <v>0</v>
      </c>
      <c r="AR59" s="26">
        <f t="shared" si="6"/>
        <v>801</v>
      </c>
      <c r="AS59" s="37">
        <f t="shared" si="9"/>
        <v>1</v>
      </c>
      <c r="AT59" s="38">
        <f t="shared" si="10"/>
        <v>0.97090909090909094</v>
      </c>
      <c r="AU59" s="38">
        <f t="shared" si="11"/>
        <v>1</v>
      </c>
      <c r="AV59" s="27">
        <f t="shared" si="12"/>
        <v>0.97090909090909094</v>
      </c>
    </row>
    <row r="60" spans="1:48" s="1" customFormat="1" ht="21" customHeight="1" x14ac:dyDescent="0.25">
      <c r="A60" s="109">
        <v>46029</v>
      </c>
      <c r="B60" s="47" t="s">
        <v>49</v>
      </c>
      <c r="C60" s="107" t="s">
        <v>21</v>
      </c>
      <c r="D60" s="47" t="s">
        <v>122</v>
      </c>
      <c r="E60" s="48">
        <v>98992</v>
      </c>
      <c r="F60" s="48" t="s">
        <v>169</v>
      </c>
      <c r="G60" s="48" t="s">
        <v>125</v>
      </c>
      <c r="H60" s="30">
        <v>13669</v>
      </c>
      <c r="I60" s="30"/>
      <c r="J60" s="30">
        <v>32</v>
      </c>
      <c r="K60" s="28">
        <f t="shared" si="1"/>
        <v>112.5</v>
      </c>
      <c r="L60" s="31">
        <v>0.25</v>
      </c>
      <c r="M60" s="31">
        <v>0.60416666666666663</v>
      </c>
      <c r="N60" s="32">
        <f t="shared" si="13"/>
        <v>0.35416666666666663</v>
      </c>
      <c r="O60" s="36">
        <v>510</v>
      </c>
      <c r="P60" s="36">
        <f t="shared" si="7"/>
        <v>380</v>
      </c>
      <c r="Q60" s="36">
        <f t="shared" si="8"/>
        <v>380</v>
      </c>
      <c r="R60" s="15">
        <v>0</v>
      </c>
      <c r="S60" s="20">
        <v>0</v>
      </c>
      <c r="T60" s="16">
        <v>0</v>
      </c>
      <c r="U60" s="16">
        <v>0</v>
      </c>
      <c r="V60" s="20">
        <v>0</v>
      </c>
      <c r="W60" s="20">
        <v>0</v>
      </c>
      <c r="X60" s="19">
        <v>0</v>
      </c>
      <c r="Y60" s="19">
        <v>0</v>
      </c>
      <c r="Z60" s="20">
        <v>0</v>
      </c>
      <c r="AA60" s="16">
        <v>0</v>
      </c>
      <c r="AB60" s="20">
        <v>0</v>
      </c>
      <c r="AC60" s="20">
        <v>0</v>
      </c>
      <c r="AD60" s="15">
        <f t="shared" si="3"/>
        <v>0</v>
      </c>
      <c r="AE60" s="15">
        <v>0</v>
      </c>
      <c r="AF60" s="19">
        <v>0</v>
      </c>
      <c r="AG60" s="20">
        <v>0</v>
      </c>
      <c r="AH60" s="15">
        <v>60</v>
      </c>
      <c r="AI60" s="15">
        <v>0</v>
      </c>
      <c r="AJ60" s="15">
        <v>30</v>
      </c>
      <c r="AK60" s="15">
        <v>10</v>
      </c>
      <c r="AL60" s="15">
        <v>30</v>
      </c>
      <c r="AM60" s="15">
        <f t="shared" si="4"/>
        <v>130</v>
      </c>
      <c r="AN60" s="29">
        <f t="shared" si="5"/>
        <v>712.5</v>
      </c>
      <c r="AO60" s="19">
        <v>556</v>
      </c>
      <c r="AP60" s="21">
        <v>0</v>
      </c>
      <c r="AQ60" s="22">
        <v>1</v>
      </c>
      <c r="AR60" s="26">
        <f t="shared" si="6"/>
        <v>555</v>
      </c>
      <c r="AS60" s="37">
        <f t="shared" si="9"/>
        <v>1</v>
      </c>
      <c r="AT60" s="38">
        <f t="shared" si="10"/>
        <v>0.78035087719298246</v>
      </c>
      <c r="AU60" s="38">
        <f t="shared" si="11"/>
        <v>0.99820143884892087</v>
      </c>
      <c r="AV60" s="27">
        <f t="shared" si="12"/>
        <v>0.77894736842105261</v>
      </c>
    </row>
    <row r="61" spans="1:48" s="1" customFormat="1" ht="21" customHeight="1" x14ac:dyDescent="0.25">
      <c r="A61" s="109">
        <v>46029</v>
      </c>
      <c r="B61" s="47" t="s">
        <v>49</v>
      </c>
      <c r="C61" s="107" t="s">
        <v>21</v>
      </c>
      <c r="D61" s="47" t="s">
        <v>170</v>
      </c>
      <c r="E61" s="48">
        <v>98992</v>
      </c>
      <c r="F61" s="48" t="s">
        <v>176</v>
      </c>
      <c r="G61" s="48" t="s">
        <v>125</v>
      </c>
      <c r="H61" s="30">
        <v>15833</v>
      </c>
      <c r="I61" s="30"/>
      <c r="J61" s="30">
        <v>20</v>
      </c>
      <c r="K61" s="28">
        <f t="shared" si="1"/>
        <v>180</v>
      </c>
      <c r="L61" s="31">
        <v>0.25</v>
      </c>
      <c r="M61" s="31">
        <v>0.60416666666666663</v>
      </c>
      <c r="N61" s="32">
        <f t="shared" si="13"/>
        <v>0.35416666666666663</v>
      </c>
      <c r="O61" s="36">
        <v>510</v>
      </c>
      <c r="P61" s="36">
        <f t="shared" si="7"/>
        <v>220</v>
      </c>
      <c r="Q61" s="36">
        <f t="shared" si="8"/>
        <v>220</v>
      </c>
      <c r="R61" s="15">
        <v>0</v>
      </c>
      <c r="S61" s="20">
        <v>0</v>
      </c>
      <c r="T61" s="16">
        <v>0</v>
      </c>
      <c r="U61" s="16">
        <v>0</v>
      </c>
      <c r="V61" s="20">
        <v>0</v>
      </c>
      <c r="W61" s="20">
        <v>0</v>
      </c>
      <c r="X61" s="19">
        <v>0</v>
      </c>
      <c r="Y61" s="19">
        <v>0</v>
      </c>
      <c r="Z61" s="20">
        <v>0</v>
      </c>
      <c r="AA61" s="16">
        <v>0</v>
      </c>
      <c r="AB61" s="20">
        <v>0</v>
      </c>
      <c r="AC61" s="20">
        <v>0</v>
      </c>
      <c r="AD61" s="15">
        <f t="shared" si="3"/>
        <v>0</v>
      </c>
      <c r="AE61" s="15">
        <v>0</v>
      </c>
      <c r="AF61" s="19">
        <v>0</v>
      </c>
      <c r="AG61" s="20">
        <v>0</v>
      </c>
      <c r="AH61" s="15">
        <v>220</v>
      </c>
      <c r="AI61" s="15">
        <v>0</v>
      </c>
      <c r="AJ61" s="15">
        <v>30</v>
      </c>
      <c r="AK61" s="15">
        <v>10</v>
      </c>
      <c r="AL61" s="15">
        <v>30</v>
      </c>
      <c r="AM61" s="15">
        <f t="shared" si="4"/>
        <v>290</v>
      </c>
      <c r="AN61" s="29">
        <f t="shared" si="5"/>
        <v>660</v>
      </c>
      <c r="AO61" s="19">
        <v>495</v>
      </c>
      <c r="AP61" s="21">
        <v>0</v>
      </c>
      <c r="AQ61" s="22">
        <v>0</v>
      </c>
      <c r="AR61" s="26">
        <f t="shared" si="6"/>
        <v>495</v>
      </c>
      <c r="AS61" s="37">
        <f t="shared" si="9"/>
        <v>1</v>
      </c>
      <c r="AT61" s="38">
        <f t="shared" si="10"/>
        <v>0.75</v>
      </c>
      <c r="AU61" s="38">
        <f t="shared" si="11"/>
        <v>1</v>
      </c>
      <c r="AV61" s="27">
        <f t="shared" si="12"/>
        <v>0.75</v>
      </c>
    </row>
    <row r="62" spans="1:48" s="1" customFormat="1" ht="21" customHeight="1" x14ac:dyDescent="0.25">
      <c r="A62" s="109">
        <v>46029</v>
      </c>
      <c r="B62" s="47" t="s">
        <v>49</v>
      </c>
      <c r="C62" s="107" t="s">
        <v>21</v>
      </c>
      <c r="D62" s="47" t="s">
        <v>127</v>
      </c>
      <c r="E62" s="48">
        <v>98992</v>
      </c>
      <c r="F62" s="48" t="s">
        <v>175</v>
      </c>
      <c r="G62" s="48" t="s">
        <v>125</v>
      </c>
      <c r="H62" s="30">
        <v>15838</v>
      </c>
      <c r="I62" s="30"/>
      <c r="J62" s="30">
        <v>20</v>
      </c>
      <c r="K62" s="28">
        <f t="shared" si="1"/>
        <v>180</v>
      </c>
      <c r="L62" s="31">
        <v>0.25</v>
      </c>
      <c r="M62" s="31">
        <v>0.60416666666666663</v>
      </c>
      <c r="N62" s="32">
        <f t="shared" si="13"/>
        <v>0.35416666666666663</v>
      </c>
      <c r="O62" s="36">
        <v>510</v>
      </c>
      <c r="P62" s="36">
        <f t="shared" si="7"/>
        <v>140</v>
      </c>
      <c r="Q62" s="36">
        <f t="shared" si="8"/>
        <v>140</v>
      </c>
      <c r="R62" s="15">
        <v>0</v>
      </c>
      <c r="S62" s="20">
        <v>0</v>
      </c>
      <c r="T62" s="16">
        <v>0</v>
      </c>
      <c r="U62" s="16">
        <v>0</v>
      </c>
      <c r="V62" s="20">
        <v>0</v>
      </c>
      <c r="W62" s="20">
        <v>0</v>
      </c>
      <c r="X62" s="19">
        <v>0</v>
      </c>
      <c r="Y62" s="19">
        <v>0</v>
      </c>
      <c r="Z62" s="20">
        <v>0</v>
      </c>
      <c r="AA62" s="16">
        <v>0</v>
      </c>
      <c r="AB62" s="20">
        <v>0</v>
      </c>
      <c r="AC62" s="20">
        <v>0</v>
      </c>
      <c r="AD62" s="15">
        <f t="shared" si="3"/>
        <v>0</v>
      </c>
      <c r="AE62" s="15">
        <v>0</v>
      </c>
      <c r="AF62" s="19">
        <v>0</v>
      </c>
      <c r="AG62" s="20">
        <v>0</v>
      </c>
      <c r="AH62" s="15">
        <v>300</v>
      </c>
      <c r="AI62" s="15">
        <v>0</v>
      </c>
      <c r="AJ62" s="15">
        <v>30</v>
      </c>
      <c r="AK62" s="15">
        <v>10</v>
      </c>
      <c r="AL62" s="15">
        <v>30</v>
      </c>
      <c r="AM62" s="15">
        <f t="shared" si="4"/>
        <v>370</v>
      </c>
      <c r="AN62" s="29">
        <f t="shared" si="5"/>
        <v>420</v>
      </c>
      <c r="AO62" s="19">
        <v>300</v>
      </c>
      <c r="AP62" s="21">
        <v>0</v>
      </c>
      <c r="AQ62" s="22">
        <v>1</v>
      </c>
      <c r="AR62" s="26">
        <f t="shared" si="6"/>
        <v>299</v>
      </c>
      <c r="AS62" s="37">
        <f t="shared" si="9"/>
        <v>1</v>
      </c>
      <c r="AT62" s="38">
        <f t="shared" si="10"/>
        <v>0.7142857142857143</v>
      </c>
      <c r="AU62" s="38">
        <f t="shared" si="11"/>
        <v>0.9966666666666667</v>
      </c>
      <c r="AV62" s="27">
        <f t="shared" si="12"/>
        <v>0.71190476190476193</v>
      </c>
    </row>
    <row r="63" spans="1:48" s="1" customFormat="1" ht="21" customHeight="1" x14ac:dyDescent="0.25">
      <c r="A63" s="109">
        <v>46029</v>
      </c>
      <c r="B63" s="47" t="s">
        <v>49</v>
      </c>
      <c r="C63" s="107" t="s">
        <v>51</v>
      </c>
      <c r="D63" s="47" t="s">
        <v>124</v>
      </c>
      <c r="E63" s="48">
        <v>98992</v>
      </c>
      <c r="F63" s="48" t="s">
        <v>215</v>
      </c>
      <c r="G63" s="48" t="s">
        <v>125</v>
      </c>
      <c r="H63" s="30">
        <v>13105</v>
      </c>
      <c r="I63" s="30"/>
      <c r="J63" s="30">
        <v>32</v>
      </c>
      <c r="K63" s="28">
        <f t="shared" si="1"/>
        <v>112.5</v>
      </c>
      <c r="L63" s="31">
        <v>0.58333333333333337</v>
      </c>
      <c r="M63" s="31">
        <v>0.9375</v>
      </c>
      <c r="N63" s="32">
        <f t="shared" si="13"/>
        <v>0.35416666666666663</v>
      </c>
      <c r="O63" s="36">
        <v>510</v>
      </c>
      <c r="P63" s="36">
        <f t="shared" si="7"/>
        <v>320</v>
      </c>
      <c r="Q63" s="36">
        <f t="shared" si="8"/>
        <v>320</v>
      </c>
      <c r="R63" s="15">
        <v>0</v>
      </c>
      <c r="S63" s="20">
        <v>0</v>
      </c>
      <c r="T63" s="16">
        <v>0</v>
      </c>
      <c r="U63" s="16">
        <v>0</v>
      </c>
      <c r="V63" s="20">
        <v>0</v>
      </c>
      <c r="W63" s="20">
        <v>0</v>
      </c>
      <c r="X63" s="19">
        <v>0</v>
      </c>
      <c r="Y63" s="19">
        <v>0</v>
      </c>
      <c r="Z63" s="20">
        <v>0</v>
      </c>
      <c r="AA63" s="16">
        <v>0</v>
      </c>
      <c r="AB63" s="20">
        <v>0</v>
      </c>
      <c r="AC63" s="20">
        <v>0</v>
      </c>
      <c r="AD63" s="15">
        <f t="shared" si="3"/>
        <v>0</v>
      </c>
      <c r="AE63" s="15">
        <v>0</v>
      </c>
      <c r="AF63" s="19">
        <v>0</v>
      </c>
      <c r="AG63" s="20">
        <v>0</v>
      </c>
      <c r="AH63" s="15">
        <v>120</v>
      </c>
      <c r="AI63" s="15">
        <v>0</v>
      </c>
      <c r="AJ63" s="15">
        <v>30</v>
      </c>
      <c r="AK63" s="15">
        <v>10</v>
      </c>
      <c r="AL63" s="15">
        <v>30</v>
      </c>
      <c r="AM63" s="15">
        <f t="shared" si="4"/>
        <v>190</v>
      </c>
      <c r="AN63" s="29">
        <f t="shared" si="5"/>
        <v>600</v>
      </c>
      <c r="AO63" s="19">
        <v>573</v>
      </c>
      <c r="AP63" s="21">
        <v>0</v>
      </c>
      <c r="AQ63" s="22">
        <v>0</v>
      </c>
      <c r="AR63" s="26">
        <f t="shared" si="6"/>
        <v>573</v>
      </c>
      <c r="AS63" s="37">
        <f t="shared" si="9"/>
        <v>1</v>
      </c>
      <c r="AT63" s="38">
        <f t="shared" si="10"/>
        <v>0.95499999999999996</v>
      </c>
      <c r="AU63" s="38">
        <f t="shared" si="11"/>
        <v>1</v>
      </c>
      <c r="AV63" s="27">
        <f t="shared" si="12"/>
        <v>0.95499999999999996</v>
      </c>
    </row>
    <row r="64" spans="1:48" s="1" customFormat="1" ht="21" customHeight="1" x14ac:dyDescent="0.25">
      <c r="A64" s="109">
        <v>46029</v>
      </c>
      <c r="B64" s="47" t="s">
        <v>49</v>
      </c>
      <c r="C64" s="107" t="s">
        <v>51</v>
      </c>
      <c r="D64" s="47" t="s">
        <v>122</v>
      </c>
      <c r="E64" s="48">
        <v>98992</v>
      </c>
      <c r="F64" s="48" t="s">
        <v>169</v>
      </c>
      <c r="G64" s="48" t="s">
        <v>125</v>
      </c>
      <c r="H64" s="30">
        <v>13106</v>
      </c>
      <c r="I64" s="30"/>
      <c r="J64" s="30">
        <v>32</v>
      </c>
      <c r="K64" s="28">
        <f t="shared" si="1"/>
        <v>112.5</v>
      </c>
      <c r="L64" s="31">
        <v>0.58333333333333337</v>
      </c>
      <c r="M64" s="31">
        <v>0.9375</v>
      </c>
      <c r="N64" s="32">
        <f t="shared" si="13"/>
        <v>0.35416666666666663</v>
      </c>
      <c r="O64" s="36">
        <v>510</v>
      </c>
      <c r="P64" s="36">
        <f t="shared" si="7"/>
        <v>440</v>
      </c>
      <c r="Q64" s="36">
        <f t="shared" si="8"/>
        <v>440</v>
      </c>
      <c r="R64" s="15">
        <v>0</v>
      </c>
      <c r="S64" s="20">
        <v>0</v>
      </c>
      <c r="T64" s="16">
        <v>0</v>
      </c>
      <c r="U64" s="16">
        <v>0</v>
      </c>
      <c r="V64" s="20">
        <v>0</v>
      </c>
      <c r="W64" s="20">
        <v>0</v>
      </c>
      <c r="X64" s="19">
        <v>0</v>
      </c>
      <c r="Y64" s="19">
        <v>0</v>
      </c>
      <c r="Z64" s="20">
        <v>0</v>
      </c>
      <c r="AA64" s="16">
        <v>0</v>
      </c>
      <c r="AB64" s="20">
        <v>0</v>
      </c>
      <c r="AC64" s="20">
        <v>0</v>
      </c>
      <c r="AD64" s="15">
        <f t="shared" si="3"/>
        <v>0</v>
      </c>
      <c r="AE64" s="15">
        <v>0</v>
      </c>
      <c r="AF64" s="19">
        <v>0</v>
      </c>
      <c r="AG64" s="20">
        <v>0</v>
      </c>
      <c r="AH64" s="15">
        <v>0</v>
      </c>
      <c r="AI64" s="15">
        <v>0</v>
      </c>
      <c r="AJ64" s="15">
        <v>30</v>
      </c>
      <c r="AK64" s="15">
        <v>10</v>
      </c>
      <c r="AL64" s="15">
        <v>30</v>
      </c>
      <c r="AM64" s="15">
        <f t="shared" si="4"/>
        <v>70</v>
      </c>
      <c r="AN64" s="29">
        <f t="shared" si="5"/>
        <v>825</v>
      </c>
      <c r="AO64" s="19">
        <v>656</v>
      </c>
      <c r="AP64" s="21">
        <v>0</v>
      </c>
      <c r="AQ64" s="22">
        <v>1</v>
      </c>
      <c r="AR64" s="26">
        <f t="shared" si="6"/>
        <v>655</v>
      </c>
      <c r="AS64" s="37">
        <f t="shared" si="9"/>
        <v>1</v>
      </c>
      <c r="AT64" s="38">
        <f t="shared" si="10"/>
        <v>0.79515151515151516</v>
      </c>
      <c r="AU64" s="38">
        <f t="shared" si="11"/>
        <v>0.99847560975609762</v>
      </c>
      <c r="AV64" s="27">
        <f t="shared" si="12"/>
        <v>0.79393939393939394</v>
      </c>
    </row>
    <row r="65" spans="1:48" s="1" customFormat="1" ht="21" customHeight="1" x14ac:dyDescent="0.25">
      <c r="A65" s="109">
        <v>46029</v>
      </c>
      <c r="B65" s="47" t="s">
        <v>49</v>
      </c>
      <c r="C65" s="107" t="s">
        <v>51</v>
      </c>
      <c r="D65" s="47" t="s">
        <v>128</v>
      </c>
      <c r="E65" s="48">
        <v>98992</v>
      </c>
      <c r="F65" s="48" t="s">
        <v>53</v>
      </c>
      <c r="G65" s="48" t="s">
        <v>125</v>
      </c>
      <c r="H65" s="30">
        <v>15618</v>
      </c>
      <c r="I65" s="30"/>
      <c r="J65" s="30">
        <v>32</v>
      </c>
      <c r="K65" s="28">
        <f t="shared" si="1"/>
        <v>112.5</v>
      </c>
      <c r="L65" s="31">
        <v>0.58333333333333337</v>
      </c>
      <c r="M65" s="31">
        <v>0.9375</v>
      </c>
      <c r="N65" s="32">
        <f t="shared" si="13"/>
        <v>0.35416666666666663</v>
      </c>
      <c r="O65" s="36">
        <v>510</v>
      </c>
      <c r="P65" s="36">
        <f t="shared" si="7"/>
        <v>440</v>
      </c>
      <c r="Q65" s="36">
        <f t="shared" si="8"/>
        <v>440</v>
      </c>
      <c r="R65" s="15">
        <v>0</v>
      </c>
      <c r="S65" s="20">
        <v>0</v>
      </c>
      <c r="T65" s="16">
        <v>0</v>
      </c>
      <c r="U65" s="16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D65" s="15">
        <f t="shared" si="3"/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30</v>
      </c>
      <c r="AK65" s="15">
        <v>10</v>
      </c>
      <c r="AL65" s="15">
        <v>30</v>
      </c>
      <c r="AM65" s="15">
        <f t="shared" si="4"/>
        <v>70</v>
      </c>
      <c r="AN65" s="29">
        <f t="shared" si="5"/>
        <v>825</v>
      </c>
      <c r="AO65" s="19">
        <v>804</v>
      </c>
      <c r="AP65" s="21">
        <v>0</v>
      </c>
      <c r="AQ65" s="22">
        <v>0</v>
      </c>
      <c r="AR65" s="26">
        <f t="shared" si="6"/>
        <v>804</v>
      </c>
      <c r="AS65" s="37">
        <f t="shared" si="9"/>
        <v>1</v>
      </c>
      <c r="AT65" s="38">
        <f t="shared" si="10"/>
        <v>0.97454545454545449</v>
      </c>
      <c r="AU65" s="38">
        <f t="shared" si="11"/>
        <v>1</v>
      </c>
      <c r="AV65" s="27">
        <f t="shared" si="12"/>
        <v>0.97454545454545449</v>
      </c>
    </row>
    <row r="66" spans="1:48" s="1" customFormat="1" ht="21" customHeight="1" x14ac:dyDescent="0.25">
      <c r="A66" s="109">
        <v>46029</v>
      </c>
      <c r="B66" s="47" t="s">
        <v>49</v>
      </c>
      <c r="C66" s="107" t="s">
        <v>51</v>
      </c>
      <c r="D66" s="47" t="s">
        <v>170</v>
      </c>
      <c r="E66" s="48">
        <v>98992</v>
      </c>
      <c r="F66" s="48" t="s">
        <v>176</v>
      </c>
      <c r="G66" s="48" t="s">
        <v>125</v>
      </c>
      <c r="H66" s="30">
        <v>15036</v>
      </c>
      <c r="I66" s="30"/>
      <c r="J66" s="30">
        <v>20</v>
      </c>
      <c r="K66" s="28">
        <f t="shared" si="1"/>
        <v>180</v>
      </c>
      <c r="L66" s="31">
        <v>0.58333333333333337</v>
      </c>
      <c r="M66" s="31">
        <v>0.9375</v>
      </c>
      <c r="N66" s="32">
        <f t="shared" si="13"/>
        <v>0.35416666666666663</v>
      </c>
      <c r="O66" s="36">
        <v>510</v>
      </c>
      <c r="P66" s="36">
        <f t="shared" si="7"/>
        <v>320</v>
      </c>
      <c r="Q66" s="36">
        <f t="shared" si="8"/>
        <v>320</v>
      </c>
      <c r="R66" s="15">
        <v>0</v>
      </c>
      <c r="S66" s="20">
        <v>0</v>
      </c>
      <c r="T66" s="16">
        <v>0</v>
      </c>
      <c r="U66" s="16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15">
        <f t="shared" si="3"/>
        <v>0</v>
      </c>
      <c r="AE66" s="15">
        <v>0</v>
      </c>
      <c r="AF66" s="15">
        <v>0</v>
      </c>
      <c r="AG66" s="15">
        <v>0</v>
      </c>
      <c r="AH66" s="15">
        <v>120</v>
      </c>
      <c r="AI66" s="15">
        <v>0</v>
      </c>
      <c r="AJ66" s="15">
        <v>30</v>
      </c>
      <c r="AK66" s="15">
        <v>10</v>
      </c>
      <c r="AL66" s="15">
        <v>30</v>
      </c>
      <c r="AM66" s="15">
        <f t="shared" si="4"/>
        <v>190</v>
      </c>
      <c r="AN66" s="29">
        <f t="shared" si="5"/>
        <v>960</v>
      </c>
      <c r="AO66" s="19">
        <v>684</v>
      </c>
      <c r="AP66" s="21">
        <v>0</v>
      </c>
      <c r="AQ66" s="22">
        <v>1</v>
      </c>
      <c r="AR66" s="26">
        <f t="shared" si="6"/>
        <v>683</v>
      </c>
      <c r="AS66" s="37">
        <f t="shared" si="9"/>
        <v>1</v>
      </c>
      <c r="AT66" s="38">
        <f t="shared" si="10"/>
        <v>0.71250000000000002</v>
      </c>
      <c r="AU66" s="38">
        <f t="shared" si="11"/>
        <v>0.99853801169590639</v>
      </c>
      <c r="AV66" s="27">
        <f t="shared" si="12"/>
        <v>0.7114583333333333</v>
      </c>
    </row>
    <row r="67" spans="1:48" s="1" customFormat="1" ht="21" customHeight="1" x14ac:dyDescent="0.25">
      <c r="A67" s="109">
        <v>46029</v>
      </c>
      <c r="B67" s="47" t="s">
        <v>49</v>
      </c>
      <c r="C67" s="107" t="s">
        <v>51</v>
      </c>
      <c r="D67" s="47" t="s">
        <v>127</v>
      </c>
      <c r="E67" s="48">
        <v>98992</v>
      </c>
      <c r="F67" s="48" t="s">
        <v>175</v>
      </c>
      <c r="G67" s="48" t="s">
        <v>125</v>
      </c>
      <c r="H67" s="30">
        <v>15710</v>
      </c>
      <c r="I67" s="30"/>
      <c r="J67" s="30">
        <v>20</v>
      </c>
      <c r="K67" s="28">
        <f t="shared" si="1"/>
        <v>180</v>
      </c>
      <c r="L67" s="31">
        <v>0.58333333333333337</v>
      </c>
      <c r="M67" s="31">
        <v>0.9375</v>
      </c>
      <c r="N67" s="32">
        <f t="shared" si="13"/>
        <v>0.35416666666666663</v>
      </c>
      <c r="O67" s="36">
        <v>510</v>
      </c>
      <c r="P67" s="36">
        <f t="shared" si="7"/>
        <v>320</v>
      </c>
      <c r="Q67" s="36">
        <f t="shared" si="8"/>
        <v>320</v>
      </c>
      <c r="R67" s="15">
        <v>0</v>
      </c>
      <c r="S67" s="20">
        <v>0</v>
      </c>
      <c r="T67" s="16">
        <v>0</v>
      </c>
      <c r="U67" s="16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15">
        <f t="shared" si="3"/>
        <v>0</v>
      </c>
      <c r="AE67" s="15">
        <v>0</v>
      </c>
      <c r="AF67" s="15">
        <v>0</v>
      </c>
      <c r="AG67" s="15">
        <v>0</v>
      </c>
      <c r="AH67" s="15">
        <v>120</v>
      </c>
      <c r="AI67" s="15">
        <v>0</v>
      </c>
      <c r="AJ67" s="15">
        <v>30</v>
      </c>
      <c r="AK67" s="15">
        <v>10</v>
      </c>
      <c r="AL67" s="15">
        <v>30</v>
      </c>
      <c r="AM67" s="15">
        <f t="shared" si="4"/>
        <v>190</v>
      </c>
      <c r="AN67" s="29">
        <f t="shared" si="5"/>
        <v>960</v>
      </c>
      <c r="AO67" s="19">
        <v>684</v>
      </c>
      <c r="AP67" s="21">
        <v>0</v>
      </c>
      <c r="AQ67" s="22">
        <v>0</v>
      </c>
      <c r="AR67" s="26">
        <f t="shared" si="6"/>
        <v>684</v>
      </c>
      <c r="AS67" s="37">
        <f t="shared" si="9"/>
        <v>1</v>
      </c>
      <c r="AT67" s="38">
        <f t="shared" si="10"/>
        <v>0.71250000000000002</v>
      </c>
      <c r="AU67" s="38">
        <f t="shared" si="11"/>
        <v>1</v>
      </c>
      <c r="AV67" s="27">
        <f t="shared" si="12"/>
        <v>0.71250000000000002</v>
      </c>
    </row>
    <row r="68" spans="1:48" s="1" customFormat="1" ht="21" customHeight="1" x14ac:dyDescent="0.25">
      <c r="A68" s="109">
        <v>46029</v>
      </c>
      <c r="B68" s="47" t="s">
        <v>49</v>
      </c>
      <c r="C68" s="107" t="s">
        <v>51</v>
      </c>
      <c r="D68" s="47" t="s">
        <v>94</v>
      </c>
      <c r="E68" s="48">
        <v>98992</v>
      </c>
      <c r="F68" s="48" t="s">
        <v>67</v>
      </c>
      <c r="G68" s="48" t="s">
        <v>174</v>
      </c>
      <c r="H68" s="30">
        <v>13562</v>
      </c>
      <c r="I68" s="30"/>
      <c r="J68" s="30">
        <v>20</v>
      </c>
      <c r="K68" s="28">
        <f t="shared" si="1"/>
        <v>180</v>
      </c>
      <c r="L68" s="31">
        <v>0.58333333333333337</v>
      </c>
      <c r="M68" s="31">
        <v>0.9375</v>
      </c>
      <c r="N68" s="32">
        <f t="shared" si="13"/>
        <v>0.35416666666666663</v>
      </c>
      <c r="O68" s="36">
        <v>510</v>
      </c>
      <c r="P68" s="36">
        <f t="shared" si="7"/>
        <v>440</v>
      </c>
      <c r="Q68" s="36">
        <f t="shared" si="8"/>
        <v>440</v>
      </c>
      <c r="R68" s="15">
        <v>0</v>
      </c>
      <c r="S68" s="20">
        <v>0</v>
      </c>
      <c r="T68" s="16">
        <v>0</v>
      </c>
      <c r="U68" s="16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15">
        <f t="shared" si="3"/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30</v>
      </c>
      <c r="AK68" s="15">
        <v>10</v>
      </c>
      <c r="AL68" s="15">
        <v>30</v>
      </c>
      <c r="AM68" s="15">
        <f t="shared" si="4"/>
        <v>70</v>
      </c>
      <c r="AN68" s="29">
        <f t="shared" si="5"/>
        <v>1320</v>
      </c>
      <c r="AO68" s="19">
        <v>1014</v>
      </c>
      <c r="AP68" s="21">
        <v>0</v>
      </c>
      <c r="AQ68" s="22">
        <v>0</v>
      </c>
      <c r="AR68" s="26">
        <f t="shared" si="6"/>
        <v>1014</v>
      </c>
      <c r="AS68" s="37">
        <f t="shared" si="9"/>
        <v>1</v>
      </c>
      <c r="AT68" s="38">
        <f t="shared" si="10"/>
        <v>0.76818181818181819</v>
      </c>
      <c r="AU68" s="38">
        <f t="shared" si="11"/>
        <v>1</v>
      </c>
      <c r="AV68" s="27">
        <f t="shared" si="12"/>
        <v>0.76818181818181819</v>
      </c>
    </row>
    <row r="69" spans="1:48" s="1" customFormat="1" ht="21" customHeight="1" x14ac:dyDescent="0.25">
      <c r="A69" s="109">
        <v>46029</v>
      </c>
      <c r="B69" s="47" t="s">
        <v>49</v>
      </c>
      <c r="C69" s="107" t="s">
        <v>51</v>
      </c>
      <c r="D69" s="47" t="s">
        <v>88</v>
      </c>
      <c r="E69" s="48">
        <v>98992</v>
      </c>
      <c r="F69" s="48" t="s">
        <v>126</v>
      </c>
      <c r="G69" s="48" t="s">
        <v>87</v>
      </c>
      <c r="H69" s="30">
        <v>15114</v>
      </c>
      <c r="I69" s="30"/>
      <c r="J69" s="30">
        <v>32</v>
      </c>
      <c r="K69" s="28">
        <f t="shared" si="1"/>
        <v>112.5</v>
      </c>
      <c r="L69" s="31">
        <v>0.58333333333333337</v>
      </c>
      <c r="M69" s="31">
        <v>0.9375</v>
      </c>
      <c r="N69" s="32">
        <f t="shared" si="13"/>
        <v>0.35416666666666663</v>
      </c>
      <c r="O69" s="36">
        <v>510</v>
      </c>
      <c r="P69" s="36">
        <f t="shared" si="7"/>
        <v>380</v>
      </c>
      <c r="Q69" s="36">
        <f t="shared" si="8"/>
        <v>380</v>
      </c>
      <c r="R69" s="15">
        <v>0</v>
      </c>
      <c r="S69" s="20">
        <v>0</v>
      </c>
      <c r="T69" s="16">
        <v>0</v>
      </c>
      <c r="U69" s="16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D69" s="15">
        <f t="shared" si="3"/>
        <v>0</v>
      </c>
      <c r="AE69" s="15">
        <v>0</v>
      </c>
      <c r="AF69" s="15">
        <v>0</v>
      </c>
      <c r="AG69" s="15">
        <v>0</v>
      </c>
      <c r="AH69" s="15">
        <v>60</v>
      </c>
      <c r="AI69" s="15">
        <v>0</v>
      </c>
      <c r="AJ69" s="15">
        <v>30</v>
      </c>
      <c r="AK69" s="15">
        <v>10</v>
      </c>
      <c r="AL69" s="15">
        <v>30</v>
      </c>
      <c r="AM69" s="15">
        <f t="shared" si="4"/>
        <v>130</v>
      </c>
      <c r="AN69" s="29">
        <f t="shared" si="5"/>
        <v>712.5</v>
      </c>
      <c r="AO69" s="19">
        <v>605</v>
      </c>
      <c r="AP69" s="21">
        <v>0</v>
      </c>
      <c r="AQ69" s="22">
        <v>0</v>
      </c>
      <c r="AR69" s="26">
        <f t="shared" si="6"/>
        <v>605</v>
      </c>
      <c r="AS69" s="37">
        <f t="shared" si="9"/>
        <v>1</v>
      </c>
      <c r="AT69" s="38">
        <f t="shared" si="10"/>
        <v>0.84912280701754383</v>
      </c>
      <c r="AU69" s="38">
        <f t="shared" si="11"/>
        <v>1</v>
      </c>
      <c r="AV69" s="27">
        <f t="shared" si="12"/>
        <v>0.84912280701754383</v>
      </c>
    </row>
    <row r="70" spans="1:48" s="1" customFormat="1" ht="21" customHeight="1" x14ac:dyDescent="0.25">
      <c r="A70" s="109">
        <v>46029</v>
      </c>
      <c r="B70" s="47" t="s">
        <v>49</v>
      </c>
      <c r="C70" s="107" t="s">
        <v>51</v>
      </c>
      <c r="D70" s="47" t="s">
        <v>89</v>
      </c>
      <c r="E70" s="48">
        <v>98992</v>
      </c>
      <c r="F70" s="48" t="s">
        <v>169</v>
      </c>
      <c r="G70" s="48" t="s">
        <v>87</v>
      </c>
      <c r="H70" s="30">
        <v>16219</v>
      </c>
      <c r="I70" s="30"/>
      <c r="J70" s="30">
        <v>32</v>
      </c>
      <c r="K70" s="28">
        <f t="shared" si="1"/>
        <v>112.5</v>
      </c>
      <c r="L70" s="31">
        <v>0.58333333333333337</v>
      </c>
      <c r="M70" s="31">
        <v>0.9375</v>
      </c>
      <c r="N70" s="32">
        <f t="shared" si="13"/>
        <v>0.35416666666666663</v>
      </c>
      <c r="O70" s="36">
        <v>510</v>
      </c>
      <c r="P70" s="36">
        <f t="shared" si="7"/>
        <v>380</v>
      </c>
      <c r="Q70" s="36">
        <f t="shared" si="8"/>
        <v>380</v>
      </c>
      <c r="R70" s="15">
        <v>0</v>
      </c>
      <c r="S70" s="20">
        <v>0</v>
      </c>
      <c r="T70" s="16">
        <v>0</v>
      </c>
      <c r="U70" s="16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15">
        <f t="shared" si="3"/>
        <v>0</v>
      </c>
      <c r="AE70" s="15">
        <v>0</v>
      </c>
      <c r="AF70" s="15">
        <v>0</v>
      </c>
      <c r="AG70" s="15">
        <v>0</v>
      </c>
      <c r="AH70" s="15">
        <v>60</v>
      </c>
      <c r="AI70" s="15">
        <v>0</v>
      </c>
      <c r="AJ70" s="15">
        <v>30</v>
      </c>
      <c r="AK70" s="15">
        <v>10</v>
      </c>
      <c r="AL70" s="15">
        <v>30</v>
      </c>
      <c r="AM70" s="15">
        <f t="shared" si="4"/>
        <v>130</v>
      </c>
      <c r="AN70" s="29">
        <f t="shared" si="5"/>
        <v>712.5</v>
      </c>
      <c r="AO70" s="19">
        <v>650</v>
      </c>
      <c r="AP70" s="21">
        <v>0</v>
      </c>
      <c r="AQ70" s="22">
        <v>1</v>
      </c>
      <c r="AR70" s="26">
        <f t="shared" si="6"/>
        <v>649</v>
      </c>
      <c r="AS70" s="37">
        <f t="shared" si="9"/>
        <v>1</v>
      </c>
      <c r="AT70" s="38">
        <f t="shared" si="10"/>
        <v>0.91228070175438591</v>
      </c>
      <c r="AU70" s="38">
        <f t="shared" si="11"/>
        <v>0.99846153846153851</v>
      </c>
      <c r="AV70" s="27">
        <f t="shared" si="12"/>
        <v>0.91087719298245617</v>
      </c>
    </row>
    <row r="71" spans="1:48" s="1" customFormat="1" ht="21" customHeight="1" x14ac:dyDescent="0.25">
      <c r="A71" s="109">
        <v>46029</v>
      </c>
      <c r="B71" s="47" t="s">
        <v>49</v>
      </c>
      <c r="C71" s="107" t="s">
        <v>51</v>
      </c>
      <c r="D71" s="47" t="s">
        <v>52</v>
      </c>
      <c r="E71" s="48">
        <v>98992</v>
      </c>
      <c r="F71" s="48" t="s">
        <v>53</v>
      </c>
      <c r="G71" s="48" t="s">
        <v>87</v>
      </c>
      <c r="H71" s="30">
        <v>15731</v>
      </c>
      <c r="I71" s="30"/>
      <c r="J71" s="30">
        <v>32</v>
      </c>
      <c r="K71" s="28">
        <f t="shared" si="1"/>
        <v>112.5</v>
      </c>
      <c r="L71" s="31">
        <v>0.58333333333333337</v>
      </c>
      <c r="M71" s="31">
        <v>0.9375</v>
      </c>
      <c r="N71" s="32">
        <f t="shared" si="13"/>
        <v>0.35416666666666663</v>
      </c>
      <c r="O71" s="36">
        <v>510</v>
      </c>
      <c r="P71" s="36">
        <f t="shared" si="7"/>
        <v>260</v>
      </c>
      <c r="Q71" s="36">
        <f t="shared" si="8"/>
        <v>260</v>
      </c>
      <c r="R71" s="15">
        <v>0</v>
      </c>
      <c r="S71" s="20">
        <v>0</v>
      </c>
      <c r="T71" s="16">
        <v>0</v>
      </c>
      <c r="U71" s="16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  <c r="AC71" s="20">
        <v>0</v>
      </c>
      <c r="AD71" s="15">
        <f t="shared" si="3"/>
        <v>0</v>
      </c>
      <c r="AE71" s="15">
        <v>0</v>
      </c>
      <c r="AF71" s="15">
        <v>0</v>
      </c>
      <c r="AG71" s="15">
        <v>0</v>
      </c>
      <c r="AH71" s="15">
        <v>180</v>
      </c>
      <c r="AI71" s="15">
        <v>0</v>
      </c>
      <c r="AJ71" s="15">
        <v>30</v>
      </c>
      <c r="AK71" s="15">
        <v>10</v>
      </c>
      <c r="AL71" s="15">
        <v>30</v>
      </c>
      <c r="AM71" s="15">
        <f t="shared" si="4"/>
        <v>250</v>
      </c>
      <c r="AN71" s="29">
        <f t="shared" si="5"/>
        <v>487.5</v>
      </c>
      <c r="AO71" s="19">
        <v>468</v>
      </c>
      <c r="AP71" s="21">
        <v>0</v>
      </c>
      <c r="AQ71" s="22">
        <v>0</v>
      </c>
      <c r="AR71" s="26">
        <f t="shared" si="6"/>
        <v>468</v>
      </c>
      <c r="AS71" s="37">
        <f t="shared" si="9"/>
        <v>1</v>
      </c>
      <c r="AT71" s="38">
        <f t="shared" si="10"/>
        <v>0.96</v>
      </c>
      <c r="AU71" s="38">
        <f t="shared" si="11"/>
        <v>1</v>
      </c>
      <c r="AV71" s="27">
        <f t="shared" si="12"/>
        <v>0.96</v>
      </c>
    </row>
    <row r="72" spans="1:48" s="1" customFormat="1" ht="21" customHeight="1" x14ac:dyDescent="0.25">
      <c r="A72" s="109">
        <v>46029</v>
      </c>
      <c r="B72" s="47" t="s">
        <v>49</v>
      </c>
      <c r="C72" s="107" t="s">
        <v>51</v>
      </c>
      <c r="D72" s="47" t="s">
        <v>86</v>
      </c>
      <c r="E72" s="48">
        <v>98992</v>
      </c>
      <c r="F72" s="48" t="s">
        <v>176</v>
      </c>
      <c r="G72" s="48" t="s">
        <v>87</v>
      </c>
      <c r="H72" s="30">
        <v>13669</v>
      </c>
      <c r="I72" s="30"/>
      <c r="J72" s="30">
        <v>20</v>
      </c>
      <c r="K72" s="28">
        <f t="shared" si="1"/>
        <v>180</v>
      </c>
      <c r="L72" s="31">
        <v>0.58333333333333337</v>
      </c>
      <c r="M72" s="31">
        <v>0.9375</v>
      </c>
      <c r="N72" s="32">
        <f>IF(M72&gt;L72,M72-L72,1+M72-L72)</f>
        <v>0.35416666666666663</v>
      </c>
      <c r="O72" s="36">
        <v>510</v>
      </c>
      <c r="P72" s="36">
        <f t="shared" si="7"/>
        <v>190</v>
      </c>
      <c r="Q72" s="36">
        <f t="shared" si="8"/>
        <v>190</v>
      </c>
      <c r="R72" s="15">
        <v>0</v>
      </c>
      <c r="S72" s="20">
        <v>0</v>
      </c>
      <c r="T72" s="16">
        <v>0</v>
      </c>
      <c r="U72" s="16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15">
        <f t="shared" si="3"/>
        <v>0</v>
      </c>
      <c r="AE72" s="15">
        <v>0</v>
      </c>
      <c r="AF72" s="15">
        <v>0</v>
      </c>
      <c r="AG72" s="15">
        <v>0</v>
      </c>
      <c r="AH72" s="15">
        <v>250</v>
      </c>
      <c r="AI72" s="15">
        <v>0</v>
      </c>
      <c r="AJ72" s="15">
        <v>30</v>
      </c>
      <c r="AK72" s="15">
        <v>10</v>
      </c>
      <c r="AL72" s="15">
        <v>30</v>
      </c>
      <c r="AM72" s="15">
        <f t="shared" si="4"/>
        <v>320</v>
      </c>
      <c r="AN72" s="29">
        <f t="shared" si="5"/>
        <v>570</v>
      </c>
      <c r="AO72" s="19">
        <v>410</v>
      </c>
      <c r="AP72" s="21">
        <v>0</v>
      </c>
      <c r="AQ72" s="22">
        <v>0</v>
      </c>
      <c r="AR72" s="26">
        <f t="shared" si="6"/>
        <v>410</v>
      </c>
      <c r="AS72" s="37">
        <f t="shared" si="9"/>
        <v>1</v>
      </c>
      <c r="AT72" s="38">
        <f t="shared" si="10"/>
        <v>0.7192982456140351</v>
      </c>
      <c r="AU72" s="38">
        <f t="shared" si="11"/>
        <v>1</v>
      </c>
      <c r="AV72" s="27">
        <f t="shared" si="12"/>
        <v>0.7192982456140351</v>
      </c>
    </row>
    <row r="73" spans="1:48" s="1" customFormat="1" ht="21" customHeight="1" x14ac:dyDescent="0.25">
      <c r="A73" s="109">
        <v>46029</v>
      </c>
      <c r="B73" s="47" t="s">
        <v>49</v>
      </c>
      <c r="C73" s="107" t="s">
        <v>51</v>
      </c>
      <c r="D73" s="47" t="s">
        <v>172</v>
      </c>
      <c r="E73" s="48">
        <v>98992</v>
      </c>
      <c r="F73" s="48" t="s">
        <v>175</v>
      </c>
      <c r="G73" s="48" t="s">
        <v>87</v>
      </c>
      <c r="H73" s="30">
        <v>15710</v>
      </c>
      <c r="I73" s="30"/>
      <c r="J73" s="30">
        <v>20</v>
      </c>
      <c r="K73" s="28">
        <f t="shared" si="1"/>
        <v>180</v>
      </c>
      <c r="L73" s="31">
        <v>0.58333333333333337</v>
      </c>
      <c r="M73" s="31">
        <v>0.9375</v>
      </c>
      <c r="N73" s="32">
        <f t="shared" ref="N73:N93" si="14">IF(M73&gt;L73,M73-L73,1+M73-L73)</f>
        <v>0.35416666666666663</v>
      </c>
      <c r="O73" s="36">
        <v>510</v>
      </c>
      <c r="P73" s="36">
        <f t="shared" si="7"/>
        <v>320</v>
      </c>
      <c r="Q73" s="36">
        <f t="shared" si="8"/>
        <v>320</v>
      </c>
      <c r="R73" s="15">
        <v>0</v>
      </c>
      <c r="S73" s="20">
        <v>0</v>
      </c>
      <c r="T73" s="16">
        <v>0</v>
      </c>
      <c r="U73" s="16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15">
        <f t="shared" si="3"/>
        <v>0</v>
      </c>
      <c r="AE73" s="15">
        <v>0</v>
      </c>
      <c r="AF73" s="15">
        <v>0</v>
      </c>
      <c r="AG73" s="15">
        <v>0</v>
      </c>
      <c r="AH73" s="15">
        <v>120</v>
      </c>
      <c r="AI73" s="15">
        <v>0</v>
      </c>
      <c r="AJ73" s="15">
        <v>30</v>
      </c>
      <c r="AK73" s="15">
        <v>10</v>
      </c>
      <c r="AL73" s="15">
        <v>30</v>
      </c>
      <c r="AM73" s="15">
        <f t="shared" si="4"/>
        <v>190</v>
      </c>
      <c r="AN73" s="29">
        <f t="shared" si="5"/>
        <v>960</v>
      </c>
      <c r="AO73" s="19">
        <v>560</v>
      </c>
      <c r="AP73" s="21">
        <v>0</v>
      </c>
      <c r="AQ73" s="22">
        <v>0</v>
      </c>
      <c r="AR73" s="26">
        <f t="shared" si="6"/>
        <v>560</v>
      </c>
      <c r="AS73" s="37">
        <f t="shared" si="9"/>
        <v>1</v>
      </c>
      <c r="AT73" s="38">
        <f t="shared" si="10"/>
        <v>0.58333333333333337</v>
      </c>
      <c r="AU73" s="38">
        <f t="shared" si="11"/>
        <v>1</v>
      </c>
      <c r="AV73" s="27">
        <f t="shared" si="12"/>
        <v>0.58333333333333337</v>
      </c>
    </row>
    <row r="74" spans="1:48" s="1" customFormat="1" ht="21" customHeight="1" x14ac:dyDescent="0.25">
      <c r="A74" s="109">
        <v>46029</v>
      </c>
      <c r="B74" s="47" t="s">
        <v>49</v>
      </c>
      <c r="C74" s="107" t="s">
        <v>254</v>
      </c>
      <c r="D74" s="47" t="s">
        <v>94</v>
      </c>
      <c r="E74" s="48">
        <v>98992</v>
      </c>
      <c r="F74" s="48" t="s">
        <v>67</v>
      </c>
      <c r="G74" s="48" t="s">
        <v>174</v>
      </c>
      <c r="H74" s="30">
        <v>14957</v>
      </c>
      <c r="I74" s="30"/>
      <c r="J74" s="30">
        <v>24</v>
      </c>
      <c r="K74" s="28">
        <f t="shared" si="1"/>
        <v>150</v>
      </c>
      <c r="L74" s="31">
        <v>0.58333333333333337</v>
      </c>
      <c r="M74" s="31">
        <v>0.9375</v>
      </c>
      <c r="N74" s="32">
        <f t="shared" si="14"/>
        <v>0.35416666666666663</v>
      </c>
      <c r="O74" s="36">
        <v>510</v>
      </c>
      <c r="P74" s="36">
        <f t="shared" si="7"/>
        <v>450</v>
      </c>
      <c r="Q74" s="36">
        <f t="shared" si="8"/>
        <v>450</v>
      </c>
      <c r="R74" s="15">
        <v>0</v>
      </c>
      <c r="S74" s="20">
        <v>0</v>
      </c>
      <c r="T74" s="16">
        <v>0</v>
      </c>
      <c r="U74" s="16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15">
        <f t="shared" si="3"/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20</v>
      </c>
      <c r="AK74" s="15">
        <v>10</v>
      </c>
      <c r="AL74" s="15">
        <v>30</v>
      </c>
      <c r="AM74" s="15">
        <f t="shared" si="4"/>
        <v>60</v>
      </c>
      <c r="AN74" s="29">
        <f t="shared" si="5"/>
        <v>1125</v>
      </c>
      <c r="AO74" s="19">
        <v>900</v>
      </c>
      <c r="AP74" s="21">
        <v>0</v>
      </c>
      <c r="AQ74" s="22">
        <v>0</v>
      </c>
      <c r="AR74" s="26">
        <f t="shared" si="6"/>
        <v>900</v>
      </c>
      <c r="AS74" s="37">
        <f t="shared" si="9"/>
        <v>1</v>
      </c>
      <c r="AT74" s="38">
        <f t="shared" si="10"/>
        <v>0.8</v>
      </c>
      <c r="AU74" s="38">
        <f t="shared" si="11"/>
        <v>1</v>
      </c>
      <c r="AV74" s="27">
        <f t="shared" si="12"/>
        <v>0.8</v>
      </c>
    </row>
    <row r="75" spans="1:48" s="1" customFormat="1" ht="21" customHeight="1" x14ac:dyDescent="0.25">
      <c r="A75" s="109">
        <v>46030</v>
      </c>
      <c r="B75" s="47" t="s">
        <v>49</v>
      </c>
      <c r="C75" s="107" t="s">
        <v>21</v>
      </c>
      <c r="D75" s="47" t="s">
        <v>94</v>
      </c>
      <c r="E75" s="48">
        <v>98992</v>
      </c>
      <c r="F75" s="48" t="s">
        <v>67</v>
      </c>
      <c r="G75" s="48" t="s">
        <v>174</v>
      </c>
      <c r="H75" s="30">
        <v>15126</v>
      </c>
      <c r="I75" s="30"/>
      <c r="J75" s="30">
        <v>24</v>
      </c>
      <c r="K75" s="28">
        <f t="shared" si="1"/>
        <v>150</v>
      </c>
      <c r="L75" s="31">
        <v>0.25</v>
      </c>
      <c r="M75" s="31">
        <v>0.60416666666666663</v>
      </c>
      <c r="N75" s="32">
        <f t="shared" si="14"/>
        <v>0.35416666666666663</v>
      </c>
      <c r="O75" s="36">
        <v>510</v>
      </c>
      <c r="P75" s="36">
        <f t="shared" si="7"/>
        <v>440</v>
      </c>
      <c r="Q75" s="36">
        <f t="shared" si="8"/>
        <v>440</v>
      </c>
      <c r="R75" s="15">
        <v>0</v>
      </c>
      <c r="S75" s="20">
        <v>0</v>
      </c>
      <c r="T75" s="16">
        <v>0</v>
      </c>
      <c r="U75" s="16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15">
        <f t="shared" si="3"/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30</v>
      </c>
      <c r="AK75" s="15">
        <v>10</v>
      </c>
      <c r="AL75" s="15">
        <v>30</v>
      </c>
      <c r="AM75" s="15">
        <f t="shared" si="4"/>
        <v>70</v>
      </c>
      <c r="AN75" s="29">
        <f t="shared" si="5"/>
        <v>1100</v>
      </c>
      <c r="AO75" s="19">
        <v>1000</v>
      </c>
      <c r="AP75" s="21">
        <v>0</v>
      </c>
      <c r="AQ75" s="22">
        <v>0</v>
      </c>
      <c r="AR75" s="26">
        <f t="shared" si="6"/>
        <v>1000</v>
      </c>
      <c r="AS75" s="37">
        <f t="shared" si="9"/>
        <v>1</v>
      </c>
      <c r="AT75" s="38">
        <f t="shared" si="10"/>
        <v>0.90909090909090906</v>
      </c>
      <c r="AU75" s="38">
        <f t="shared" si="11"/>
        <v>1</v>
      </c>
      <c r="AV75" s="27">
        <f t="shared" si="12"/>
        <v>0.90909090909090906</v>
      </c>
    </row>
    <row r="76" spans="1:48" s="1" customFormat="1" ht="24" customHeight="1" x14ac:dyDescent="0.25">
      <c r="A76" s="109">
        <v>46030</v>
      </c>
      <c r="B76" s="47" t="s">
        <v>49</v>
      </c>
      <c r="C76" s="107" t="s">
        <v>21</v>
      </c>
      <c r="D76" s="47" t="s">
        <v>88</v>
      </c>
      <c r="E76" s="48">
        <v>98992</v>
      </c>
      <c r="F76" s="48" t="s">
        <v>126</v>
      </c>
      <c r="G76" s="48" t="s">
        <v>87</v>
      </c>
      <c r="H76" s="30">
        <v>11682</v>
      </c>
      <c r="I76" s="30"/>
      <c r="J76" s="30">
        <v>32</v>
      </c>
      <c r="K76" s="28">
        <f t="shared" ref="K76:K139" si="15">3600/J76</f>
        <v>112.5</v>
      </c>
      <c r="L76" s="31">
        <v>0.25</v>
      </c>
      <c r="M76" s="31">
        <v>0.60416666666666663</v>
      </c>
      <c r="N76" s="32">
        <f t="shared" si="14"/>
        <v>0.35416666666666663</v>
      </c>
      <c r="O76" s="36">
        <v>510</v>
      </c>
      <c r="P76" s="36">
        <f t="shared" si="7"/>
        <v>440</v>
      </c>
      <c r="Q76" s="36">
        <f t="shared" ref="Q76:Q139" si="16">O76-AM76</f>
        <v>440</v>
      </c>
      <c r="R76" s="15">
        <v>0</v>
      </c>
      <c r="S76" s="20">
        <v>0</v>
      </c>
      <c r="T76" s="16">
        <v>0</v>
      </c>
      <c r="U76" s="16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15">
        <f t="shared" si="3"/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30</v>
      </c>
      <c r="AK76" s="15">
        <v>10</v>
      </c>
      <c r="AL76" s="15">
        <v>30</v>
      </c>
      <c r="AM76" s="15">
        <f t="shared" si="4"/>
        <v>70</v>
      </c>
      <c r="AN76" s="29">
        <f t="shared" ref="AN76:AN139" si="17">Q76*(K76/60)</f>
        <v>825</v>
      </c>
      <c r="AO76" s="19">
        <v>751</v>
      </c>
      <c r="AP76" s="21">
        <v>0</v>
      </c>
      <c r="AQ76" s="22">
        <v>0</v>
      </c>
      <c r="AR76" s="26">
        <f t="shared" ref="AR76:AR142" si="18">AO76-(AQ76+AP76)</f>
        <v>751</v>
      </c>
      <c r="AS76" s="37">
        <f t="shared" si="9"/>
        <v>1</v>
      </c>
      <c r="AT76" s="38">
        <f t="shared" si="10"/>
        <v>0.91030303030303028</v>
      </c>
      <c r="AU76" s="38">
        <f t="shared" si="11"/>
        <v>1</v>
      </c>
      <c r="AV76" s="27">
        <f t="shared" si="12"/>
        <v>0.91030303030303028</v>
      </c>
    </row>
    <row r="77" spans="1:48" s="1" customFormat="1" ht="21" customHeight="1" x14ac:dyDescent="0.25">
      <c r="A77" s="109">
        <v>46030</v>
      </c>
      <c r="B77" s="47" t="s">
        <v>49</v>
      </c>
      <c r="C77" s="107" t="s">
        <v>21</v>
      </c>
      <c r="D77" s="47" t="s">
        <v>89</v>
      </c>
      <c r="E77" s="48">
        <v>98992</v>
      </c>
      <c r="F77" s="48" t="s">
        <v>169</v>
      </c>
      <c r="G77" s="48" t="s">
        <v>87</v>
      </c>
      <c r="H77" s="30">
        <v>15727</v>
      </c>
      <c r="I77" s="30"/>
      <c r="J77" s="30">
        <v>32</v>
      </c>
      <c r="K77" s="28">
        <f t="shared" si="15"/>
        <v>112.5</v>
      </c>
      <c r="L77" s="31">
        <v>0.25</v>
      </c>
      <c r="M77" s="31">
        <v>0.60416666666666663</v>
      </c>
      <c r="N77" s="32">
        <f t="shared" si="14"/>
        <v>0.35416666666666663</v>
      </c>
      <c r="O77" s="36">
        <v>510</v>
      </c>
      <c r="P77" s="36">
        <f t="shared" si="7"/>
        <v>440</v>
      </c>
      <c r="Q77" s="36">
        <f t="shared" si="16"/>
        <v>440</v>
      </c>
      <c r="R77" s="15">
        <v>0</v>
      </c>
      <c r="S77" s="20">
        <v>0</v>
      </c>
      <c r="T77" s="16">
        <v>0</v>
      </c>
      <c r="U77" s="16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  <c r="AC77" s="20">
        <v>0</v>
      </c>
      <c r="AD77" s="15">
        <f t="shared" si="3"/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30</v>
      </c>
      <c r="AK77" s="15">
        <v>10</v>
      </c>
      <c r="AL77" s="15">
        <v>30</v>
      </c>
      <c r="AM77" s="15">
        <f t="shared" si="4"/>
        <v>70</v>
      </c>
      <c r="AN77" s="29">
        <f t="shared" si="17"/>
        <v>825</v>
      </c>
      <c r="AO77" s="19">
        <v>651</v>
      </c>
      <c r="AP77" s="21">
        <v>0</v>
      </c>
      <c r="AQ77" s="22">
        <v>0</v>
      </c>
      <c r="AR77" s="26">
        <f t="shared" si="18"/>
        <v>651</v>
      </c>
      <c r="AS77" s="37">
        <f t="shared" si="9"/>
        <v>1</v>
      </c>
      <c r="AT77" s="38">
        <f t="shared" si="10"/>
        <v>0.78909090909090907</v>
      </c>
      <c r="AU77" s="38">
        <f t="shared" si="11"/>
        <v>1</v>
      </c>
      <c r="AV77" s="27">
        <f t="shared" si="12"/>
        <v>0.78909090909090907</v>
      </c>
    </row>
    <row r="78" spans="1:48" s="1" customFormat="1" ht="21" customHeight="1" x14ac:dyDescent="0.25">
      <c r="A78" s="109">
        <v>46030</v>
      </c>
      <c r="B78" s="47" t="s">
        <v>49</v>
      </c>
      <c r="C78" s="107" t="s">
        <v>21</v>
      </c>
      <c r="D78" s="47" t="s">
        <v>52</v>
      </c>
      <c r="E78" s="48">
        <v>98992</v>
      </c>
      <c r="F78" s="48" t="s">
        <v>53</v>
      </c>
      <c r="G78" s="48" t="s">
        <v>87</v>
      </c>
      <c r="H78" s="30">
        <v>16146</v>
      </c>
      <c r="I78" s="30"/>
      <c r="J78" s="30">
        <v>32</v>
      </c>
      <c r="K78" s="28">
        <f t="shared" si="15"/>
        <v>112.5</v>
      </c>
      <c r="L78" s="31">
        <v>0.25</v>
      </c>
      <c r="M78" s="31">
        <v>0.60416666666666663</v>
      </c>
      <c r="N78" s="32">
        <f t="shared" si="14"/>
        <v>0.35416666666666663</v>
      </c>
      <c r="O78" s="36">
        <v>510</v>
      </c>
      <c r="P78" s="36">
        <f t="shared" si="7"/>
        <v>460</v>
      </c>
      <c r="Q78" s="36">
        <f t="shared" si="16"/>
        <v>460</v>
      </c>
      <c r="R78" s="15">
        <v>0</v>
      </c>
      <c r="S78" s="20">
        <v>0</v>
      </c>
      <c r="T78" s="16">
        <v>0</v>
      </c>
      <c r="U78" s="16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15">
        <f t="shared" si="3"/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20</v>
      </c>
      <c r="AK78" s="15">
        <v>10</v>
      </c>
      <c r="AL78" s="15">
        <v>20</v>
      </c>
      <c r="AM78" s="15">
        <f t="shared" si="4"/>
        <v>50</v>
      </c>
      <c r="AN78" s="29">
        <f t="shared" si="17"/>
        <v>862.5</v>
      </c>
      <c r="AO78" s="19">
        <v>745</v>
      </c>
      <c r="AP78" s="21">
        <v>0</v>
      </c>
      <c r="AQ78" s="22">
        <v>1</v>
      </c>
      <c r="AR78" s="26">
        <f t="shared" si="18"/>
        <v>744</v>
      </c>
      <c r="AS78" s="37">
        <f t="shared" si="9"/>
        <v>1</v>
      </c>
      <c r="AT78" s="38">
        <f t="shared" si="10"/>
        <v>0.86376811594202896</v>
      </c>
      <c r="AU78" s="38">
        <f t="shared" si="11"/>
        <v>0.99865771812080539</v>
      </c>
      <c r="AV78" s="27">
        <f t="shared" si="12"/>
        <v>0.86260869565217391</v>
      </c>
    </row>
    <row r="79" spans="1:48" s="1" customFormat="1" ht="21" customHeight="1" x14ac:dyDescent="0.25">
      <c r="A79" s="109">
        <v>46030</v>
      </c>
      <c r="B79" s="47" t="s">
        <v>49</v>
      </c>
      <c r="C79" s="107" t="s">
        <v>21</v>
      </c>
      <c r="D79" s="47" t="s">
        <v>86</v>
      </c>
      <c r="E79" s="48">
        <v>98992</v>
      </c>
      <c r="F79" s="48" t="s">
        <v>176</v>
      </c>
      <c r="G79" s="48" t="s">
        <v>87</v>
      </c>
      <c r="H79" s="30">
        <v>15773</v>
      </c>
      <c r="I79" s="30"/>
      <c r="J79" s="30">
        <v>20</v>
      </c>
      <c r="K79" s="28">
        <f t="shared" si="15"/>
        <v>180</v>
      </c>
      <c r="L79" s="31">
        <v>0.25</v>
      </c>
      <c r="M79" s="31">
        <v>0.60416666666666663</v>
      </c>
      <c r="N79" s="32">
        <f t="shared" si="14"/>
        <v>0.35416666666666663</v>
      </c>
      <c r="O79" s="36">
        <v>510</v>
      </c>
      <c r="P79" s="36">
        <f t="shared" si="7"/>
        <v>180</v>
      </c>
      <c r="Q79" s="36">
        <f t="shared" si="16"/>
        <v>180</v>
      </c>
      <c r="R79" s="15">
        <v>0</v>
      </c>
      <c r="S79" s="20">
        <v>0</v>
      </c>
      <c r="T79" s="16">
        <v>0</v>
      </c>
      <c r="U79" s="16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15">
        <f t="shared" si="3"/>
        <v>0</v>
      </c>
      <c r="AE79" s="15">
        <v>0</v>
      </c>
      <c r="AF79" s="15">
        <v>0</v>
      </c>
      <c r="AG79" s="15">
        <v>0</v>
      </c>
      <c r="AH79" s="15">
        <v>260</v>
      </c>
      <c r="AI79" s="15">
        <v>0</v>
      </c>
      <c r="AJ79" s="15">
        <v>30</v>
      </c>
      <c r="AK79" s="15">
        <v>10</v>
      </c>
      <c r="AL79" s="15">
        <v>30</v>
      </c>
      <c r="AM79" s="15">
        <f t="shared" si="4"/>
        <v>330</v>
      </c>
      <c r="AN79" s="29">
        <f t="shared" si="17"/>
        <v>540</v>
      </c>
      <c r="AO79" s="19">
        <v>408</v>
      </c>
      <c r="AP79" s="21">
        <v>0</v>
      </c>
      <c r="AQ79" s="22">
        <v>0</v>
      </c>
      <c r="AR79" s="26">
        <f t="shared" si="18"/>
        <v>408</v>
      </c>
      <c r="AS79" s="37">
        <f t="shared" ref="AS79:AS142" si="19">P79/Q79</f>
        <v>1</v>
      </c>
      <c r="AT79" s="38">
        <f t="shared" ref="AT79:AT142" si="20">AO79/AN79</f>
        <v>0.75555555555555554</v>
      </c>
      <c r="AU79" s="38">
        <f t="shared" ref="AU79:AU142" si="21">AR79/AO79</f>
        <v>1</v>
      </c>
      <c r="AV79" s="27">
        <f t="shared" ref="AV79:AV142" si="22">AS79*AT79*AU79</f>
        <v>0.75555555555555554</v>
      </c>
    </row>
    <row r="80" spans="1:48" s="1" customFormat="1" ht="21" customHeight="1" x14ac:dyDescent="0.25">
      <c r="A80" s="109">
        <v>46030</v>
      </c>
      <c r="B80" s="47" t="s">
        <v>49</v>
      </c>
      <c r="C80" s="107" t="s">
        <v>21</v>
      </c>
      <c r="D80" s="47" t="s">
        <v>172</v>
      </c>
      <c r="E80" s="48">
        <v>98992</v>
      </c>
      <c r="F80" s="48" t="s">
        <v>175</v>
      </c>
      <c r="G80" s="48" t="s">
        <v>87</v>
      </c>
      <c r="H80" s="30">
        <v>15838</v>
      </c>
      <c r="I80" s="30"/>
      <c r="J80" s="30">
        <v>20</v>
      </c>
      <c r="K80" s="28">
        <f t="shared" si="15"/>
        <v>180</v>
      </c>
      <c r="L80" s="31">
        <v>0.25</v>
      </c>
      <c r="M80" s="31">
        <v>0.60416666666666663</v>
      </c>
      <c r="N80" s="32">
        <f t="shared" si="14"/>
        <v>0.35416666666666663</v>
      </c>
      <c r="O80" s="36">
        <v>510</v>
      </c>
      <c r="P80" s="36">
        <f t="shared" si="7"/>
        <v>190</v>
      </c>
      <c r="Q80" s="36">
        <f t="shared" si="16"/>
        <v>190</v>
      </c>
      <c r="R80" s="15">
        <v>0</v>
      </c>
      <c r="S80" s="20">
        <v>0</v>
      </c>
      <c r="T80" s="16">
        <v>0</v>
      </c>
      <c r="U80" s="16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15">
        <f t="shared" si="3"/>
        <v>0</v>
      </c>
      <c r="AE80" s="15">
        <v>0</v>
      </c>
      <c r="AF80" s="15">
        <v>0</v>
      </c>
      <c r="AG80" s="15">
        <v>0</v>
      </c>
      <c r="AH80" s="15">
        <v>250</v>
      </c>
      <c r="AI80" s="15">
        <v>0</v>
      </c>
      <c r="AJ80" s="15">
        <v>30</v>
      </c>
      <c r="AK80" s="15">
        <v>10</v>
      </c>
      <c r="AL80" s="15">
        <v>30</v>
      </c>
      <c r="AM80" s="15">
        <f t="shared" si="4"/>
        <v>320</v>
      </c>
      <c r="AN80" s="29">
        <f t="shared" si="17"/>
        <v>570</v>
      </c>
      <c r="AO80" s="19">
        <v>494</v>
      </c>
      <c r="AP80" s="21">
        <v>0</v>
      </c>
      <c r="AQ80" s="22">
        <v>1</v>
      </c>
      <c r="AR80" s="26">
        <f t="shared" si="18"/>
        <v>493</v>
      </c>
      <c r="AS80" s="37">
        <f t="shared" si="19"/>
        <v>1</v>
      </c>
      <c r="AT80" s="38">
        <f t="shared" si="20"/>
        <v>0.8666666666666667</v>
      </c>
      <c r="AU80" s="38">
        <f t="shared" si="21"/>
        <v>0.99797570850202433</v>
      </c>
      <c r="AV80" s="27">
        <f t="shared" si="22"/>
        <v>0.86491228070175441</v>
      </c>
    </row>
    <row r="81" spans="1:48" s="1" customFormat="1" ht="21" customHeight="1" x14ac:dyDescent="0.25">
      <c r="A81" s="109">
        <v>46030</v>
      </c>
      <c r="B81" s="47" t="s">
        <v>49</v>
      </c>
      <c r="C81" s="107" t="s">
        <v>21</v>
      </c>
      <c r="D81" s="47" t="s">
        <v>124</v>
      </c>
      <c r="E81" s="48">
        <v>98992</v>
      </c>
      <c r="F81" s="48" t="s">
        <v>215</v>
      </c>
      <c r="G81" s="48" t="s">
        <v>125</v>
      </c>
      <c r="H81" s="30">
        <v>14972</v>
      </c>
      <c r="I81" s="30"/>
      <c r="J81" s="30">
        <v>32</v>
      </c>
      <c r="K81" s="28">
        <f t="shared" si="15"/>
        <v>112.5</v>
      </c>
      <c r="L81" s="31">
        <v>0.25</v>
      </c>
      <c r="M81" s="31">
        <v>0.60416666666666663</v>
      </c>
      <c r="N81" s="32">
        <f t="shared" si="14"/>
        <v>0.35416666666666663</v>
      </c>
      <c r="O81" s="36">
        <v>510</v>
      </c>
      <c r="P81" s="36">
        <f t="shared" si="7"/>
        <v>220</v>
      </c>
      <c r="Q81" s="36">
        <f t="shared" si="16"/>
        <v>220</v>
      </c>
      <c r="R81" s="15">
        <v>0</v>
      </c>
      <c r="S81" s="20">
        <v>0</v>
      </c>
      <c r="T81" s="16">
        <v>0</v>
      </c>
      <c r="U81" s="16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D81" s="15">
        <f t="shared" si="3"/>
        <v>0</v>
      </c>
      <c r="AE81" s="15">
        <v>0</v>
      </c>
      <c r="AF81" s="15">
        <v>0</v>
      </c>
      <c r="AG81" s="15">
        <v>0</v>
      </c>
      <c r="AH81" s="15">
        <v>220</v>
      </c>
      <c r="AI81" s="15">
        <v>0</v>
      </c>
      <c r="AJ81" s="15">
        <v>30</v>
      </c>
      <c r="AK81" s="15">
        <v>10</v>
      </c>
      <c r="AL81" s="15">
        <v>30</v>
      </c>
      <c r="AM81" s="15">
        <f t="shared" si="4"/>
        <v>290</v>
      </c>
      <c r="AN81" s="29">
        <f t="shared" si="17"/>
        <v>412.5</v>
      </c>
      <c r="AO81" s="19">
        <v>370</v>
      </c>
      <c r="AP81" s="21">
        <v>0</v>
      </c>
      <c r="AQ81" s="22">
        <v>0</v>
      </c>
      <c r="AR81" s="26">
        <f t="shared" si="18"/>
        <v>370</v>
      </c>
      <c r="AS81" s="37">
        <f t="shared" si="19"/>
        <v>1</v>
      </c>
      <c r="AT81" s="38">
        <f t="shared" si="20"/>
        <v>0.89696969696969697</v>
      </c>
      <c r="AU81" s="38">
        <f t="shared" si="21"/>
        <v>1</v>
      </c>
      <c r="AV81" s="27">
        <f t="shared" si="22"/>
        <v>0.89696969696969697</v>
      </c>
    </row>
    <row r="82" spans="1:48" s="1" customFormat="1" ht="21" customHeight="1" x14ac:dyDescent="0.25">
      <c r="A82" s="109">
        <v>46030</v>
      </c>
      <c r="B82" s="47" t="s">
        <v>49</v>
      </c>
      <c r="C82" s="107" t="s">
        <v>21</v>
      </c>
      <c r="D82" s="47" t="s">
        <v>122</v>
      </c>
      <c r="E82" s="48">
        <v>98992</v>
      </c>
      <c r="F82" s="48" t="s">
        <v>169</v>
      </c>
      <c r="G82" s="48" t="s">
        <v>125</v>
      </c>
      <c r="H82" s="30">
        <v>15676</v>
      </c>
      <c r="I82" s="30"/>
      <c r="J82" s="30">
        <v>32</v>
      </c>
      <c r="K82" s="28">
        <f t="shared" si="15"/>
        <v>112.5</v>
      </c>
      <c r="L82" s="31">
        <v>0.25</v>
      </c>
      <c r="M82" s="31">
        <v>0.60416666666666663</v>
      </c>
      <c r="N82" s="32">
        <f t="shared" si="14"/>
        <v>0.35416666666666663</v>
      </c>
      <c r="O82" s="36">
        <v>510</v>
      </c>
      <c r="P82" s="36">
        <f t="shared" si="7"/>
        <v>440</v>
      </c>
      <c r="Q82" s="36">
        <f t="shared" si="16"/>
        <v>440</v>
      </c>
      <c r="R82" s="15">
        <v>0</v>
      </c>
      <c r="S82" s="20">
        <v>0</v>
      </c>
      <c r="T82" s="16">
        <v>0</v>
      </c>
      <c r="U82" s="16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15">
        <f t="shared" si="3"/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30</v>
      </c>
      <c r="AK82" s="15">
        <v>10</v>
      </c>
      <c r="AL82" s="15">
        <v>30</v>
      </c>
      <c r="AM82" s="15">
        <f t="shared" si="4"/>
        <v>70</v>
      </c>
      <c r="AN82" s="29">
        <f t="shared" si="17"/>
        <v>825</v>
      </c>
      <c r="AO82" s="19">
        <v>702</v>
      </c>
      <c r="AP82" s="21">
        <v>0</v>
      </c>
      <c r="AQ82" s="22">
        <v>0</v>
      </c>
      <c r="AR82" s="26">
        <f t="shared" si="18"/>
        <v>702</v>
      </c>
      <c r="AS82" s="37">
        <f t="shared" si="19"/>
        <v>1</v>
      </c>
      <c r="AT82" s="38">
        <f t="shared" si="20"/>
        <v>0.85090909090909095</v>
      </c>
      <c r="AU82" s="38">
        <f t="shared" si="21"/>
        <v>1</v>
      </c>
      <c r="AV82" s="27">
        <f t="shared" si="22"/>
        <v>0.85090909090909095</v>
      </c>
    </row>
    <row r="83" spans="1:48" s="1" customFormat="1" ht="21" customHeight="1" x14ac:dyDescent="0.25">
      <c r="A83" s="109">
        <v>46030</v>
      </c>
      <c r="B83" s="47" t="s">
        <v>49</v>
      </c>
      <c r="C83" s="107" t="s">
        <v>21</v>
      </c>
      <c r="D83" s="47" t="s">
        <v>128</v>
      </c>
      <c r="E83" s="48">
        <v>98992</v>
      </c>
      <c r="F83" s="48" t="s">
        <v>53</v>
      </c>
      <c r="G83" s="48" t="s">
        <v>125</v>
      </c>
      <c r="H83" s="30">
        <v>14976</v>
      </c>
      <c r="I83" s="30"/>
      <c r="J83" s="30">
        <v>32</v>
      </c>
      <c r="K83" s="28">
        <f t="shared" si="15"/>
        <v>112.5</v>
      </c>
      <c r="L83" s="31">
        <v>0.25</v>
      </c>
      <c r="M83" s="31">
        <v>0.60416666666666663</v>
      </c>
      <c r="N83" s="32">
        <f t="shared" si="14"/>
        <v>0.35416666666666663</v>
      </c>
      <c r="O83" s="36">
        <v>510</v>
      </c>
      <c r="P83" s="36">
        <f t="shared" si="7"/>
        <v>320</v>
      </c>
      <c r="Q83" s="36">
        <f t="shared" si="16"/>
        <v>320</v>
      </c>
      <c r="R83" s="15">
        <v>0</v>
      </c>
      <c r="S83" s="20">
        <v>0</v>
      </c>
      <c r="T83" s="16">
        <v>0</v>
      </c>
      <c r="U83" s="16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15">
        <f t="shared" si="3"/>
        <v>0</v>
      </c>
      <c r="AE83" s="15">
        <v>0</v>
      </c>
      <c r="AF83" s="15">
        <v>0</v>
      </c>
      <c r="AG83" s="15">
        <v>0</v>
      </c>
      <c r="AH83" s="15">
        <v>120</v>
      </c>
      <c r="AI83" s="15">
        <v>0</v>
      </c>
      <c r="AJ83" s="15">
        <v>30</v>
      </c>
      <c r="AK83" s="15">
        <v>10</v>
      </c>
      <c r="AL83" s="15">
        <v>30</v>
      </c>
      <c r="AM83" s="15">
        <f t="shared" si="4"/>
        <v>190</v>
      </c>
      <c r="AN83" s="29">
        <f t="shared" si="17"/>
        <v>600</v>
      </c>
      <c r="AO83" s="19">
        <v>563</v>
      </c>
      <c r="AP83" s="21">
        <v>0</v>
      </c>
      <c r="AQ83" s="22">
        <v>0</v>
      </c>
      <c r="AR83" s="26">
        <f t="shared" si="18"/>
        <v>563</v>
      </c>
      <c r="AS83" s="37">
        <f t="shared" si="19"/>
        <v>1</v>
      </c>
      <c r="AT83" s="38">
        <f t="shared" si="20"/>
        <v>0.93833333333333335</v>
      </c>
      <c r="AU83" s="38">
        <f t="shared" si="21"/>
        <v>1</v>
      </c>
      <c r="AV83" s="27">
        <f t="shared" si="22"/>
        <v>0.93833333333333335</v>
      </c>
    </row>
    <row r="84" spans="1:48" s="1" customFormat="1" ht="21" customHeight="1" x14ac:dyDescent="0.25">
      <c r="A84" s="109">
        <v>46030</v>
      </c>
      <c r="B84" s="47" t="s">
        <v>49</v>
      </c>
      <c r="C84" s="107" t="s">
        <v>21</v>
      </c>
      <c r="D84" s="47" t="s">
        <v>170</v>
      </c>
      <c r="E84" s="48">
        <v>98992</v>
      </c>
      <c r="F84" s="48" t="s">
        <v>176</v>
      </c>
      <c r="G84" s="48" t="s">
        <v>125</v>
      </c>
      <c r="H84" s="30">
        <v>15773</v>
      </c>
      <c r="I84" s="30"/>
      <c r="J84" s="30">
        <v>20</v>
      </c>
      <c r="K84" s="28">
        <f t="shared" si="15"/>
        <v>180</v>
      </c>
      <c r="L84" s="31">
        <v>0.25</v>
      </c>
      <c r="M84" s="31">
        <v>0.60416666666666663</v>
      </c>
      <c r="N84" s="32">
        <f t="shared" si="14"/>
        <v>0.35416666666666663</v>
      </c>
      <c r="O84" s="36">
        <v>510</v>
      </c>
      <c r="P84" s="36">
        <f t="shared" si="7"/>
        <v>220</v>
      </c>
      <c r="Q84" s="36">
        <f t="shared" si="16"/>
        <v>220</v>
      </c>
      <c r="R84" s="15">
        <v>0</v>
      </c>
      <c r="S84" s="20">
        <v>0</v>
      </c>
      <c r="T84" s="16">
        <v>0</v>
      </c>
      <c r="U84" s="16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15">
        <f t="shared" si="3"/>
        <v>0</v>
      </c>
      <c r="AE84" s="15">
        <v>0</v>
      </c>
      <c r="AF84" s="15">
        <v>0</v>
      </c>
      <c r="AG84" s="15">
        <v>0</v>
      </c>
      <c r="AH84" s="15">
        <v>220</v>
      </c>
      <c r="AI84" s="15">
        <v>0</v>
      </c>
      <c r="AJ84" s="15">
        <v>30</v>
      </c>
      <c r="AK84" s="15">
        <v>10</v>
      </c>
      <c r="AL84" s="15">
        <v>30</v>
      </c>
      <c r="AM84" s="15">
        <f t="shared" si="4"/>
        <v>290</v>
      </c>
      <c r="AN84" s="29">
        <f t="shared" si="17"/>
        <v>660</v>
      </c>
      <c r="AO84" s="19">
        <v>516</v>
      </c>
      <c r="AP84" s="21">
        <v>0</v>
      </c>
      <c r="AQ84" s="22">
        <v>0</v>
      </c>
      <c r="AR84" s="26">
        <f t="shared" si="18"/>
        <v>516</v>
      </c>
      <c r="AS84" s="37">
        <f t="shared" si="19"/>
        <v>1</v>
      </c>
      <c r="AT84" s="38">
        <f t="shared" si="20"/>
        <v>0.78181818181818186</v>
      </c>
      <c r="AU84" s="38">
        <f t="shared" si="21"/>
        <v>1</v>
      </c>
      <c r="AV84" s="27">
        <f t="shared" si="22"/>
        <v>0.78181818181818186</v>
      </c>
    </row>
    <row r="85" spans="1:48" s="1" customFormat="1" ht="21" customHeight="1" x14ac:dyDescent="0.25">
      <c r="A85" s="109">
        <v>46030</v>
      </c>
      <c r="B85" s="47" t="s">
        <v>49</v>
      </c>
      <c r="C85" s="107" t="s">
        <v>21</v>
      </c>
      <c r="D85" s="47" t="s">
        <v>127</v>
      </c>
      <c r="E85" s="48">
        <v>98992</v>
      </c>
      <c r="F85" s="48" t="s">
        <v>175</v>
      </c>
      <c r="G85" s="48" t="s">
        <v>125</v>
      </c>
      <c r="H85" s="30">
        <v>15837</v>
      </c>
      <c r="I85" s="30"/>
      <c r="J85" s="30">
        <v>20</v>
      </c>
      <c r="K85" s="28">
        <f t="shared" si="15"/>
        <v>180</v>
      </c>
      <c r="L85" s="31">
        <v>0.25</v>
      </c>
      <c r="M85" s="31">
        <v>0.60416666666666663</v>
      </c>
      <c r="N85" s="32">
        <f t="shared" si="14"/>
        <v>0.35416666666666663</v>
      </c>
      <c r="O85" s="36">
        <v>510</v>
      </c>
      <c r="P85" s="36">
        <f t="shared" si="7"/>
        <v>240</v>
      </c>
      <c r="Q85" s="36">
        <f t="shared" si="16"/>
        <v>240</v>
      </c>
      <c r="R85" s="15">
        <v>0</v>
      </c>
      <c r="S85" s="20">
        <v>0</v>
      </c>
      <c r="T85" s="16">
        <v>0</v>
      </c>
      <c r="U85" s="16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15">
        <f t="shared" si="3"/>
        <v>0</v>
      </c>
      <c r="AE85" s="15">
        <v>0</v>
      </c>
      <c r="AF85" s="15">
        <v>0</v>
      </c>
      <c r="AG85" s="15">
        <v>0</v>
      </c>
      <c r="AH85" s="15">
        <v>200</v>
      </c>
      <c r="AI85" s="15">
        <v>0</v>
      </c>
      <c r="AJ85" s="15">
        <v>30</v>
      </c>
      <c r="AK85" s="15">
        <v>10</v>
      </c>
      <c r="AL85" s="15">
        <v>30</v>
      </c>
      <c r="AM85" s="15">
        <f t="shared" si="4"/>
        <v>270</v>
      </c>
      <c r="AN85" s="29">
        <f t="shared" si="17"/>
        <v>720</v>
      </c>
      <c r="AO85" s="19">
        <v>612</v>
      </c>
      <c r="AP85" s="21">
        <v>0</v>
      </c>
      <c r="AQ85" s="22">
        <v>0</v>
      </c>
      <c r="AR85" s="26">
        <f t="shared" si="18"/>
        <v>612</v>
      </c>
      <c r="AS85" s="37">
        <f t="shared" si="19"/>
        <v>1</v>
      </c>
      <c r="AT85" s="38">
        <f t="shared" si="20"/>
        <v>0.85</v>
      </c>
      <c r="AU85" s="38">
        <f t="shared" si="21"/>
        <v>1</v>
      </c>
      <c r="AV85" s="27">
        <f t="shared" si="22"/>
        <v>0.85</v>
      </c>
    </row>
    <row r="86" spans="1:48" s="1" customFormat="1" ht="21" customHeight="1" x14ac:dyDescent="0.25">
      <c r="A86" s="109">
        <v>46030</v>
      </c>
      <c r="B86" s="47" t="s">
        <v>49</v>
      </c>
      <c r="C86" s="107" t="s">
        <v>51</v>
      </c>
      <c r="D86" s="47" t="s">
        <v>94</v>
      </c>
      <c r="E86" s="48">
        <v>98992</v>
      </c>
      <c r="F86" s="48" t="s">
        <v>67</v>
      </c>
      <c r="G86" s="48" t="s">
        <v>174</v>
      </c>
      <c r="H86" s="30">
        <v>13562</v>
      </c>
      <c r="I86" s="30"/>
      <c r="J86" s="30">
        <v>26</v>
      </c>
      <c r="K86" s="28">
        <f t="shared" si="15"/>
        <v>138.46153846153845</v>
      </c>
      <c r="L86" s="31">
        <v>0.58333333333333337</v>
      </c>
      <c r="M86" s="31">
        <v>0.9375</v>
      </c>
      <c r="N86" s="32">
        <f t="shared" si="14"/>
        <v>0.35416666666666663</v>
      </c>
      <c r="O86" s="36">
        <v>510</v>
      </c>
      <c r="P86" s="36">
        <f t="shared" si="7"/>
        <v>440</v>
      </c>
      <c r="Q86" s="36">
        <f t="shared" si="16"/>
        <v>440</v>
      </c>
      <c r="R86" s="15">
        <v>0</v>
      </c>
      <c r="S86" s="20">
        <v>0</v>
      </c>
      <c r="T86" s="16">
        <v>0</v>
      </c>
      <c r="U86" s="16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15">
        <f t="shared" si="3"/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30</v>
      </c>
      <c r="AK86" s="15">
        <v>10</v>
      </c>
      <c r="AL86" s="15">
        <v>30</v>
      </c>
      <c r="AM86" s="15">
        <f t="shared" si="4"/>
        <v>70</v>
      </c>
      <c r="AN86" s="29">
        <f t="shared" si="17"/>
        <v>1015.3846153846152</v>
      </c>
      <c r="AO86" s="19">
        <v>780</v>
      </c>
      <c r="AP86" s="21">
        <v>0</v>
      </c>
      <c r="AQ86" s="22">
        <v>0</v>
      </c>
      <c r="AR86" s="26">
        <f t="shared" si="18"/>
        <v>780</v>
      </c>
      <c r="AS86" s="37">
        <f t="shared" si="19"/>
        <v>1</v>
      </c>
      <c r="AT86" s="38">
        <f t="shared" si="20"/>
        <v>0.7681818181818183</v>
      </c>
      <c r="AU86" s="38">
        <f t="shared" si="21"/>
        <v>1</v>
      </c>
      <c r="AV86" s="27">
        <f t="shared" si="22"/>
        <v>0.7681818181818183</v>
      </c>
    </row>
    <row r="87" spans="1:48" s="1" customFormat="1" ht="21" customHeight="1" x14ac:dyDescent="0.25">
      <c r="A87" s="109">
        <v>46030</v>
      </c>
      <c r="B87" s="47" t="s">
        <v>49</v>
      </c>
      <c r="C87" s="107" t="s">
        <v>51</v>
      </c>
      <c r="D87" s="47" t="s">
        <v>88</v>
      </c>
      <c r="E87" s="48">
        <v>98992</v>
      </c>
      <c r="F87" s="48" t="s">
        <v>126</v>
      </c>
      <c r="G87" s="48" t="s">
        <v>87</v>
      </c>
      <c r="H87" s="30">
        <v>13106</v>
      </c>
      <c r="I87" s="30"/>
      <c r="J87" s="30">
        <v>32</v>
      </c>
      <c r="K87" s="28">
        <f t="shared" si="15"/>
        <v>112.5</v>
      </c>
      <c r="L87" s="31">
        <v>0.58333333333333337</v>
      </c>
      <c r="M87" s="31">
        <v>0.9375</v>
      </c>
      <c r="N87" s="32">
        <f t="shared" si="14"/>
        <v>0.35416666666666663</v>
      </c>
      <c r="O87" s="36">
        <v>510</v>
      </c>
      <c r="P87" s="36">
        <f t="shared" si="7"/>
        <v>440</v>
      </c>
      <c r="Q87" s="36">
        <f t="shared" si="16"/>
        <v>440</v>
      </c>
      <c r="R87" s="15">
        <v>0</v>
      </c>
      <c r="S87" s="20">
        <v>0</v>
      </c>
      <c r="T87" s="16">
        <v>0</v>
      </c>
      <c r="U87" s="16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15">
        <f t="shared" si="3"/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30</v>
      </c>
      <c r="AK87" s="15">
        <v>10</v>
      </c>
      <c r="AL87" s="15">
        <v>30</v>
      </c>
      <c r="AM87" s="15">
        <f t="shared" si="4"/>
        <v>70</v>
      </c>
      <c r="AN87" s="29">
        <f t="shared" si="17"/>
        <v>825</v>
      </c>
      <c r="AO87" s="19">
        <v>680</v>
      </c>
      <c r="AP87" s="21">
        <v>0</v>
      </c>
      <c r="AQ87" s="22">
        <v>0</v>
      </c>
      <c r="AR87" s="26">
        <f t="shared" si="18"/>
        <v>680</v>
      </c>
      <c r="AS87" s="37">
        <f t="shared" si="19"/>
        <v>1</v>
      </c>
      <c r="AT87" s="38">
        <f t="shared" si="20"/>
        <v>0.82424242424242422</v>
      </c>
      <c r="AU87" s="38">
        <f t="shared" si="21"/>
        <v>1</v>
      </c>
      <c r="AV87" s="27">
        <f t="shared" si="22"/>
        <v>0.82424242424242422</v>
      </c>
    </row>
    <row r="88" spans="1:48" s="1" customFormat="1" ht="21" customHeight="1" x14ac:dyDescent="0.25">
      <c r="A88" s="109">
        <v>46030</v>
      </c>
      <c r="B88" s="47" t="s">
        <v>49</v>
      </c>
      <c r="C88" s="107" t="s">
        <v>51</v>
      </c>
      <c r="D88" s="47" t="s">
        <v>89</v>
      </c>
      <c r="E88" s="48">
        <v>98992</v>
      </c>
      <c r="F88" s="48" t="s">
        <v>169</v>
      </c>
      <c r="G88" s="48" t="s">
        <v>87</v>
      </c>
      <c r="H88" s="30">
        <v>16219</v>
      </c>
      <c r="I88" s="30"/>
      <c r="J88" s="30">
        <v>32</v>
      </c>
      <c r="K88" s="28">
        <f t="shared" si="15"/>
        <v>112.5</v>
      </c>
      <c r="L88" s="31">
        <v>0.58333333333333337</v>
      </c>
      <c r="M88" s="31">
        <v>0.9375</v>
      </c>
      <c r="N88" s="32">
        <f t="shared" si="14"/>
        <v>0.35416666666666663</v>
      </c>
      <c r="O88" s="36">
        <v>510</v>
      </c>
      <c r="P88" s="36">
        <f t="shared" si="7"/>
        <v>440</v>
      </c>
      <c r="Q88" s="36">
        <f t="shared" si="16"/>
        <v>440</v>
      </c>
      <c r="R88" s="15">
        <v>0</v>
      </c>
      <c r="S88" s="20">
        <v>0</v>
      </c>
      <c r="T88" s="16">
        <v>0</v>
      </c>
      <c r="U88" s="16">
        <v>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15">
        <f t="shared" si="3"/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30</v>
      </c>
      <c r="AK88" s="15">
        <v>10</v>
      </c>
      <c r="AL88" s="15">
        <v>30</v>
      </c>
      <c r="AM88" s="15">
        <f t="shared" si="4"/>
        <v>70</v>
      </c>
      <c r="AN88" s="29">
        <f t="shared" si="17"/>
        <v>825</v>
      </c>
      <c r="AO88" s="19">
        <v>564</v>
      </c>
      <c r="AP88" s="21">
        <v>0</v>
      </c>
      <c r="AQ88" s="22">
        <v>0</v>
      </c>
      <c r="AR88" s="26">
        <f t="shared" si="18"/>
        <v>564</v>
      </c>
      <c r="AS88" s="37">
        <f t="shared" si="19"/>
        <v>1</v>
      </c>
      <c r="AT88" s="38">
        <f t="shared" si="20"/>
        <v>0.6836363636363636</v>
      </c>
      <c r="AU88" s="38">
        <f t="shared" si="21"/>
        <v>1</v>
      </c>
      <c r="AV88" s="27">
        <f t="shared" si="22"/>
        <v>0.6836363636363636</v>
      </c>
    </row>
    <row r="89" spans="1:48" s="1" customFormat="1" ht="21" customHeight="1" x14ac:dyDescent="0.25">
      <c r="A89" s="109">
        <v>46030</v>
      </c>
      <c r="B89" s="47" t="s">
        <v>49</v>
      </c>
      <c r="C89" s="107" t="s">
        <v>51</v>
      </c>
      <c r="D89" s="47" t="s">
        <v>52</v>
      </c>
      <c r="E89" s="48">
        <v>98992</v>
      </c>
      <c r="F89" s="48" t="s">
        <v>53</v>
      </c>
      <c r="G89" s="48" t="s">
        <v>87</v>
      </c>
      <c r="H89" s="30">
        <v>15710</v>
      </c>
      <c r="I89" s="30"/>
      <c r="J89" s="30">
        <v>32</v>
      </c>
      <c r="K89" s="28">
        <f t="shared" si="15"/>
        <v>112.5</v>
      </c>
      <c r="L89" s="31">
        <v>0.58333333333333337</v>
      </c>
      <c r="M89" s="31">
        <v>0.9375</v>
      </c>
      <c r="N89" s="32">
        <f t="shared" si="14"/>
        <v>0.35416666666666663</v>
      </c>
      <c r="O89" s="36">
        <v>510</v>
      </c>
      <c r="P89" s="36">
        <f t="shared" si="7"/>
        <v>320</v>
      </c>
      <c r="Q89" s="36">
        <f t="shared" si="16"/>
        <v>320</v>
      </c>
      <c r="R89" s="15">
        <v>0</v>
      </c>
      <c r="S89" s="20">
        <v>0</v>
      </c>
      <c r="T89" s="16">
        <v>0</v>
      </c>
      <c r="U89" s="16">
        <v>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15">
        <f t="shared" si="3"/>
        <v>0</v>
      </c>
      <c r="AE89" s="15">
        <v>0</v>
      </c>
      <c r="AF89" s="15">
        <v>0</v>
      </c>
      <c r="AG89" s="15">
        <v>0</v>
      </c>
      <c r="AH89" s="15">
        <v>120</v>
      </c>
      <c r="AI89" s="15">
        <v>0</v>
      </c>
      <c r="AJ89" s="15">
        <v>30</v>
      </c>
      <c r="AK89" s="15">
        <v>10</v>
      </c>
      <c r="AL89" s="15">
        <v>30</v>
      </c>
      <c r="AM89" s="15">
        <f t="shared" si="4"/>
        <v>190</v>
      </c>
      <c r="AN89" s="29">
        <f t="shared" si="17"/>
        <v>600</v>
      </c>
      <c r="AO89" s="19">
        <v>560</v>
      </c>
      <c r="AP89" s="21">
        <v>0</v>
      </c>
      <c r="AQ89" s="22">
        <v>0</v>
      </c>
      <c r="AR89" s="26">
        <f t="shared" si="18"/>
        <v>560</v>
      </c>
      <c r="AS89" s="37">
        <f t="shared" si="19"/>
        <v>1</v>
      </c>
      <c r="AT89" s="38">
        <f t="shared" si="20"/>
        <v>0.93333333333333335</v>
      </c>
      <c r="AU89" s="38">
        <f t="shared" si="21"/>
        <v>1</v>
      </c>
      <c r="AV89" s="27">
        <f t="shared" si="22"/>
        <v>0.93333333333333335</v>
      </c>
    </row>
    <row r="90" spans="1:48" s="1" customFormat="1" ht="21" customHeight="1" x14ac:dyDescent="0.25">
      <c r="A90" s="109">
        <v>46030</v>
      </c>
      <c r="B90" s="47" t="s">
        <v>49</v>
      </c>
      <c r="C90" s="107" t="s">
        <v>51</v>
      </c>
      <c r="D90" s="47" t="s">
        <v>86</v>
      </c>
      <c r="E90" s="48">
        <v>98992</v>
      </c>
      <c r="F90" s="48" t="s">
        <v>176</v>
      </c>
      <c r="G90" s="48" t="s">
        <v>87</v>
      </c>
      <c r="H90" s="30">
        <v>16146</v>
      </c>
      <c r="I90" s="30"/>
      <c r="J90" s="30">
        <v>20</v>
      </c>
      <c r="K90" s="28">
        <f t="shared" si="15"/>
        <v>180</v>
      </c>
      <c r="L90" s="31">
        <v>0.58333333333333337</v>
      </c>
      <c r="M90" s="31">
        <v>0.9375</v>
      </c>
      <c r="N90" s="32">
        <f t="shared" si="14"/>
        <v>0.35416666666666663</v>
      </c>
      <c r="O90" s="36">
        <v>510</v>
      </c>
      <c r="P90" s="36">
        <f t="shared" si="7"/>
        <v>320</v>
      </c>
      <c r="Q90" s="36">
        <f t="shared" si="16"/>
        <v>320</v>
      </c>
      <c r="R90" s="15">
        <v>0</v>
      </c>
      <c r="S90" s="20">
        <v>0</v>
      </c>
      <c r="T90" s="16">
        <v>0</v>
      </c>
      <c r="U90" s="16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15">
        <f t="shared" si="3"/>
        <v>0</v>
      </c>
      <c r="AE90" s="15">
        <v>0</v>
      </c>
      <c r="AF90" s="15">
        <v>0</v>
      </c>
      <c r="AG90" s="15">
        <v>0</v>
      </c>
      <c r="AH90" s="15">
        <v>120</v>
      </c>
      <c r="AI90" s="15">
        <v>0</v>
      </c>
      <c r="AJ90" s="15">
        <v>30</v>
      </c>
      <c r="AK90" s="15">
        <v>10</v>
      </c>
      <c r="AL90" s="15">
        <v>30</v>
      </c>
      <c r="AM90" s="15">
        <f t="shared" si="4"/>
        <v>190</v>
      </c>
      <c r="AN90" s="29">
        <f t="shared" si="17"/>
        <v>960</v>
      </c>
      <c r="AO90" s="19">
        <v>732</v>
      </c>
      <c r="AP90" s="21">
        <v>0</v>
      </c>
      <c r="AQ90" s="22">
        <v>0</v>
      </c>
      <c r="AR90" s="26">
        <f t="shared" si="18"/>
        <v>732</v>
      </c>
      <c r="AS90" s="37">
        <f t="shared" si="19"/>
        <v>1</v>
      </c>
      <c r="AT90" s="38">
        <f t="shared" si="20"/>
        <v>0.76249999999999996</v>
      </c>
      <c r="AU90" s="38">
        <f t="shared" si="21"/>
        <v>1</v>
      </c>
      <c r="AV90" s="27">
        <f t="shared" si="22"/>
        <v>0.76249999999999996</v>
      </c>
    </row>
    <row r="91" spans="1:48" s="1" customFormat="1" ht="21" customHeight="1" x14ac:dyDescent="0.25">
      <c r="A91" s="109">
        <v>46030</v>
      </c>
      <c r="B91" s="47" t="s">
        <v>49</v>
      </c>
      <c r="C91" s="107" t="s">
        <v>51</v>
      </c>
      <c r="D91" s="47" t="s">
        <v>124</v>
      </c>
      <c r="E91" s="48">
        <v>98992</v>
      </c>
      <c r="F91" s="48" t="s">
        <v>215</v>
      </c>
      <c r="G91" s="48" t="s">
        <v>125</v>
      </c>
      <c r="H91" s="30">
        <v>13105</v>
      </c>
      <c r="I91" s="30"/>
      <c r="J91" s="30">
        <v>32</v>
      </c>
      <c r="K91" s="28">
        <f t="shared" si="15"/>
        <v>112.5</v>
      </c>
      <c r="L91" s="31">
        <v>0.58333333333333337</v>
      </c>
      <c r="M91" s="31">
        <v>0.9375</v>
      </c>
      <c r="N91" s="32">
        <f t="shared" si="14"/>
        <v>0.35416666666666663</v>
      </c>
      <c r="O91" s="36">
        <v>510</v>
      </c>
      <c r="P91" s="36">
        <f t="shared" si="7"/>
        <v>320</v>
      </c>
      <c r="Q91" s="36">
        <f t="shared" si="16"/>
        <v>320</v>
      </c>
      <c r="R91" s="15">
        <v>0</v>
      </c>
      <c r="S91" s="20">
        <v>0</v>
      </c>
      <c r="T91" s="16">
        <v>0</v>
      </c>
      <c r="U91" s="16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15">
        <f t="shared" si="3"/>
        <v>0</v>
      </c>
      <c r="AE91" s="15">
        <v>0</v>
      </c>
      <c r="AF91" s="15">
        <v>0</v>
      </c>
      <c r="AG91" s="15">
        <v>0</v>
      </c>
      <c r="AH91" s="15">
        <v>120</v>
      </c>
      <c r="AI91" s="15">
        <v>0</v>
      </c>
      <c r="AJ91" s="15">
        <v>30</v>
      </c>
      <c r="AK91" s="15">
        <v>10</v>
      </c>
      <c r="AL91" s="15">
        <v>30</v>
      </c>
      <c r="AM91" s="15">
        <f t="shared" si="4"/>
        <v>190</v>
      </c>
      <c r="AN91" s="29">
        <f t="shared" si="17"/>
        <v>600</v>
      </c>
      <c r="AO91" s="19">
        <v>510</v>
      </c>
      <c r="AP91" s="21">
        <v>0</v>
      </c>
      <c r="AQ91" s="22">
        <v>0</v>
      </c>
      <c r="AR91" s="26">
        <f t="shared" si="18"/>
        <v>510</v>
      </c>
      <c r="AS91" s="37">
        <f t="shared" si="19"/>
        <v>1</v>
      </c>
      <c r="AT91" s="38">
        <f t="shared" si="20"/>
        <v>0.85</v>
      </c>
      <c r="AU91" s="38">
        <f t="shared" si="21"/>
        <v>1</v>
      </c>
      <c r="AV91" s="27">
        <f t="shared" si="22"/>
        <v>0.85</v>
      </c>
    </row>
    <row r="92" spans="1:48" s="1" customFormat="1" ht="21" customHeight="1" x14ac:dyDescent="0.25">
      <c r="A92" s="109">
        <v>46030</v>
      </c>
      <c r="B92" s="47" t="s">
        <v>49</v>
      </c>
      <c r="C92" s="107" t="s">
        <v>51</v>
      </c>
      <c r="D92" s="47" t="s">
        <v>122</v>
      </c>
      <c r="E92" s="48">
        <v>98992</v>
      </c>
      <c r="F92" s="48" t="s">
        <v>169</v>
      </c>
      <c r="G92" s="48" t="s">
        <v>125</v>
      </c>
      <c r="H92" s="30">
        <v>15689</v>
      </c>
      <c r="I92" s="30"/>
      <c r="J92" s="30">
        <v>32</v>
      </c>
      <c r="K92" s="28">
        <f t="shared" si="15"/>
        <v>112.5</v>
      </c>
      <c r="L92" s="31">
        <v>0.58333333333333337</v>
      </c>
      <c r="M92" s="31">
        <v>0.9375</v>
      </c>
      <c r="N92" s="32">
        <f t="shared" si="14"/>
        <v>0.35416666666666663</v>
      </c>
      <c r="O92" s="36">
        <v>510</v>
      </c>
      <c r="P92" s="36">
        <f t="shared" si="7"/>
        <v>440</v>
      </c>
      <c r="Q92" s="36">
        <f t="shared" si="16"/>
        <v>440</v>
      </c>
      <c r="R92" s="15">
        <v>0</v>
      </c>
      <c r="S92" s="20">
        <v>0</v>
      </c>
      <c r="T92" s="16">
        <v>0</v>
      </c>
      <c r="U92" s="16">
        <v>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15">
        <f t="shared" si="3"/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30</v>
      </c>
      <c r="AK92" s="15">
        <v>10</v>
      </c>
      <c r="AL92" s="15">
        <v>30</v>
      </c>
      <c r="AM92" s="15">
        <f t="shared" si="4"/>
        <v>70</v>
      </c>
      <c r="AN92" s="29">
        <f t="shared" si="17"/>
        <v>825</v>
      </c>
      <c r="AO92" s="19">
        <v>602</v>
      </c>
      <c r="AP92" s="21">
        <v>0</v>
      </c>
      <c r="AQ92" s="22">
        <v>0</v>
      </c>
      <c r="AR92" s="26">
        <f t="shared" si="18"/>
        <v>602</v>
      </c>
      <c r="AS92" s="37">
        <f t="shared" si="19"/>
        <v>1</v>
      </c>
      <c r="AT92" s="38">
        <f t="shared" si="20"/>
        <v>0.72969696969696973</v>
      </c>
      <c r="AU92" s="38">
        <f t="shared" si="21"/>
        <v>1</v>
      </c>
      <c r="AV92" s="27">
        <f t="shared" si="22"/>
        <v>0.72969696969696973</v>
      </c>
    </row>
    <row r="93" spans="1:48" s="1" customFormat="1" ht="21" customHeight="1" x14ac:dyDescent="0.25">
      <c r="A93" s="109">
        <v>46030</v>
      </c>
      <c r="B93" s="47" t="s">
        <v>49</v>
      </c>
      <c r="C93" s="107" t="s">
        <v>51</v>
      </c>
      <c r="D93" s="47" t="s">
        <v>128</v>
      </c>
      <c r="E93" s="48">
        <v>98992</v>
      </c>
      <c r="F93" s="48" t="s">
        <v>53</v>
      </c>
      <c r="G93" s="48" t="s">
        <v>125</v>
      </c>
      <c r="H93" s="30">
        <v>15618</v>
      </c>
      <c r="I93" s="30"/>
      <c r="J93" s="30">
        <v>32</v>
      </c>
      <c r="K93" s="28">
        <f t="shared" si="15"/>
        <v>112.5</v>
      </c>
      <c r="L93" s="31">
        <v>0.58333333333333337</v>
      </c>
      <c r="M93" s="31">
        <v>0.9375</v>
      </c>
      <c r="N93" s="32">
        <f t="shared" si="14"/>
        <v>0.35416666666666663</v>
      </c>
      <c r="O93" s="36">
        <v>510</v>
      </c>
      <c r="P93" s="36">
        <f t="shared" si="7"/>
        <v>380</v>
      </c>
      <c r="Q93" s="36">
        <f t="shared" si="16"/>
        <v>380</v>
      </c>
      <c r="R93" s="15">
        <v>0</v>
      </c>
      <c r="S93" s="20">
        <v>0</v>
      </c>
      <c r="T93" s="16">
        <v>0</v>
      </c>
      <c r="U93" s="16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15">
        <f t="shared" si="3"/>
        <v>0</v>
      </c>
      <c r="AE93" s="15">
        <v>0</v>
      </c>
      <c r="AF93" s="15">
        <v>0</v>
      </c>
      <c r="AG93" s="15">
        <v>0</v>
      </c>
      <c r="AH93" s="15">
        <v>60</v>
      </c>
      <c r="AI93" s="15">
        <v>0</v>
      </c>
      <c r="AJ93" s="15">
        <v>30</v>
      </c>
      <c r="AK93" s="15">
        <v>10</v>
      </c>
      <c r="AL93" s="15">
        <v>30</v>
      </c>
      <c r="AM93" s="15">
        <f t="shared" si="4"/>
        <v>130</v>
      </c>
      <c r="AN93" s="29">
        <f t="shared" si="17"/>
        <v>712.5</v>
      </c>
      <c r="AO93" s="19">
        <v>572</v>
      </c>
      <c r="AP93" s="21">
        <v>0</v>
      </c>
      <c r="AQ93" s="22">
        <v>0</v>
      </c>
      <c r="AR93" s="26">
        <f t="shared" si="18"/>
        <v>572</v>
      </c>
      <c r="AS93" s="37">
        <f t="shared" si="19"/>
        <v>1</v>
      </c>
      <c r="AT93" s="38">
        <f t="shared" si="20"/>
        <v>0.80280701754385964</v>
      </c>
      <c r="AU93" s="38">
        <f t="shared" si="21"/>
        <v>1</v>
      </c>
      <c r="AV93" s="27">
        <f t="shared" si="22"/>
        <v>0.80280701754385964</v>
      </c>
    </row>
    <row r="94" spans="1:48" s="1" customFormat="1" ht="21" customHeight="1" x14ac:dyDescent="0.25">
      <c r="A94" s="109">
        <v>46030</v>
      </c>
      <c r="B94" s="47" t="s">
        <v>49</v>
      </c>
      <c r="C94" s="107" t="s">
        <v>51</v>
      </c>
      <c r="D94" s="47" t="s">
        <v>170</v>
      </c>
      <c r="E94" s="48">
        <v>98992</v>
      </c>
      <c r="F94" s="48" t="s">
        <v>176</v>
      </c>
      <c r="G94" s="48" t="s">
        <v>125</v>
      </c>
      <c r="H94" s="30">
        <v>15859</v>
      </c>
      <c r="I94" s="30"/>
      <c r="J94" s="30">
        <v>20</v>
      </c>
      <c r="K94" s="28">
        <f t="shared" si="15"/>
        <v>180</v>
      </c>
      <c r="L94" s="31">
        <v>0.58333333333333337</v>
      </c>
      <c r="M94" s="31">
        <v>0.9375</v>
      </c>
      <c r="N94" s="32">
        <f>IF(M94&gt;L94,M94-L94,1+M94-L94)</f>
        <v>0.35416666666666663</v>
      </c>
      <c r="O94" s="36">
        <v>510</v>
      </c>
      <c r="P94" s="36">
        <f t="shared" si="7"/>
        <v>240</v>
      </c>
      <c r="Q94" s="36">
        <f t="shared" si="16"/>
        <v>240</v>
      </c>
      <c r="R94" s="15">
        <v>0</v>
      </c>
      <c r="S94" s="20">
        <v>0</v>
      </c>
      <c r="T94" s="16">
        <v>0</v>
      </c>
      <c r="U94" s="16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15">
        <f t="shared" si="3"/>
        <v>0</v>
      </c>
      <c r="AE94" s="15">
        <v>0</v>
      </c>
      <c r="AF94" s="15">
        <v>0</v>
      </c>
      <c r="AG94" s="15">
        <v>0</v>
      </c>
      <c r="AH94" s="15">
        <v>200</v>
      </c>
      <c r="AI94" s="15">
        <v>0</v>
      </c>
      <c r="AJ94" s="15">
        <v>30</v>
      </c>
      <c r="AK94" s="15">
        <v>10</v>
      </c>
      <c r="AL94" s="15">
        <v>30</v>
      </c>
      <c r="AM94" s="15">
        <f t="shared" si="4"/>
        <v>270</v>
      </c>
      <c r="AN94" s="29">
        <f t="shared" si="17"/>
        <v>720</v>
      </c>
      <c r="AO94" s="19">
        <v>615</v>
      </c>
      <c r="AP94" s="21">
        <v>0</v>
      </c>
      <c r="AQ94" s="22">
        <v>0</v>
      </c>
      <c r="AR94" s="26">
        <f t="shared" si="18"/>
        <v>615</v>
      </c>
      <c r="AS94" s="37">
        <f t="shared" si="19"/>
        <v>1</v>
      </c>
      <c r="AT94" s="38">
        <f t="shared" si="20"/>
        <v>0.85416666666666663</v>
      </c>
      <c r="AU94" s="38">
        <f t="shared" si="21"/>
        <v>1</v>
      </c>
      <c r="AV94" s="27">
        <f t="shared" si="22"/>
        <v>0.85416666666666663</v>
      </c>
    </row>
    <row r="95" spans="1:48" s="1" customFormat="1" ht="21" customHeight="1" x14ac:dyDescent="0.25">
      <c r="A95" s="109">
        <v>46030</v>
      </c>
      <c r="B95" s="47" t="s">
        <v>49</v>
      </c>
      <c r="C95" s="107" t="s">
        <v>51</v>
      </c>
      <c r="D95" s="47" t="s">
        <v>172</v>
      </c>
      <c r="E95" s="48">
        <v>98992</v>
      </c>
      <c r="F95" s="48" t="s">
        <v>175</v>
      </c>
      <c r="G95" s="48" t="s">
        <v>87</v>
      </c>
      <c r="H95" s="30">
        <v>15669</v>
      </c>
      <c r="I95" s="30"/>
      <c r="J95" s="30">
        <v>20</v>
      </c>
      <c r="K95" s="28">
        <f t="shared" si="15"/>
        <v>180</v>
      </c>
      <c r="L95" s="31">
        <v>0.58333333333333337</v>
      </c>
      <c r="M95" s="31">
        <v>0.9375</v>
      </c>
      <c r="N95" s="32">
        <f t="shared" ref="N95:N158" si="23">IF(M95&gt;L95,M95-L95,1+M95-L95)</f>
        <v>0.35416666666666663</v>
      </c>
      <c r="O95" s="36">
        <v>510</v>
      </c>
      <c r="P95" s="36">
        <f t="shared" si="7"/>
        <v>140</v>
      </c>
      <c r="Q95" s="36">
        <f t="shared" si="16"/>
        <v>140</v>
      </c>
      <c r="R95" s="15">
        <v>0</v>
      </c>
      <c r="S95" s="20">
        <v>0</v>
      </c>
      <c r="T95" s="16">
        <v>0</v>
      </c>
      <c r="U95" s="16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15">
        <f t="shared" si="3"/>
        <v>0</v>
      </c>
      <c r="AE95" s="15">
        <v>0</v>
      </c>
      <c r="AF95" s="15">
        <v>0</v>
      </c>
      <c r="AG95" s="15">
        <v>0</v>
      </c>
      <c r="AH95" s="15">
        <v>300</v>
      </c>
      <c r="AI95" s="15">
        <v>0</v>
      </c>
      <c r="AJ95" s="15">
        <v>30</v>
      </c>
      <c r="AK95" s="15">
        <v>10</v>
      </c>
      <c r="AL95" s="15">
        <v>30</v>
      </c>
      <c r="AM95" s="15">
        <f t="shared" si="4"/>
        <v>370</v>
      </c>
      <c r="AN95" s="29">
        <f t="shared" si="17"/>
        <v>420</v>
      </c>
      <c r="AO95" s="19">
        <v>324</v>
      </c>
      <c r="AP95" s="21">
        <v>0</v>
      </c>
      <c r="AQ95" s="22">
        <v>0</v>
      </c>
      <c r="AR95" s="26">
        <f t="shared" si="18"/>
        <v>324</v>
      </c>
      <c r="AS95" s="37">
        <f t="shared" si="19"/>
        <v>1</v>
      </c>
      <c r="AT95" s="38">
        <f t="shared" si="20"/>
        <v>0.77142857142857146</v>
      </c>
      <c r="AU95" s="38">
        <f t="shared" si="21"/>
        <v>1</v>
      </c>
      <c r="AV95" s="27">
        <f t="shared" si="22"/>
        <v>0.77142857142857146</v>
      </c>
    </row>
    <row r="96" spans="1:48" s="1" customFormat="1" ht="21" customHeight="1" x14ac:dyDescent="0.25">
      <c r="A96" s="109">
        <v>46031</v>
      </c>
      <c r="B96" s="47" t="s">
        <v>49</v>
      </c>
      <c r="C96" s="78" t="s">
        <v>21</v>
      </c>
      <c r="D96" s="47" t="s">
        <v>88</v>
      </c>
      <c r="E96" s="48">
        <v>98992</v>
      </c>
      <c r="F96" s="48" t="s">
        <v>126</v>
      </c>
      <c r="G96" s="48" t="s">
        <v>87</v>
      </c>
      <c r="H96" s="30">
        <v>15036</v>
      </c>
      <c r="I96" s="30"/>
      <c r="J96" s="30">
        <v>32</v>
      </c>
      <c r="K96" s="28">
        <f t="shared" si="15"/>
        <v>112.5</v>
      </c>
      <c r="L96" s="31">
        <v>0.25</v>
      </c>
      <c r="M96" s="31">
        <v>0.60416666666666663</v>
      </c>
      <c r="N96" s="32">
        <f t="shared" si="23"/>
        <v>0.35416666666666663</v>
      </c>
      <c r="O96" s="36">
        <v>510</v>
      </c>
      <c r="P96" s="36">
        <f t="shared" si="7"/>
        <v>90</v>
      </c>
      <c r="Q96" s="36">
        <f t="shared" si="16"/>
        <v>90</v>
      </c>
      <c r="R96" s="15">
        <v>0</v>
      </c>
      <c r="S96" s="20">
        <v>0</v>
      </c>
      <c r="T96" s="16">
        <v>0</v>
      </c>
      <c r="U96" s="16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D96" s="15">
        <f t="shared" si="3"/>
        <v>0</v>
      </c>
      <c r="AE96" s="15">
        <v>0</v>
      </c>
      <c r="AF96" s="15">
        <v>0</v>
      </c>
      <c r="AG96" s="15">
        <v>0</v>
      </c>
      <c r="AH96" s="15">
        <v>350</v>
      </c>
      <c r="AI96" s="15">
        <v>0</v>
      </c>
      <c r="AJ96" s="15">
        <v>30</v>
      </c>
      <c r="AK96" s="15">
        <v>10</v>
      </c>
      <c r="AL96" s="15">
        <v>30</v>
      </c>
      <c r="AM96" s="15">
        <f t="shared" si="4"/>
        <v>420</v>
      </c>
      <c r="AN96" s="29">
        <f t="shared" si="17"/>
        <v>168.75</v>
      </c>
      <c r="AO96" s="19">
        <v>140</v>
      </c>
      <c r="AP96" s="21">
        <v>0</v>
      </c>
      <c r="AQ96" s="22">
        <v>0</v>
      </c>
      <c r="AR96" s="26">
        <f t="shared" si="18"/>
        <v>140</v>
      </c>
      <c r="AS96" s="37">
        <f t="shared" si="19"/>
        <v>1</v>
      </c>
      <c r="AT96" s="38">
        <f t="shared" si="20"/>
        <v>0.82962962962962961</v>
      </c>
      <c r="AU96" s="38">
        <f t="shared" si="21"/>
        <v>1</v>
      </c>
      <c r="AV96" s="27">
        <f t="shared" si="22"/>
        <v>0.82962962962962961</v>
      </c>
    </row>
    <row r="97" spans="1:48" s="1" customFormat="1" ht="21" customHeight="1" x14ac:dyDescent="0.25">
      <c r="A97" s="109">
        <v>46031</v>
      </c>
      <c r="B97" s="47" t="s">
        <v>49</v>
      </c>
      <c r="C97" s="78" t="s">
        <v>21</v>
      </c>
      <c r="D97" s="47" t="s">
        <v>89</v>
      </c>
      <c r="E97" s="48">
        <v>98992</v>
      </c>
      <c r="F97" s="48" t="s">
        <v>169</v>
      </c>
      <c r="G97" s="48" t="s">
        <v>87</v>
      </c>
      <c r="H97" s="30">
        <v>11682</v>
      </c>
      <c r="I97" s="30"/>
      <c r="J97" s="30">
        <v>32</v>
      </c>
      <c r="K97" s="28">
        <f t="shared" si="15"/>
        <v>112.5</v>
      </c>
      <c r="L97" s="31">
        <v>0.25</v>
      </c>
      <c r="M97" s="31">
        <v>0.60416666666666663</v>
      </c>
      <c r="N97" s="32">
        <f t="shared" si="23"/>
        <v>0.35416666666666663</v>
      </c>
      <c r="O97" s="36">
        <v>510</v>
      </c>
      <c r="P97" s="36">
        <f t="shared" si="7"/>
        <v>220</v>
      </c>
      <c r="Q97" s="36">
        <f t="shared" si="16"/>
        <v>220</v>
      </c>
      <c r="R97" s="15">
        <v>0</v>
      </c>
      <c r="S97" s="20">
        <v>0</v>
      </c>
      <c r="T97" s="16">
        <v>0</v>
      </c>
      <c r="U97" s="16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15">
        <f t="shared" si="3"/>
        <v>0</v>
      </c>
      <c r="AE97" s="15">
        <v>0</v>
      </c>
      <c r="AF97" s="15">
        <v>0</v>
      </c>
      <c r="AG97" s="15">
        <v>0</v>
      </c>
      <c r="AH97" s="15">
        <v>220</v>
      </c>
      <c r="AI97" s="15">
        <v>0</v>
      </c>
      <c r="AJ97" s="15">
        <v>30</v>
      </c>
      <c r="AK97" s="15">
        <v>10</v>
      </c>
      <c r="AL97" s="15">
        <v>30</v>
      </c>
      <c r="AM97" s="15">
        <f t="shared" si="4"/>
        <v>290</v>
      </c>
      <c r="AN97" s="29">
        <f t="shared" si="17"/>
        <v>412.5</v>
      </c>
      <c r="AO97" s="19">
        <v>370</v>
      </c>
      <c r="AP97" s="21">
        <v>0</v>
      </c>
      <c r="AQ97" s="22">
        <v>0</v>
      </c>
      <c r="AR97" s="26">
        <f t="shared" si="18"/>
        <v>370</v>
      </c>
      <c r="AS97" s="37">
        <f t="shared" si="19"/>
        <v>1</v>
      </c>
      <c r="AT97" s="38">
        <f t="shared" si="20"/>
        <v>0.89696969696969697</v>
      </c>
      <c r="AU97" s="38">
        <f t="shared" si="21"/>
        <v>1</v>
      </c>
      <c r="AV97" s="27">
        <f t="shared" si="22"/>
        <v>0.89696969696969697</v>
      </c>
    </row>
    <row r="98" spans="1:48" s="1" customFormat="1" ht="21" customHeight="1" x14ac:dyDescent="0.25">
      <c r="A98" s="109">
        <v>46031</v>
      </c>
      <c r="B98" s="47" t="s">
        <v>49</v>
      </c>
      <c r="C98" s="78" t="s">
        <v>21</v>
      </c>
      <c r="D98" s="47" t="s">
        <v>52</v>
      </c>
      <c r="E98" s="48">
        <v>98992</v>
      </c>
      <c r="F98" s="48" t="s">
        <v>53</v>
      </c>
      <c r="G98" s="48" t="s">
        <v>87</v>
      </c>
      <c r="H98" s="30">
        <v>15676</v>
      </c>
      <c r="I98" s="30"/>
      <c r="J98" s="30">
        <v>32</v>
      </c>
      <c r="K98" s="28">
        <f t="shared" si="15"/>
        <v>112.5</v>
      </c>
      <c r="L98" s="31">
        <v>0.25</v>
      </c>
      <c r="M98" s="31">
        <v>0.60416666666666663</v>
      </c>
      <c r="N98" s="32">
        <f t="shared" si="23"/>
        <v>0.35416666666666663</v>
      </c>
      <c r="O98" s="36">
        <v>510</v>
      </c>
      <c r="P98" s="36">
        <f t="shared" si="7"/>
        <v>320</v>
      </c>
      <c r="Q98" s="36">
        <f t="shared" si="16"/>
        <v>320</v>
      </c>
      <c r="R98" s="15">
        <v>0</v>
      </c>
      <c r="S98" s="20">
        <v>0</v>
      </c>
      <c r="T98" s="16">
        <v>0</v>
      </c>
      <c r="U98" s="16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15">
        <f t="shared" si="3"/>
        <v>0</v>
      </c>
      <c r="AE98" s="15">
        <v>0</v>
      </c>
      <c r="AF98" s="15">
        <v>0</v>
      </c>
      <c r="AG98" s="15">
        <v>0</v>
      </c>
      <c r="AH98" s="15">
        <v>120</v>
      </c>
      <c r="AI98" s="15">
        <v>0</v>
      </c>
      <c r="AJ98" s="15">
        <v>30</v>
      </c>
      <c r="AK98" s="15">
        <v>10</v>
      </c>
      <c r="AL98" s="15">
        <v>30</v>
      </c>
      <c r="AM98" s="15">
        <f t="shared" si="4"/>
        <v>190</v>
      </c>
      <c r="AN98" s="29">
        <f t="shared" si="17"/>
        <v>600</v>
      </c>
      <c r="AO98" s="19">
        <v>580</v>
      </c>
      <c r="AP98" s="21">
        <v>0</v>
      </c>
      <c r="AQ98" s="22">
        <v>0</v>
      </c>
      <c r="AR98" s="26">
        <f t="shared" si="18"/>
        <v>580</v>
      </c>
      <c r="AS98" s="37">
        <f t="shared" si="19"/>
        <v>1</v>
      </c>
      <c r="AT98" s="38">
        <f t="shared" si="20"/>
        <v>0.96666666666666667</v>
      </c>
      <c r="AU98" s="38">
        <f t="shared" si="21"/>
        <v>1</v>
      </c>
      <c r="AV98" s="27">
        <f t="shared" si="22"/>
        <v>0.96666666666666667</v>
      </c>
    </row>
    <row r="99" spans="1:48" s="1" customFormat="1" ht="21" customHeight="1" x14ac:dyDescent="0.25">
      <c r="A99" s="109">
        <v>46031</v>
      </c>
      <c r="B99" s="47" t="s">
        <v>49</v>
      </c>
      <c r="C99" s="78" t="s">
        <v>21</v>
      </c>
      <c r="D99" s="47" t="s">
        <v>86</v>
      </c>
      <c r="E99" s="48">
        <v>98992</v>
      </c>
      <c r="F99" s="48" t="s">
        <v>176</v>
      </c>
      <c r="G99" s="48" t="s">
        <v>87</v>
      </c>
      <c r="H99" s="30">
        <v>15733</v>
      </c>
      <c r="I99" s="30"/>
      <c r="J99" s="30">
        <v>20</v>
      </c>
      <c r="K99" s="28">
        <f t="shared" si="15"/>
        <v>180</v>
      </c>
      <c r="L99" s="31">
        <v>0.25</v>
      </c>
      <c r="M99" s="31">
        <v>0.60416666666666663</v>
      </c>
      <c r="N99" s="32">
        <f t="shared" si="23"/>
        <v>0.35416666666666663</v>
      </c>
      <c r="O99" s="36">
        <v>510</v>
      </c>
      <c r="P99" s="36">
        <f t="shared" si="7"/>
        <v>320</v>
      </c>
      <c r="Q99" s="36">
        <f t="shared" si="16"/>
        <v>320</v>
      </c>
      <c r="R99" s="15">
        <v>0</v>
      </c>
      <c r="S99" s="20">
        <v>0</v>
      </c>
      <c r="T99" s="16">
        <v>0</v>
      </c>
      <c r="U99" s="16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D99" s="15">
        <f t="shared" si="3"/>
        <v>0</v>
      </c>
      <c r="AE99" s="15">
        <v>0</v>
      </c>
      <c r="AF99" s="15">
        <v>0</v>
      </c>
      <c r="AG99" s="15">
        <v>0</v>
      </c>
      <c r="AH99" s="15">
        <v>120</v>
      </c>
      <c r="AI99" s="15">
        <v>0</v>
      </c>
      <c r="AJ99" s="15">
        <v>30</v>
      </c>
      <c r="AK99" s="15">
        <v>10</v>
      </c>
      <c r="AL99" s="15">
        <v>30</v>
      </c>
      <c r="AM99" s="15">
        <f t="shared" si="4"/>
        <v>190</v>
      </c>
      <c r="AN99" s="29">
        <f t="shared" si="17"/>
        <v>960</v>
      </c>
      <c r="AO99" s="19">
        <v>850</v>
      </c>
      <c r="AP99" s="21">
        <v>0</v>
      </c>
      <c r="AQ99" s="22">
        <v>1</v>
      </c>
      <c r="AR99" s="26">
        <f t="shared" si="18"/>
        <v>849</v>
      </c>
      <c r="AS99" s="37">
        <f t="shared" si="19"/>
        <v>1</v>
      </c>
      <c r="AT99" s="38">
        <f t="shared" si="20"/>
        <v>0.88541666666666663</v>
      </c>
      <c r="AU99" s="38">
        <f t="shared" si="21"/>
        <v>0.99882352941176467</v>
      </c>
      <c r="AV99" s="27">
        <f t="shared" si="22"/>
        <v>0.88437499999999991</v>
      </c>
    </row>
    <row r="100" spans="1:48" s="1" customFormat="1" ht="21" customHeight="1" x14ac:dyDescent="0.25">
      <c r="A100" s="109">
        <v>46031</v>
      </c>
      <c r="B100" s="47" t="s">
        <v>49</v>
      </c>
      <c r="C100" s="78" t="s">
        <v>21</v>
      </c>
      <c r="D100" s="47" t="s">
        <v>172</v>
      </c>
      <c r="E100" s="48">
        <v>98992</v>
      </c>
      <c r="F100" s="48" t="s">
        <v>175</v>
      </c>
      <c r="G100" s="48" t="s">
        <v>87</v>
      </c>
      <c r="H100" s="30">
        <v>15838</v>
      </c>
      <c r="I100" s="30"/>
      <c r="J100" s="30">
        <v>20</v>
      </c>
      <c r="K100" s="28">
        <f t="shared" si="15"/>
        <v>180</v>
      </c>
      <c r="L100" s="31">
        <v>0.25</v>
      </c>
      <c r="M100" s="31">
        <v>0.60416666666666663</v>
      </c>
      <c r="N100" s="32">
        <f t="shared" si="23"/>
        <v>0.35416666666666663</v>
      </c>
      <c r="O100" s="36">
        <v>510</v>
      </c>
      <c r="P100" s="36">
        <f t="shared" si="7"/>
        <v>190</v>
      </c>
      <c r="Q100" s="36">
        <f t="shared" si="16"/>
        <v>190</v>
      </c>
      <c r="R100" s="15">
        <v>0</v>
      </c>
      <c r="S100" s="20">
        <v>0</v>
      </c>
      <c r="T100" s="16">
        <v>0</v>
      </c>
      <c r="U100" s="16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15">
        <f t="shared" si="3"/>
        <v>0</v>
      </c>
      <c r="AE100" s="15">
        <v>0</v>
      </c>
      <c r="AF100" s="15">
        <v>0</v>
      </c>
      <c r="AG100" s="15">
        <v>0</v>
      </c>
      <c r="AH100" s="15">
        <v>250</v>
      </c>
      <c r="AI100" s="15">
        <v>0</v>
      </c>
      <c r="AJ100" s="15">
        <v>30</v>
      </c>
      <c r="AK100" s="15">
        <v>10</v>
      </c>
      <c r="AL100" s="15">
        <v>30</v>
      </c>
      <c r="AM100" s="15">
        <f t="shared" si="4"/>
        <v>320</v>
      </c>
      <c r="AN100" s="29">
        <f t="shared" si="17"/>
        <v>570</v>
      </c>
      <c r="AO100" s="19">
        <v>421</v>
      </c>
      <c r="AP100" s="21">
        <v>0</v>
      </c>
      <c r="AQ100" s="22">
        <v>0</v>
      </c>
      <c r="AR100" s="26">
        <f t="shared" si="18"/>
        <v>421</v>
      </c>
      <c r="AS100" s="37">
        <f t="shared" si="19"/>
        <v>1</v>
      </c>
      <c r="AT100" s="38">
        <f t="shared" si="20"/>
        <v>0.73859649122807014</v>
      </c>
      <c r="AU100" s="38">
        <f t="shared" si="21"/>
        <v>1</v>
      </c>
      <c r="AV100" s="27">
        <f t="shared" si="22"/>
        <v>0.73859649122807014</v>
      </c>
    </row>
    <row r="101" spans="1:48" s="1" customFormat="1" ht="21" customHeight="1" x14ac:dyDescent="0.25">
      <c r="A101" s="109">
        <v>46031</v>
      </c>
      <c r="B101" s="47" t="s">
        <v>49</v>
      </c>
      <c r="C101" s="78" t="s">
        <v>21</v>
      </c>
      <c r="D101" s="47" t="s">
        <v>128</v>
      </c>
      <c r="E101" s="48">
        <v>98992</v>
      </c>
      <c r="F101" s="48" t="s">
        <v>53</v>
      </c>
      <c r="G101" s="48" t="s">
        <v>125</v>
      </c>
      <c r="H101" s="30">
        <v>15126</v>
      </c>
      <c r="I101" s="30"/>
      <c r="J101" s="30">
        <v>32</v>
      </c>
      <c r="K101" s="28">
        <f t="shared" si="15"/>
        <v>112.5</v>
      </c>
      <c r="L101" s="31">
        <v>0.25</v>
      </c>
      <c r="M101" s="31">
        <v>0.60416666666666663</v>
      </c>
      <c r="N101" s="32">
        <f t="shared" si="23"/>
        <v>0.35416666666666663</v>
      </c>
      <c r="O101" s="36">
        <v>510</v>
      </c>
      <c r="P101" s="36">
        <f t="shared" si="7"/>
        <v>260</v>
      </c>
      <c r="Q101" s="36">
        <f t="shared" si="16"/>
        <v>260</v>
      </c>
      <c r="R101" s="15">
        <v>0</v>
      </c>
      <c r="S101" s="20">
        <v>0</v>
      </c>
      <c r="T101" s="16">
        <v>0</v>
      </c>
      <c r="U101" s="16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15">
        <f t="shared" si="3"/>
        <v>0</v>
      </c>
      <c r="AE101" s="15">
        <v>0</v>
      </c>
      <c r="AF101" s="15">
        <v>0</v>
      </c>
      <c r="AG101" s="15">
        <v>0</v>
      </c>
      <c r="AH101" s="15">
        <v>180</v>
      </c>
      <c r="AI101" s="15">
        <v>0</v>
      </c>
      <c r="AJ101" s="15">
        <v>30</v>
      </c>
      <c r="AK101" s="15">
        <v>10</v>
      </c>
      <c r="AL101" s="15">
        <v>30</v>
      </c>
      <c r="AM101" s="15">
        <f t="shared" si="4"/>
        <v>250</v>
      </c>
      <c r="AN101" s="29">
        <f t="shared" si="17"/>
        <v>487.5</v>
      </c>
      <c r="AO101" s="19">
        <v>400</v>
      </c>
      <c r="AP101" s="21">
        <v>0</v>
      </c>
      <c r="AQ101" s="22">
        <v>0</v>
      </c>
      <c r="AR101" s="26">
        <f t="shared" si="18"/>
        <v>400</v>
      </c>
      <c r="AS101" s="37">
        <f t="shared" si="19"/>
        <v>1</v>
      </c>
      <c r="AT101" s="38">
        <f t="shared" si="20"/>
        <v>0.82051282051282048</v>
      </c>
      <c r="AU101" s="38">
        <f t="shared" si="21"/>
        <v>1</v>
      </c>
      <c r="AV101" s="27">
        <f t="shared" si="22"/>
        <v>0.82051282051282048</v>
      </c>
    </row>
    <row r="102" spans="1:48" s="1" customFormat="1" ht="21" customHeight="1" x14ac:dyDescent="0.25">
      <c r="A102" s="109">
        <v>46031</v>
      </c>
      <c r="B102" s="47" t="s">
        <v>49</v>
      </c>
      <c r="C102" s="78" t="s">
        <v>21</v>
      </c>
      <c r="D102" s="47" t="s">
        <v>170</v>
      </c>
      <c r="E102" s="48">
        <v>98992</v>
      </c>
      <c r="F102" s="48" t="s">
        <v>176</v>
      </c>
      <c r="G102" s="48" t="s">
        <v>125</v>
      </c>
      <c r="H102" s="30">
        <v>15036</v>
      </c>
      <c r="I102" s="30"/>
      <c r="J102" s="30">
        <v>20</v>
      </c>
      <c r="K102" s="28">
        <f t="shared" si="15"/>
        <v>180</v>
      </c>
      <c r="L102" s="31">
        <v>0.25</v>
      </c>
      <c r="M102" s="31">
        <v>0.60416666666666663</v>
      </c>
      <c r="N102" s="32">
        <f t="shared" si="23"/>
        <v>0.35416666666666663</v>
      </c>
      <c r="O102" s="36">
        <v>510</v>
      </c>
      <c r="P102" s="36">
        <f t="shared" si="7"/>
        <v>60</v>
      </c>
      <c r="Q102" s="36">
        <f t="shared" si="16"/>
        <v>60</v>
      </c>
      <c r="R102" s="15">
        <v>0</v>
      </c>
      <c r="S102" s="20">
        <v>0</v>
      </c>
      <c r="T102" s="16">
        <v>0</v>
      </c>
      <c r="U102" s="16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15">
        <f t="shared" si="3"/>
        <v>0</v>
      </c>
      <c r="AE102" s="15">
        <v>0</v>
      </c>
      <c r="AF102" s="15">
        <v>0</v>
      </c>
      <c r="AG102" s="15">
        <v>0</v>
      </c>
      <c r="AH102" s="15">
        <v>380</v>
      </c>
      <c r="AI102" s="15">
        <v>0</v>
      </c>
      <c r="AJ102" s="15">
        <v>30</v>
      </c>
      <c r="AK102" s="15">
        <v>10</v>
      </c>
      <c r="AL102" s="15">
        <v>30</v>
      </c>
      <c r="AM102" s="15">
        <f t="shared" si="4"/>
        <v>450</v>
      </c>
      <c r="AN102" s="29">
        <f t="shared" si="17"/>
        <v>180</v>
      </c>
      <c r="AO102" s="19">
        <v>156</v>
      </c>
      <c r="AP102" s="21">
        <v>0</v>
      </c>
      <c r="AQ102" s="22">
        <v>0</v>
      </c>
      <c r="AR102" s="26">
        <f t="shared" si="18"/>
        <v>156</v>
      </c>
      <c r="AS102" s="37">
        <f t="shared" si="19"/>
        <v>1</v>
      </c>
      <c r="AT102" s="38">
        <f t="shared" si="20"/>
        <v>0.8666666666666667</v>
      </c>
      <c r="AU102" s="38">
        <f t="shared" si="21"/>
        <v>1</v>
      </c>
      <c r="AV102" s="27">
        <f t="shared" si="22"/>
        <v>0.8666666666666667</v>
      </c>
    </row>
    <row r="103" spans="1:48" s="1" customFormat="1" ht="21" customHeight="1" x14ac:dyDescent="0.25">
      <c r="A103" s="109">
        <v>46031</v>
      </c>
      <c r="B103" s="47" t="s">
        <v>49</v>
      </c>
      <c r="C103" s="78" t="s">
        <v>21</v>
      </c>
      <c r="D103" s="47" t="s">
        <v>127</v>
      </c>
      <c r="E103" s="48">
        <v>98992</v>
      </c>
      <c r="F103" s="48" t="s">
        <v>175</v>
      </c>
      <c r="G103" s="48" t="s">
        <v>125</v>
      </c>
      <c r="H103" s="30">
        <v>15882</v>
      </c>
      <c r="I103" s="30"/>
      <c r="J103" s="30">
        <v>20</v>
      </c>
      <c r="K103" s="28">
        <f t="shared" si="15"/>
        <v>180</v>
      </c>
      <c r="L103" s="31">
        <v>0.25</v>
      </c>
      <c r="M103" s="31">
        <v>0.60416666666666663</v>
      </c>
      <c r="N103" s="32">
        <f t="shared" si="23"/>
        <v>0.35416666666666663</v>
      </c>
      <c r="O103" s="36">
        <v>510</v>
      </c>
      <c r="P103" s="36">
        <f t="shared" si="7"/>
        <v>220</v>
      </c>
      <c r="Q103" s="36">
        <f t="shared" si="16"/>
        <v>220</v>
      </c>
      <c r="R103" s="15">
        <v>0</v>
      </c>
      <c r="S103" s="20">
        <v>0</v>
      </c>
      <c r="T103" s="16">
        <v>0</v>
      </c>
      <c r="U103" s="16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15">
        <f t="shared" si="3"/>
        <v>0</v>
      </c>
      <c r="AE103" s="15">
        <v>0</v>
      </c>
      <c r="AF103" s="15">
        <v>0</v>
      </c>
      <c r="AG103" s="15">
        <v>0</v>
      </c>
      <c r="AH103" s="15">
        <v>220</v>
      </c>
      <c r="AI103" s="15">
        <v>0</v>
      </c>
      <c r="AJ103" s="15">
        <v>30</v>
      </c>
      <c r="AK103" s="15">
        <v>10</v>
      </c>
      <c r="AL103" s="15">
        <v>30</v>
      </c>
      <c r="AM103" s="15">
        <f t="shared" si="4"/>
        <v>290</v>
      </c>
      <c r="AN103" s="29">
        <f t="shared" si="17"/>
        <v>660</v>
      </c>
      <c r="AO103" s="19">
        <v>480</v>
      </c>
      <c r="AP103" s="21">
        <v>0</v>
      </c>
      <c r="AQ103" s="22">
        <v>0</v>
      </c>
      <c r="AR103" s="26">
        <f t="shared" si="18"/>
        <v>480</v>
      </c>
      <c r="AS103" s="37">
        <f t="shared" si="19"/>
        <v>1</v>
      </c>
      <c r="AT103" s="38">
        <f t="shared" si="20"/>
        <v>0.72727272727272729</v>
      </c>
      <c r="AU103" s="38">
        <f t="shared" si="21"/>
        <v>1</v>
      </c>
      <c r="AV103" s="27">
        <f t="shared" si="22"/>
        <v>0.72727272727272729</v>
      </c>
    </row>
    <row r="104" spans="1:48" s="1" customFormat="1" ht="21" customHeight="1" x14ac:dyDescent="0.25">
      <c r="A104" s="109">
        <v>46031</v>
      </c>
      <c r="B104" s="47" t="s">
        <v>49</v>
      </c>
      <c r="C104" s="78" t="s">
        <v>21</v>
      </c>
      <c r="D104" s="47" t="s">
        <v>94</v>
      </c>
      <c r="E104" s="48">
        <v>98992</v>
      </c>
      <c r="F104" s="48" t="s">
        <v>67</v>
      </c>
      <c r="G104" s="48" t="s">
        <v>174</v>
      </c>
      <c r="H104" s="30">
        <v>14033</v>
      </c>
      <c r="I104" s="30"/>
      <c r="J104" s="30">
        <v>24</v>
      </c>
      <c r="K104" s="28">
        <f t="shared" si="15"/>
        <v>150</v>
      </c>
      <c r="L104" s="31">
        <v>0.25</v>
      </c>
      <c r="M104" s="31">
        <v>0.60416666666666663</v>
      </c>
      <c r="N104" s="32">
        <f t="shared" si="23"/>
        <v>0.35416666666666663</v>
      </c>
      <c r="O104" s="36">
        <v>510</v>
      </c>
      <c r="P104" s="36">
        <f t="shared" si="7"/>
        <v>260</v>
      </c>
      <c r="Q104" s="36">
        <f t="shared" si="16"/>
        <v>260</v>
      </c>
      <c r="R104" s="15">
        <v>0</v>
      </c>
      <c r="S104" s="20">
        <v>0</v>
      </c>
      <c r="T104" s="16">
        <v>0</v>
      </c>
      <c r="U104" s="16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15">
        <f t="shared" si="3"/>
        <v>0</v>
      </c>
      <c r="AE104" s="15">
        <v>0</v>
      </c>
      <c r="AF104" s="15">
        <v>0</v>
      </c>
      <c r="AG104" s="15">
        <v>0</v>
      </c>
      <c r="AH104" s="15">
        <v>180</v>
      </c>
      <c r="AI104" s="15">
        <v>0</v>
      </c>
      <c r="AJ104" s="15">
        <v>30</v>
      </c>
      <c r="AK104" s="15">
        <v>10</v>
      </c>
      <c r="AL104" s="15">
        <v>30</v>
      </c>
      <c r="AM104" s="15">
        <f t="shared" si="4"/>
        <v>250</v>
      </c>
      <c r="AN104" s="29">
        <f t="shared" si="17"/>
        <v>650</v>
      </c>
      <c r="AO104" s="19">
        <v>600</v>
      </c>
      <c r="AP104" s="21">
        <v>0</v>
      </c>
      <c r="AQ104" s="22">
        <v>0</v>
      </c>
      <c r="AR104" s="26">
        <f t="shared" si="18"/>
        <v>600</v>
      </c>
      <c r="AS104" s="37">
        <f t="shared" si="19"/>
        <v>1</v>
      </c>
      <c r="AT104" s="38">
        <f t="shared" si="20"/>
        <v>0.92307692307692313</v>
      </c>
      <c r="AU104" s="38">
        <f t="shared" si="21"/>
        <v>1</v>
      </c>
      <c r="AV104" s="27">
        <f t="shared" si="22"/>
        <v>0.92307692307692313</v>
      </c>
    </row>
    <row r="105" spans="1:48" s="1" customFormat="1" ht="21" customHeight="1" x14ac:dyDescent="0.25">
      <c r="A105" s="109">
        <v>46031</v>
      </c>
      <c r="B105" s="47" t="s">
        <v>49</v>
      </c>
      <c r="C105" s="78" t="s">
        <v>51</v>
      </c>
      <c r="D105" s="47" t="s">
        <v>88</v>
      </c>
      <c r="E105" s="48">
        <v>98992</v>
      </c>
      <c r="F105" s="48" t="s">
        <v>126</v>
      </c>
      <c r="G105" s="48" t="s">
        <v>87</v>
      </c>
      <c r="H105" s="30">
        <v>15114</v>
      </c>
      <c r="I105" s="30"/>
      <c r="J105" s="30">
        <v>32</v>
      </c>
      <c r="K105" s="28">
        <f t="shared" si="15"/>
        <v>112.5</v>
      </c>
      <c r="L105" s="31">
        <v>0.58333333333333337</v>
      </c>
      <c r="M105" s="31">
        <v>0.9375</v>
      </c>
      <c r="N105" s="32">
        <f t="shared" si="23"/>
        <v>0.35416666666666663</v>
      </c>
      <c r="O105" s="36">
        <v>510</v>
      </c>
      <c r="P105" s="36">
        <f t="shared" si="7"/>
        <v>440</v>
      </c>
      <c r="Q105" s="36">
        <f t="shared" si="16"/>
        <v>440</v>
      </c>
      <c r="R105" s="15">
        <v>0</v>
      </c>
      <c r="S105" s="20">
        <v>0</v>
      </c>
      <c r="T105" s="16">
        <v>0</v>
      </c>
      <c r="U105" s="16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15">
        <f t="shared" si="3"/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30</v>
      </c>
      <c r="AK105" s="15">
        <v>10</v>
      </c>
      <c r="AL105" s="15">
        <v>30</v>
      </c>
      <c r="AM105" s="15">
        <f t="shared" si="4"/>
        <v>70</v>
      </c>
      <c r="AN105" s="29">
        <f t="shared" si="17"/>
        <v>825</v>
      </c>
      <c r="AO105" s="19">
        <v>675</v>
      </c>
      <c r="AP105" s="21">
        <v>0</v>
      </c>
      <c r="AQ105" s="22">
        <v>1</v>
      </c>
      <c r="AR105" s="26">
        <f t="shared" si="18"/>
        <v>674</v>
      </c>
      <c r="AS105" s="37">
        <f t="shared" si="19"/>
        <v>1</v>
      </c>
      <c r="AT105" s="38">
        <f t="shared" si="20"/>
        <v>0.81818181818181823</v>
      </c>
      <c r="AU105" s="38">
        <f t="shared" si="21"/>
        <v>0.99851851851851847</v>
      </c>
      <c r="AV105" s="27">
        <f t="shared" si="22"/>
        <v>0.81696969696969701</v>
      </c>
    </row>
    <row r="106" spans="1:48" s="1" customFormat="1" ht="21" customHeight="1" x14ac:dyDescent="0.25">
      <c r="A106" s="109">
        <v>46031</v>
      </c>
      <c r="B106" s="47" t="s">
        <v>49</v>
      </c>
      <c r="C106" s="78" t="s">
        <v>51</v>
      </c>
      <c r="D106" s="47" t="s">
        <v>89</v>
      </c>
      <c r="E106" s="48">
        <v>98992</v>
      </c>
      <c r="F106" s="48" t="s">
        <v>169</v>
      </c>
      <c r="G106" s="48" t="s">
        <v>87</v>
      </c>
      <c r="H106" s="30">
        <v>16219</v>
      </c>
      <c r="I106" s="30"/>
      <c r="J106" s="30">
        <v>32</v>
      </c>
      <c r="K106" s="28">
        <f t="shared" si="15"/>
        <v>112.5</v>
      </c>
      <c r="L106" s="31">
        <v>0.58333333333333337</v>
      </c>
      <c r="M106" s="31">
        <v>0.9375</v>
      </c>
      <c r="N106" s="32">
        <f t="shared" si="23"/>
        <v>0.35416666666666663</v>
      </c>
      <c r="O106" s="36">
        <v>510</v>
      </c>
      <c r="P106" s="36">
        <f t="shared" si="7"/>
        <v>260</v>
      </c>
      <c r="Q106" s="36">
        <f t="shared" si="16"/>
        <v>260</v>
      </c>
      <c r="R106" s="15">
        <v>0</v>
      </c>
      <c r="S106" s="20">
        <v>0</v>
      </c>
      <c r="T106" s="16">
        <v>0</v>
      </c>
      <c r="U106" s="16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15">
        <f t="shared" si="3"/>
        <v>0</v>
      </c>
      <c r="AE106" s="15">
        <v>0</v>
      </c>
      <c r="AF106" s="15">
        <v>0</v>
      </c>
      <c r="AG106" s="15">
        <v>0</v>
      </c>
      <c r="AH106" s="15">
        <v>180</v>
      </c>
      <c r="AI106" s="15">
        <v>0</v>
      </c>
      <c r="AJ106" s="15">
        <v>30</v>
      </c>
      <c r="AK106" s="15">
        <v>10</v>
      </c>
      <c r="AL106" s="15">
        <v>30</v>
      </c>
      <c r="AM106" s="15">
        <f t="shared" si="4"/>
        <v>250</v>
      </c>
      <c r="AN106" s="29">
        <f t="shared" si="17"/>
        <v>487.5</v>
      </c>
      <c r="AO106" s="19">
        <v>423</v>
      </c>
      <c r="AP106" s="21">
        <v>0</v>
      </c>
      <c r="AQ106" s="22">
        <v>0</v>
      </c>
      <c r="AR106" s="26">
        <f t="shared" si="18"/>
        <v>423</v>
      </c>
      <c r="AS106" s="37">
        <f t="shared" si="19"/>
        <v>1</v>
      </c>
      <c r="AT106" s="38">
        <f t="shared" si="20"/>
        <v>0.86769230769230765</v>
      </c>
      <c r="AU106" s="38">
        <f t="shared" si="21"/>
        <v>1</v>
      </c>
      <c r="AV106" s="27">
        <f t="shared" si="22"/>
        <v>0.86769230769230765</v>
      </c>
    </row>
    <row r="107" spans="1:48" s="1" customFormat="1" ht="21" customHeight="1" x14ac:dyDescent="0.25">
      <c r="A107" s="109">
        <v>46031</v>
      </c>
      <c r="B107" s="47" t="s">
        <v>49</v>
      </c>
      <c r="C107" s="78" t="s">
        <v>51</v>
      </c>
      <c r="D107" s="47" t="s">
        <v>52</v>
      </c>
      <c r="E107" s="48">
        <v>98992</v>
      </c>
      <c r="F107" s="48" t="s">
        <v>53</v>
      </c>
      <c r="G107" s="48" t="s">
        <v>87</v>
      </c>
      <c r="H107" s="30">
        <v>15669</v>
      </c>
      <c r="I107" s="30"/>
      <c r="J107" s="30">
        <v>32</v>
      </c>
      <c r="K107" s="28">
        <f t="shared" si="15"/>
        <v>112.5</v>
      </c>
      <c r="L107" s="31">
        <v>0.58333333333333337</v>
      </c>
      <c r="M107" s="31">
        <v>0.9375</v>
      </c>
      <c r="N107" s="32">
        <f t="shared" si="23"/>
        <v>0.35416666666666663</v>
      </c>
      <c r="O107" s="36">
        <v>510</v>
      </c>
      <c r="P107" s="36">
        <f t="shared" si="7"/>
        <v>260</v>
      </c>
      <c r="Q107" s="36">
        <f t="shared" si="16"/>
        <v>260</v>
      </c>
      <c r="R107" s="15">
        <v>0</v>
      </c>
      <c r="S107" s="20">
        <v>0</v>
      </c>
      <c r="T107" s="16">
        <v>0</v>
      </c>
      <c r="U107" s="16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15">
        <f t="shared" si="3"/>
        <v>0</v>
      </c>
      <c r="AE107" s="15">
        <v>0</v>
      </c>
      <c r="AF107" s="15">
        <v>0</v>
      </c>
      <c r="AG107" s="15">
        <v>0</v>
      </c>
      <c r="AH107" s="15">
        <v>180</v>
      </c>
      <c r="AI107" s="15">
        <v>0</v>
      </c>
      <c r="AJ107" s="15">
        <v>30</v>
      </c>
      <c r="AK107" s="15">
        <v>10</v>
      </c>
      <c r="AL107" s="15">
        <v>30</v>
      </c>
      <c r="AM107" s="15">
        <f t="shared" si="4"/>
        <v>250</v>
      </c>
      <c r="AN107" s="29">
        <f t="shared" si="17"/>
        <v>487.5</v>
      </c>
      <c r="AO107" s="19">
        <v>422</v>
      </c>
      <c r="AP107" s="21">
        <v>0</v>
      </c>
      <c r="AQ107" s="22">
        <v>1</v>
      </c>
      <c r="AR107" s="26">
        <f t="shared" si="18"/>
        <v>421</v>
      </c>
      <c r="AS107" s="37">
        <f t="shared" si="19"/>
        <v>1</v>
      </c>
      <c r="AT107" s="38">
        <f t="shared" si="20"/>
        <v>0.86564102564102563</v>
      </c>
      <c r="AU107" s="38">
        <f t="shared" si="21"/>
        <v>0.99763033175355453</v>
      </c>
      <c r="AV107" s="27">
        <f t="shared" si="22"/>
        <v>0.86358974358974361</v>
      </c>
    </row>
    <row r="108" spans="1:48" s="1" customFormat="1" ht="21" customHeight="1" x14ac:dyDescent="0.25">
      <c r="A108" s="109">
        <v>46031</v>
      </c>
      <c r="B108" s="47" t="s">
        <v>49</v>
      </c>
      <c r="C108" s="78" t="s">
        <v>51</v>
      </c>
      <c r="D108" s="47" t="s">
        <v>86</v>
      </c>
      <c r="E108" s="48">
        <v>98992</v>
      </c>
      <c r="F108" s="48" t="s">
        <v>176</v>
      </c>
      <c r="G108" s="48" t="s">
        <v>87</v>
      </c>
      <c r="H108" s="30">
        <v>15859</v>
      </c>
      <c r="I108" s="30"/>
      <c r="J108" s="30">
        <v>20</v>
      </c>
      <c r="K108" s="28">
        <f t="shared" si="15"/>
        <v>180</v>
      </c>
      <c r="L108" s="31">
        <v>0.58333333333333337</v>
      </c>
      <c r="M108" s="31">
        <v>0.9375</v>
      </c>
      <c r="N108" s="32">
        <f t="shared" si="23"/>
        <v>0.35416666666666663</v>
      </c>
      <c r="O108" s="36">
        <v>510</v>
      </c>
      <c r="P108" s="36">
        <f t="shared" si="7"/>
        <v>190</v>
      </c>
      <c r="Q108" s="36">
        <f t="shared" si="16"/>
        <v>190</v>
      </c>
      <c r="R108" s="15">
        <v>0</v>
      </c>
      <c r="S108" s="20">
        <v>0</v>
      </c>
      <c r="T108" s="16">
        <v>0</v>
      </c>
      <c r="U108" s="16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15">
        <f t="shared" si="3"/>
        <v>0</v>
      </c>
      <c r="AE108" s="15">
        <v>0</v>
      </c>
      <c r="AF108" s="15">
        <v>0</v>
      </c>
      <c r="AG108" s="15">
        <v>0</v>
      </c>
      <c r="AH108" s="15">
        <v>250</v>
      </c>
      <c r="AI108" s="15">
        <v>0</v>
      </c>
      <c r="AJ108" s="15">
        <v>30</v>
      </c>
      <c r="AK108" s="15">
        <v>10</v>
      </c>
      <c r="AL108" s="15">
        <v>30</v>
      </c>
      <c r="AM108" s="15">
        <f t="shared" si="4"/>
        <v>320</v>
      </c>
      <c r="AN108" s="29">
        <f t="shared" si="17"/>
        <v>570</v>
      </c>
      <c r="AO108" s="19">
        <v>468</v>
      </c>
      <c r="AP108" s="21">
        <v>0</v>
      </c>
      <c r="AQ108" s="22">
        <v>0</v>
      </c>
      <c r="AR108" s="26">
        <f t="shared" si="18"/>
        <v>468</v>
      </c>
      <c r="AS108" s="37">
        <f t="shared" si="19"/>
        <v>1</v>
      </c>
      <c r="AT108" s="38">
        <f t="shared" si="20"/>
        <v>0.82105263157894737</v>
      </c>
      <c r="AU108" s="38">
        <f t="shared" si="21"/>
        <v>1</v>
      </c>
      <c r="AV108" s="27">
        <f t="shared" si="22"/>
        <v>0.82105263157894737</v>
      </c>
    </row>
    <row r="109" spans="1:48" s="1" customFormat="1" ht="21" customHeight="1" x14ac:dyDescent="0.25">
      <c r="A109" s="109">
        <v>46031</v>
      </c>
      <c r="B109" s="47" t="s">
        <v>49</v>
      </c>
      <c r="C109" s="78" t="s">
        <v>51</v>
      </c>
      <c r="D109" s="47" t="s">
        <v>94</v>
      </c>
      <c r="E109" s="48">
        <v>98992</v>
      </c>
      <c r="F109" s="48" t="s">
        <v>67</v>
      </c>
      <c r="G109" s="48" t="s">
        <v>174</v>
      </c>
      <c r="H109" s="30">
        <v>15726</v>
      </c>
      <c r="I109" s="30"/>
      <c r="J109" s="30">
        <v>26</v>
      </c>
      <c r="K109" s="28">
        <f t="shared" si="15"/>
        <v>138.46153846153845</v>
      </c>
      <c r="L109" s="31">
        <v>0.58333333333333337</v>
      </c>
      <c r="M109" s="31">
        <v>0.9375</v>
      </c>
      <c r="N109" s="32">
        <f t="shared" si="23"/>
        <v>0.35416666666666663</v>
      </c>
      <c r="O109" s="36">
        <v>510</v>
      </c>
      <c r="P109" s="36">
        <f t="shared" si="7"/>
        <v>440</v>
      </c>
      <c r="Q109" s="36">
        <f t="shared" si="16"/>
        <v>440</v>
      </c>
      <c r="R109" s="15">
        <v>0</v>
      </c>
      <c r="S109" s="20">
        <v>0</v>
      </c>
      <c r="T109" s="16">
        <v>0</v>
      </c>
      <c r="U109" s="16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D109" s="15">
        <f t="shared" si="3"/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30</v>
      </c>
      <c r="AK109" s="15">
        <v>10</v>
      </c>
      <c r="AL109" s="15">
        <v>30</v>
      </c>
      <c r="AM109" s="15">
        <f t="shared" si="4"/>
        <v>70</v>
      </c>
      <c r="AN109" s="29">
        <f t="shared" si="17"/>
        <v>1015.3846153846152</v>
      </c>
      <c r="AO109" s="19">
        <v>1001</v>
      </c>
      <c r="AP109" s="21">
        <v>0</v>
      </c>
      <c r="AQ109" s="22">
        <v>0</v>
      </c>
      <c r="AR109" s="26">
        <f t="shared" si="18"/>
        <v>1001</v>
      </c>
      <c r="AS109" s="37">
        <f t="shared" si="19"/>
        <v>1</v>
      </c>
      <c r="AT109" s="38">
        <f t="shared" si="20"/>
        <v>0.98583333333333345</v>
      </c>
      <c r="AU109" s="38">
        <f t="shared" si="21"/>
        <v>1</v>
      </c>
      <c r="AV109" s="27">
        <f t="shared" si="22"/>
        <v>0.98583333333333345</v>
      </c>
    </row>
    <row r="110" spans="1:48" s="1" customFormat="1" ht="21" customHeight="1" x14ac:dyDescent="0.25">
      <c r="A110" s="109">
        <v>46031</v>
      </c>
      <c r="B110" s="47" t="s">
        <v>49</v>
      </c>
      <c r="C110" s="78" t="s">
        <v>51</v>
      </c>
      <c r="D110" s="47" t="s">
        <v>172</v>
      </c>
      <c r="E110" s="48">
        <v>98992</v>
      </c>
      <c r="F110" s="48" t="s">
        <v>175</v>
      </c>
      <c r="G110" s="48" t="s">
        <v>87</v>
      </c>
      <c r="H110" s="30">
        <v>14976</v>
      </c>
      <c r="I110" s="30"/>
      <c r="J110" s="30">
        <v>20</v>
      </c>
      <c r="K110" s="28">
        <f t="shared" si="15"/>
        <v>180</v>
      </c>
      <c r="L110" s="31">
        <v>0.58333333333333337</v>
      </c>
      <c r="M110" s="31">
        <v>0.9375</v>
      </c>
      <c r="N110" s="32">
        <f t="shared" si="23"/>
        <v>0.35416666666666663</v>
      </c>
      <c r="O110" s="36">
        <v>510</v>
      </c>
      <c r="P110" s="36">
        <f t="shared" si="7"/>
        <v>440</v>
      </c>
      <c r="Q110" s="36">
        <f t="shared" si="16"/>
        <v>440</v>
      </c>
      <c r="R110" s="15">
        <v>0</v>
      </c>
      <c r="S110" s="20">
        <v>0</v>
      </c>
      <c r="T110" s="16">
        <v>0</v>
      </c>
      <c r="U110" s="16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15">
        <f t="shared" si="3"/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30</v>
      </c>
      <c r="AK110" s="15">
        <v>10</v>
      </c>
      <c r="AL110" s="15">
        <v>30</v>
      </c>
      <c r="AM110" s="15">
        <f t="shared" si="4"/>
        <v>70</v>
      </c>
      <c r="AN110" s="29">
        <f t="shared" si="17"/>
        <v>1320</v>
      </c>
      <c r="AO110" s="19">
        <v>1180</v>
      </c>
      <c r="AP110" s="21">
        <v>0</v>
      </c>
      <c r="AQ110" s="22">
        <v>0</v>
      </c>
      <c r="AR110" s="26">
        <f t="shared" si="18"/>
        <v>1180</v>
      </c>
      <c r="AS110" s="37">
        <f t="shared" si="19"/>
        <v>1</v>
      </c>
      <c r="AT110" s="38">
        <f t="shared" si="20"/>
        <v>0.89393939393939392</v>
      </c>
      <c r="AU110" s="38">
        <f t="shared" si="21"/>
        <v>1</v>
      </c>
      <c r="AV110" s="27">
        <f t="shared" si="22"/>
        <v>0.89393939393939392</v>
      </c>
    </row>
    <row r="111" spans="1:48" s="1" customFormat="1" ht="21" customHeight="1" x14ac:dyDescent="0.25">
      <c r="A111" s="109">
        <v>46031</v>
      </c>
      <c r="B111" s="47" t="s">
        <v>49</v>
      </c>
      <c r="C111" s="78" t="s">
        <v>51</v>
      </c>
      <c r="D111" s="47" t="s">
        <v>122</v>
      </c>
      <c r="E111" s="48">
        <v>98992</v>
      </c>
      <c r="F111" s="48" t="s">
        <v>169</v>
      </c>
      <c r="G111" s="48" t="s">
        <v>125</v>
      </c>
      <c r="H111" s="30">
        <v>13669</v>
      </c>
      <c r="I111" s="30"/>
      <c r="J111" s="30">
        <v>32</v>
      </c>
      <c r="K111" s="28">
        <f t="shared" si="15"/>
        <v>112.5</v>
      </c>
      <c r="L111" s="31">
        <v>0.58333333333333337</v>
      </c>
      <c r="M111" s="31">
        <v>0.9375</v>
      </c>
      <c r="N111" s="32">
        <f t="shared" si="23"/>
        <v>0.35416666666666663</v>
      </c>
      <c r="O111" s="36">
        <v>510</v>
      </c>
      <c r="P111" s="36">
        <f t="shared" si="7"/>
        <v>80</v>
      </c>
      <c r="Q111" s="36">
        <f t="shared" si="16"/>
        <v>80</v>
      </c>
      <c r="R111" s="15">
        <v>0</v>
      </c>
      <c r="S111" s="20">
        <v>0</v>
      </c>
      <c r="T111" s="16">
        <v>0</v>
      </c>
      <c r="U111" s="16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15">
        <f t="shared" si="3"/>
        <v>0</v>
      </c>
      <c r="AE111" s="15">
        <v>0</v>
      </c>
      <c r="AF111" s="15">
        <v>0</v>
      </c>
      <c r="AG111" s="15">
        <v>0</v>
      </c>
      <c r="AH111" s="15">
        <v>360</v>
      </c>
      <c r="AI111" s="15">
        <v>0</v>
      </c>
      <c r="AJ111" s="15">
        <v>30</v>
      </c>
      <c r="AK111" s="15">
        <v>10</v>
      </c>
      <c r="AL111" s="15">
        <v>30</v>
      </c>
      <c r="AM111" s="15">
        <f t="shared" si="4"/>
        <v>430</v>
      </c>
      <c r="AN111" s="29">
        <f t="shared" si="17"/>
        <v>150</v>
      </c>
      <c r="AO111" s="19">
        <v>114</v>
      </c>
      <c r="AP111" s="21">
        <v>0</v>
      </c>
      <c r="AQ111" s="22">
        <v>0</v>
      </c>
      <c r="AR111" s="26">
        <f t="shared" si="18"/>
        <v>114</v>
      </c>
      <c r="AS111" s="37">
        <f t="shared" si="19"/>
        <v>1</v>
      </c>
      <c r="AT111" s="38">
        <f t="shared" si="20"/>
        <v>0.76</v>
      </c>
      <c r="AU111" s="38">
        <f t="shared" si="21"/>
        <v>1</v>
      </c>
      <c r="AV111" s="27">
        <f t="shared" si="22"/>
        <v>0.76</v>
      </c>
    </row>
    <row r="112" spans="1:48" s="1" customFormat="1" ht="21" customHeight="1" x14ac:dyDescent="0.25">
      <c r="A112" s="109">
        <v>46031</v>
      </c>
      <c r="B112" s="47" t="s">
        <v>49</v>
      </c>
      <c r="C112" s="78" t="s">
        <v>254</v>
      </c>
      <c r="D112" s="47" t="s">
        <v>94</v>
      </c>
      <c r="E112" s="48">
        <v>98992</v>
      </c>
      <c r="F112" s="48" t="s">
        <v>67</v>
      </c>
      <c r="G112" s="48" t="s">
        <v>174</v>
      </c>
      <c r="H112" s="30">
        <v>14957</v>
      </c>
      <c r="I112" s="30"/>
      <c r="J112" s="30">
        <v>24</v>
      </c>
      <c r="K112" s="28">
        <f t="shared" si="15"/>
        <v>150</v>
      </c>
      <c r="L112" s="31">
        <v>0.58333333333333337</v>
      </c>
      <c r="M112" s="31">
        <v>0.9375</v>
      </c>
      <c r="N112" s="32">
        <f t="shared" si="23"/>
        <v>0.35416666666666663</v>
      </c>
      <c r="O112" s="36">
        <v>510</v>
      </c>
      <c r="P112" s="36">
        <f t="shared" si="7"/>
        <v>190</v>
      </c>
      <c r="Q112" s="36">
        <f t="shared" si="16"/>
        <v>190</v>
      </c>
      <c r="R112" s="15">
        <v>0</v>
      </c>
      <c r="S112" s="20">
        <v>0</v>
      </c>
      <c r="T112" s="16">
        <v>0</v>
      </c>
      <c r="U112" s="16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15">
        <f t="shared" si="3"/>
        <v>0</v>
      </c>
      <c r="AE112" s="15">
        <v>0</v>
      </c>
      <c r="AF112" s="15">
        <v>0</v>
      </c>
      <c r="AG112" s="15">
        <v>0</v>
      </c>
      <c r="AH112" s="15">
        <v>250</v>
      </c>
      <c r="AI112" s="15">
        <v>0</v>
      </c>
      <c r="AJ112" s="15">
        <v>30</v>
      </c>
      <c r="AK112" s="15">
        <v>10</v>
      </c>
      <c r="AL112" s="15">
        <v>30</v>
      </c>
      <c r="AM112" s="15">
        <f t="shared" si="4"/>
        <v>320</v>
      </c>
      <c r="AN112" s="29">
        <f t="shared" si="17"/>
        <v>475</v>
      </c>
      <c r="AO112" s="19">
        <v>400</v>
      </c>
      <c r="AP112" s="21">
        <v>0</v>
      </c>
      <c r="AQ112" s="22">
        <v>0</v>
      </c>
      <c r="AR112" s="26">
        <f t="shared" si="18"/>
        <v>400</v>
      </c>
      <c r="AS112" s="37">
        <f t="shared" si="19"/>
        <v>1</v>
      </c>
      <c r="AT112" s="38">
        <f t="shared" si="20"/>
        <v>0.84210526315789469</v>
      </c>
      <c r="AU112" s="38">
        <f t="shared" si="21"/>
        <v>1</v>
      </c>
      <c r="AV112" s="27">
        <f t="shared" si="22"/>
        <v>0.84210526315789469</v>
      </c>
    </row>
    <row r="113" spans="1:48" s="1" customFormat="1" ht="21" customHeight="1" x14ac:dyDescent="0.25">
      <c r="A113" s="109">
        <v>46032</v>
      </c>
      <c r="B113" s="47" t="s">
        <v>49</v>
      </c>
      <c r="C113" s="78" t="s">
        <v>21</v>
      </c>
      <c r="D113" s="47" t="s">
        <v>94</v>
      </c>
      <c r="E113" s="48">
        <v>98992</v>
      </c>
      <c r="F113" s="48" t="s">
        <v>67</v>
      </c>
      <c r="G113" s="48" t="s">
        <v>174</v>
      </c>
      <c r="H113" s="30">
        <v>14033</v>
      </c>
      <c r="I113" s="30"/>
      <c r="J113" s="30">
        <v>24</v>
      </c>
      <c r="K113" s="28">
        <f t="shared" si="15"/>
        <v>150</v>
      </c>
      <c r="L113" s="31">
        <v>0.25</v>
      </c>
      <c r="M113" s="31">
        <v>0.60416666666666663</v>
      </c>
      <c r="N113" s="32">
        <f t="shared" si="23"/>
        <v>0.35416666666666663</v>
      </c>
      <c r="O113" s="36">
        <v>510</v>
      </c>
      <c r="P113" s="36">
        <f t="shared" si="7"/>
        <v>440</v>
      </c>
      <c r="Q113" s="36">
        <f t="shared" si="16"/>
        <v>440</v>
      </c>
      <c r="R113" s="15">
        <v>0</v>
      </c>
      <c r="S113" s="20">
        <v>0</v>
      </c>
      <c r="T113" s="16">
        <v>0</v>
      </c>
      <c r="U113" s="16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15">
        <f t="shared" ref="AD113:AD176" si="24">SUM(R113:AC113)</f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0</v>
      </c>
      <c r="AJ113" s="15">
        <v>30</v>
      </c>
      <c r="AK113" s="15">
        <v>10</v>
      </c>
      <c r="AL113" s="15">
        <v>30</v>
      </c>
      <c r="AM113" s="15">
        <f t="shared" si="4"/>
        <v>70</v>
      </c>
      <c r="AN113" s="29">
        <f t="shared" si="17"/>
        <v>1100</v>
      </c>
      <c r="AO113" s="19">
        <v>1008</v>
      </c>
      <c r="AP113" s="21">
        <v>0</v>
      </c>
      <c r="AQ113" s="22">
        <v>0</v>
      </c>
      <c r="AR113" s="26">
        <f t="shared" si="18"/>
        <v>1008</v>
      </c>
      <c r="AS113" s="37">
        <f t="shared" si="19"/>
        <v>1</v>
      </c>
      <c r="AT113" s="38">
        <f t="shared" si="20"/>
        <v>0.91636363636363638</v>
      </c>
      <c r="AU113" s="38">
        <f t="shared" si="21"/>
        <v>1</v>
      </c>
      <c r="AV113" s="27">
        <f t="shared" si="22"/>
        <v>0.91636363636363638</v>
      </c>
    </row>
    <row r="114" spans="1:48" s="1" customFormat="1" ht="21" customHeight="1" x14ac:dyDescent="0.25">
      <c r="A114" s="109">
        <v>46032</v>
      </c>
      <c r="B114" s="47" t="s">
        <v>49</v>
      </c>
      <c r="C114" s="78" t="s">
        <v>21</v>
      </c>
      <c r="D114" s="47" t="s">
        <v>88</v>
      </c>
      <c r="E114" s="48">
        <v>98992</v>
      </c>
      <c r="F114" s="48" t="s">
        <v>126</v>
      </c>
      <c r="G114" s="48" t="s">
        <v>87</v>
      </c>
      <c r="H114" s="30">
        <v>15036</v>
      </c>
      <c r="I114" s="30"/>
      <c r="J114" s="30">
        <v>32</v>
      </c>
      <c r="K114" s="28">
        <f t="shared" si="15"/>
        <v>112.5</v>
      </c>
      <c r="L114" s="31">
        <v>0.25</v>
      </c>
      <c r="M114" s="31">
        <v>0.60416666666666663</v>
      </c>
      <c r="N114" s="32">
        <f t="shared" si="23"/>
        <v>0.35416666666666663</v>
      </c>
      <c r="O114" s="36">
        <v>510</v>
      </c>
      <c r="P114" s="36">
        <f t="shared" si="7"/>
        <v>140</v>
      </c>
      <c r="Q114" s="36">
        <f t="shared" si="16"/>
        <v>140</v>
      </c>
      <c r="R114" s="15">
        <v>0</v>
      </c>
      <c r="S114" s="20">
        <v>0</v>
      </c>
      <c r="T114" s="16">
        <v>0</v>
      </c>
      <c r="U114" s="16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15">
        <f t="shared" si="24"/>
        <v>0</v>
      </c>
      <c r="AE114" s="15">
        <v>0</v>
      </c>
      <c r="AF114" s="15">
        <v>0</v>
      </c>
      <c r="AG114" s="15">
        <v>0</v>
      </c>
      <c r="AH114" s="15">
        <v>300</v>
      </c>
      <c r="AI114" s="15">
        <v>0</v>
      </c>
      <c r="AJ114" s="15">
        <v>30</v>
      </c>
      <c r="AK114" s="15">
        <v>10</v>
      </c>
      <c r="AL114" s="15">
        <v>30</v>
      </c>
      <c r="AM114" s="15">
        <f t="shared" si="4"/>
        <v>370</v>
      </c>
      <c r="AN114" s="29">
        <f t="shared" si="17"/>
        <v>262.5</v>
      </c>
      <c r="AO114" s="19">
        <v>256</v>
      </c>
      <c r="AP114" s="21">
        <v>0</v>
      </c>
      <c r="AQ114" s="22">
        <v>0</v>
      </c>
      <c r="AR114" s="26">
        <f t="shared" si="18"/>
        <v>256</v>
      </c>
      <c r="AS114" s="37">
        <f t="shared" si="19"/>
        <v>1</v>
      </c>
      <c r="AT114" s="38">
        <f t="shared" si="20"/>
        <v>0.97523809523809524</v>
      </c>
      <c r="AU114" s="38">
        <f t="shared" si="21"/>
        <v>1</v>
      </c>
      <c r="AV114" s="27">
        <f t="shared" si="22"/>
        <v>0.97523809523809524</v>
      </c>
    </row>
    <row r="115" spans="1:48" s="1" customFormat="1" ht="21" customHeight="1" x14ac:dyDescent="0.25">
      <c r="A115" s="109">
        <v>46032</v>
      </c>
      <c r="B115" s="47" t="s">
        <v>49</v>
      </c>
      <c r="C115" s="78" t="s">
        <v>21</v>
      </c>
      <c r="D115" s="47" t="s">
        <v>89</v>
      </c>
      <c r="E115" s="48">
        <v>98992</v>
      </c>
      <c r="F115" s="48" t="s">
        <v>169</v>
      </c>
      <c r="G115" s="48" t="s">
        <v>87</v>
      </c>
      <c r="H115" s="30">
        <v>11682</v>
      </c>
      <c r="I115" s="30"/>
      <c r="J115" s="30">
        <v>32</v>
      </c>
      <c r="K115" s="28">
        <f t="shared" si="15"/>
        <v>112.5</v>
      </c>
      <c r="L115" s="31">
        <v>0.25</v>
      </c>
      <c r="M115" s="31">
        <v>0.60416666666666663</v>
      </c>
      <c r="N115" s="32">
        <f t="shared" si="23"/>
        <v>0.35416666666666663</v>
      </c>
      <c r="O115" s="36">
        <v>510</v>
      </c>
      <c r="P115" s="36">
        <f t="shared" si="7"/>
        <v>380</v>
      </c>
      <c r="Q115" s="36">
        <f t="shared" si="16"/>
        <v>380</v>
      </c>
      <c r="R115" s="15">
        <v>0</v>
      </c>
      <c r="S115" s="20">
        <v>0</v>
      </c>
      <c r="T115" s="16">
        <v>0</v>
      </c>
      <c r="U115" s="16">
        <v>0</v>
      </c>
      <c r="V115" s="20">
        <v>0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20">
        <v>0</v>
      </c>
      <c r="AD115" s="15">
        <f t="shared" si="24"/>
        <v>0</v>
      </c>
      <c r="AE115" s="15">
        <v>0</v>
      </c>
      <c r="AF115" s="15">
        <v>0</v>
      </c>
      <c r="AG115" s="15">
        <v>0</v>
      </c>
      <c r="AH115" s="15">
        <v>60</v>
      </c>
      <c r="AI115" s="15">
        <v>0</v>
      </c>
      <c r="AJ115" s="15">
        <v>30</v>
      </c>
      <c r="AK115" s="15">
        <v>10</v>
      </c>
      <c r="AL115" s="15">
        <v>30</v>
      </c>
      <c r="AM115" s="15">
        <f t="shared" si="4"/>
        <v>130</v>
      </c>
      <c r="AN115" s="29">
        <f t="shared" si="17"/>
        <v>712.5</v>
      </c>
      <c r="AO115" s="19">
        <v>608</v>
      </c>
      <c r="AP115" s="21">
        <v>0</v>
      </c>
      <c r="AQ115" s="22">
        <v>0</v>
      </c>
      <c r="AR115" s="26">
        <f t="shared" si="18"/>
        <v>608</v>
      </c>
      <c r="AS115" s="37">
        <f t="shared" si="19"/>
        <v>1</v>
      </c>
      <c r="AT115" s="38">
        <f t="shared" si="20"/>
        <v>0.85333333333333339</v>
      </c>
      <c r="AU115" s="38">
        <f t="shared" si="21"/>
        <v>1</v>
      </c>
      <c r="AV115" s="27">
        <f t="shared" si="22"/>
        <v>0.85333333333333339</v>
      </c>
    </row>
    <row r="116" spans="1:48" s="1" customFormat="1" ht="21" customHeight="1" x14ac:dyDescent="0.25">
      <c r="A116" s="109">
        <v>46032</v>
      </c>
      <c r="B116" s="47" t="s">
        <v>49</v>
      </c>
      <c r="C116" s="88" t="s">
        <v>21</v>
      </c>
      <c r="D116" s="47" t="s">
        <v>52</v>
      </c>
      <c r="E116" s="48">
        <v>98992</v>
      </c>
      <c r="F116" s="48" t="s">
        <v>53</v>
      </c>
      <c r="G116" s="48" t="s">
        <v>87</v>
      </c>
      <c r="H116" s="30">
        <v>16146</v>
      </c>
      <c r="I116" s="30"/>
      <c r="J116" s="30">
        <v>32</v>
      </c>
      <c r="K116" s="28">
        <f t="shared" si="15"/>
        <v>112.5</v>
      </c>
      <c r="L116" s="31">
        <v>0.25</v>
      </c>
      <c r="M116" s="31">
        <v>0.60416666666666663</v>
      </c>
      <c r="N116" s="32">
        <f t="shared" si="23"/>
        <v>0.35416666666666663</v>
      </c>
      <c r="O116" s="36">
        <v>510</v>
      </c>
      <c r="P116" s="36">
        <f t="shared" si="7"/>
        <v>90</v>
      </c>
      <c r="Q116" s="36">
        <f t="shared" si="16"/>
        <v>90</v>
      </c>
      <c r="R116" s="15">
        <v>0</v>
      </c>
      <c r="S116" s="20">
        <v>0</v>
      </c>
      <c r="T116" s="16">
        <v>0</v>
      </c>
      <c r="U116" s="16">
        <v>0</v>
      </c>
      <c r="V116" s="20">
        <v>0</v>
      </c>
      <c r="W116" s="20">
        <v>0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D116" s="15">
        <f t="shared" si="24"/>
        <v>0</v>
      </c>
      <c r="AE116" s="15">
        <v>0</v>
      </c>
      <c r="AF116" s="15">
        <v>0</v>
      </c>
      <c r="AG116" s="15">
        <v>0</v>
      </c>
      <c r="AH116" s="15">
        <v>350</v>
      </c>
      <c r="AI116" s="15">
        <v>0</v>
      </c>
      <c r="AJ116" s="15">
        <v>30</v>
      </c>
      <c r="AK116" s="15">
        <v>10</v>
      </c>
      <c r="AL116" s="15">
        <v>30</v>
      </c>
      <c r="AM116" s="15">
        <f t="shared" si="4"/>
        <v>420</v>
      </c>
      <c r="AN116" s="29">
        <f t="shared" si="17"/>
        <v>168.75</v>
      </c>
      <c r="AO116" s="19">
        <v>149</v>
      </c>
      <c r="AP116" s="21">
        <v>0</v>
      </c>
      <c r="AQ116" s="22">
        <v>0</v>
      </c>
      <c r="AR116" s="26">
        <f t="shared" si="18"/>
        <v>149</v>
      </c>
      <c r="AS116" s="37">
        <f t="shared" si="19"/>
        <v>1</v>
      </c>
      <c r="AT116" s="38">
        <f t="shared" si="20"/>
        <v>0.88296296296296295</v>
      </c>
      <c r="AU116" s="38">
        <f t="shared" si="21"/>
        <v>1</v>
      </c>
      <c r="AV116" s="27">
        <f t="shared" si="22"/>
        <v>0.88296296296296295</v>
      </c>
    </row>
    <row r="117" spans="1:48" s="1" customFormat="1" ht="21" customHeight="1" x14ac:dyDescent="0.25">
      <c r="A117" s="109">
        <v>46032</v>
      </c>
      <c r="B117" s="47" t="s">
        <v>49</v>
      </c>
      <c r="C117" s="88" t="s">
        <v>21</v>
      </c>
      <c r="D117" s="47" t="s">
        <v>86</v>
      </c>
      <c r="E117" s="48">
        <v>98992</v>
      </c>
      <c r="F117" s="48" t="s">
        <v>176</v>
      </c>
      <c r="G117" s="48" t="s">
        <v>87</v>
      </c>
      <c r="H117" s="30">
        <v>15114</v>
      </c>
      <c r="I117" s="30"/>
      <c r="J117" s="30">
        <v>20</v>
      </c>
      <c r="K117" s="28">
        <f t="shared" si="15"/>
        <v>180</v>
      </c>
      <c r="L117" s="31">
        <v>0.25</v>
      </c>
      <c r="M117" s="31">
        <v>0.60416666666666663</v>
      </c>
      <c r="N117" s="32">
        <f t="shared" si="23"/>
        <v>0.35416666666666663</v>
      </c>
      <c r="O117" s="36">
        <v>510</v>
      </c>
      <c r="P117" s="36">
        <f t="shared" si="7"/>
        <v>60</v>
      </c>
      <c r="Q117" s="36">
        <f t="shared" si="16"/>
        <v>60</v>
      </c>
      <c r="R117" s="15">
        <v>0</v>
      </c>
      <c r="S117" s="20">
        <v>0</v>
      </c>
      <c r="T117" s="16">
        <v>0</v>
      </c>
      <c r="U117" s="16">
        <v>0</v>
      </c>
      <c r="V117" s="20">
        <v>0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0</v>
      </c>
      <c r="AD117" s="15">
        <f t="shared" si="24"/>
        <v>0</v>
      </c>
      <c r="AE117" s="15">
        <v>0</v>
      </c>
      <c r="AF117" s="15">
        <v>0</v>
      </c>
      <c r="AG117" s="15">
        <v>0</v>
      </c>
      <c r="AH117" s="15">
        <v>380</v>
      </c>
      <c r="AI117" s="15">
        <v>0</v>
      </c>
      <c r="AJ117" s="15">
        <v>30</v>
      </c>
      <c r="AK117" s="15">
        <v>10</v>
      </c>
      <c r="AL117" s="15">
        <v>30</v>
      </c>
      <c r="AM117" s="15">
        <f t="shared" si="4"/>
        <v>450</v>
      </c>
      <c r="AN117" s="29">
        <f t="shared" si="17"/>
        <v>180</v>
      </c>
      <c r="AO117" s="19">
        <v>132</v>
      </c>
      <c r="AP117" s="21">
        <v>0</v>
      </c>
      <c r="AQ117" s="22">
        <v>0</v>
      </c>
      <c r="AR117" s="26">
        <f t="shared" si="18"/>
        <v>132</v>
      </c>
      <c r="AS117" s="37">
        <f t="shared" si="19"/>
        <v>1</v>
      </c>
      <c r="AT117" s="38">
        <f t="shared" si="20"/>
        <v>0.73333333333333328</v>
      </c>
      <c r="AU117" s="38">
        <f t="shared" si="21"/>
        <v>1</v>
      </c>
      <c r="AV117" s="27">
        <f t="shared" si="22"/>
        <v>0.73333333333333328</v>
      </c>
    </row>
    <row r="118" spans="1:48" s="1" customFormat="1" ht="21" customHeight="1" x14ac:dyDescent="0.25">
      <c r="A118" s="109">
        <v>46032</v>
      </c>
      <c r="B118" s="47" t="s">
        <v>49</v>
      </c>
      <c r="C118" s="88" t="s">
        <v>21</v>
      </c>
      <c r="D118" s="47" t="s">
        <v>172</v>
      </c>
      <c r="E118" s="48">
        <v>98992</v>
      </c>
      <c r="F118" s="48" t="s">
        <v>175</v>
      </c>
      <c r="G118" s="48" t="s">
        <v>87</v>
      </c>
      <c r="H118" s="30">
        <v>15036</v>
      </c>
      <c r="I118" s="30"/>
      <c r="J118" s="30">
        <v>20</v>
      </c>
      <c r="K118" s="28">
        <f t="shared" si="15"/>
        <v>180</v>
      </c>
      <c r="L118" s="31">
        <v>0.25</v>
      </c>
      <c r="M118" s="31">
        <v>0.60416666666666663</v>
      </c>
      <c r="N118" s="32">
        <f t="shared" si="23"/>
        <v>0.35416666666666663</v>
      </c>
      <c r="O118" s="36">
        <v>510</v>
      </c>
      <c r="P118" s="36">
        <f t="shared" si="7"/>
        <v>90</v>
      </c>
      <c r="Q118" s="36">
        <f t="shared" si="16"/>
        <v>90</v>
      </c>
      <c r="R118" s="15">
        <v>0</v>
      </c>
      <c r="S118" s="20">
        <v>0</v>
      </c>
      <c r="T118" s="16">
        <v>0</v>
      </c>
      <c r="U118" s="16">
        <v>0</v>
      </c>
      <c r="V118" s="20">
        <v>0</v>
      </c>
      <c r="W118" s="20">
        <v>0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  <c r="AC118" s="20">
        <v>0</v>
      </c>
      <c r="AD118" s="15">
        <f t="shared" si="24"/>
        <v>0</v>
      </c>
      <c r="AE118" s="15">
        <v>0</v>
      </c>
      <c r="AF118" s="15">
        <v>0</v>
      </c>
      <c r="AG118" s="15">
        <v>0</v>
      </c>
      <c r="AH118" s="15">
        <v>350</v>
      </c>
      <c r="AI118" s="15">
        <v>0</v>
      </c>
      <c r="AJ118" s="15">
        <v>30</v>
      </c>
      <c r="AK118" s="15">
        <v>10</v>
      </c>
      <c r="AL118" s="15">
        <v>30</v>
      </c>
      <c r="AM118" s="15">
        <f t="shared" si="4"/>
        <v>420</v>
      </c>
      <c r="AN118" s="29">
        <f t="shared" si="17"/>
        <v>270</v>
      </c>
      <c r="AO118" s="19">
        <v>228</v>
      </c>
      <c r="AP118" s="21">
        <v>0</v>
      </c>
      <c r="AQ118" s="22">
        <v>0</v>
      </c>
      <c r="AR118" s="26">
        <f t="shared" si="18"/>
        <v>228</v>
      </c>
      <c r="AS118" s="37">
        <f t="shared" si="19"/>
        <v>1</v>
      </c>
      <c r="AT118" s="38">
        <f t="shared" si="20"/>
        <v>0.84444444444444444</v>
      </c>
      <c r="AU118" s="38">
        <f t="shared" si="21"/>
        <v>1</v>
      </c>
      <c r="AV118" s="27">
        <f t="shared" si="22"/>
        <v>0.84444444444444444</v>
      </c>
    </row>
    <row r="119" spans="1:48" s="1" customFormat="1" ht="21" customHeight="1" x14ac:dyDescent="0.25">
      <c r="A119" s="109">
        <v>46032</v>
      </c>
      <c r="B119" s="47" t="s">
        <v>49</v>
      </c>
      <c r="C119" s="88" t="s">
        <v>21</v>
      </c>
      <c r="D119" s="47" t="s">
        <v>124</v>
      </c>
      <c r="E119" s="48">
        <v>98992</v>
      </c>
      <c r="F119" s="48" t="s">
        <v>215</v>
      </c>
      <c r="G119" s="48" t="s">
        <v>125</v>
      </c>
      <c r="H119" s="30">
        <v>15671</v>
      </c>
      <c r="I119" s="30"/>
      <c r="J119" s="30">
        <v>32</v>
      </c>
      <c r="K119" s="28">
        <f t="shared" si="15"/>
        <v>112.5</v>
      </c>
      <c r="L119" s="31">
        <v>0.25</v>
      </c>
      <c r="M119" s="31">
        <v>0.60416666666666663</v>
      </c>
      <c r="N119" s="32">
        <f t="shared" si="23"/>
        <v>0.35416666666666663</v>
      </c>
      <c r="O119" s="36">
        <v>510</v>
      </c>
      <c r="P119" s="36">
        <f t="shared" si="7"/>
        <v>440</v>
      </c>
      <c r="Q119" s="36">
        <f t="shared" si="16"/>
        <v>440</v>
      </c>
      <c r="R119" s="15">
        <v>0</v>
      </c>
      <c r="S119" s="20">
        <v>0</v>
      </c>
      <c r="T119" s="16">
        <v>0</v>
      </c>
      <c r="U119" s="16">
        <v>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15">
        <f t="shared" si="24"/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30</v>
      </c>
      <c r="AK119" s="15">
        <v>10</v>
      </c>
      <c r="AL119" s="15">
        <v>30</v>
      </c>
      <c r="AM119" s="15">
        <f t="shared" si="4"/>
        <v>70</v>
      </c>
      <c r="AN119" s="29">
        <f t="shared" si="17"/>
        <v>825</v>
      </c>
      <c r="AO119" s="19">
        <v>722</v>
      </c>
      <c r="AP119" s="21">
        <v>0</v>
      </c>
      <c r="AQ119" s="22">
        <v>0</v>
      </c>
      <c r="AR119" s="26">
        <f t="shared" si="18"/>
        <v>722</v>
      </c>
      <c r="AS119" s="37">
        <f t="shared" si="19"/>
        <v>1</v>
      </c>
      <c r="AT119" s="38">
        <f t="shared" si="20"/>
        <v>0.87515151515151512</v>
      </c>
      <c r="AU119" s="38">
        <f t="shared" si="21"/>
        <v>1</v>
      </c>
      <c r="AV119" s="27">
        <f t="shared" si="22"/>
        <v>0.87515151515151512</v>
      </c>
    </row>
    <row r="120" spans="1:48" s="1" customFormat="1" ht="21" customHeight="1" x14ac:dyDescent="0.25">
      <c r="A120" s="109">
        <v>46032</v>
      </c>
      <c r="B120" s="47" t="s">
        <v>49</v>
      </c>
      <c r="C120" s="88" t="s">
        <v>21</v>
      </c>
      <c r="D120" s="47" t="s">
        <v>122</v>
      </c>
      <c r="E120" s="48">
        <v>98992</v>
      </c>
      <c r="F120" s="48" t="s">
        <v>169</v>
      </c>
      <c r="G120" s="48" t="s">
        <v>125</v>
      </c>
      <c r="H120" s="30">
        <v>14976</v>
      </c>
      <c r="I120" s="30"/>
      <c r="J120" s="30">
        <v>32</v>
      </c>
      <c r="K120" s="28">
        <f t="shared" si="15"/>
        <v>112.5</v>
      </c>
      <c r="L120" s="31">
        <v>0.25</v>
      </c>
      <c r="M120" s="31">
        <v>0.60416666666666663</v>
      </c>
      <c r="N120" s="32">
        <f t="shared" si="23"/>
        <v>0.35416666666666663</v>
      </c>
      <c r="O120" s="36">
        <v>510</v>
      </c>
      <c r="P120" s="36">
        <f t="shared" si="7"/>
        <v>320</v>
      </c>
      <c r="Q120" s="36">
        <f t="shared" si="16"/>
        <v>320</v>
      </c>
      <c r="R120" s="15">
        <v>0</v>
      </c>
      <c r="S120" s="20">
        <v>0</v>
      </c>
      <c r="T120" s="16">
        <v>0</v>
      </c>
      <c r="U120" s="16">
        <v>0</v>
      </c>
      <c r="V120" s="20">
        <v>0</v>
      </c>
      <c r="W120" s="20">
        <v>0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D120" s="15">
        <f t="shared" si="24"/>
        <v>0</v>
      </c>
      <c r="AE120" s="15">
        <v>0</v>
      </c>
      <c r="AF120" s="15">
        <v>0</v>
      </c>
      <c r="AG120" s="15">
        <v>0</v>
      </c>
      <c r="AH120" s="15">
        <v>120</v>
      </c>
      <c r="AI120" s="15">
        <v>0</v>
      </c>
      <c r="AJ120" s="15">
        <v>30</v>
      </c>
      <c r="AK120" s="15">
        <v>10</v>
      </c>
      <c r="AL120" s="15">
        <v>30</v>
      </c>
      <c r="AM120" s="15">
        <f t="shared" si="4"/>
        <v>190</v>
      </c>
      <c r="AN120" s="29">
        <f t="shared" si="17"/>
        <v>600</v>
      </c>
      <c r="AO120" s="19">
        <v>518</v>
      </c>
      <c r="AP120" s="21">
        <v>0</v>
      </c>
      <c r="AQ120" s="22">
        <v>0</v>
      </c>
      <c r="AR120" s="26">
        <f t="shared" si="18"/>
        <v>518</v>
      </c>
      <c r="AS120" s="37">
        <f t="shared" si="19"/>
        <v>1</v>
      </c>
      <c r="AT120" s="38">
        <f t="shared" si="20"/>
        <v>0.86333333333333329</v>
      </c>
      <c r="AU120" s="38">
        <f t="shared" si="21"/>
        <v>1</v>
      </c>
      <c r="AV120" s="27">
        <f t="shared" si="22"/>
        <v>0.86333333333333329</v>
      </c>
    </row>
    <row r="121" spans="1:48" s="1" customFormat="1" ht="21" customHeight="1" x14ac:dyDescent="0.25">
      <c r="A121" s="109">
        <v>46032</v>
      </c>
      <c r="B121" s="47" t="s">
        <v>49</v>
      </c>
      <c r="C121" s="88" t="s">
        <v>21</v>
      </c>
      <c r="D121" s="47" t="s">
        <v>128</v>
      </c>
      <c r="E121" s="48">
        <v>98992</v>
      </c>
      <c r="F121" s="48" t="s">
        <v>53</v>
      </c>
      <c r="G121" s="48" t="s">
        <v>125</v>
      </c>
      <c r="H121" s="30">
        <v>16146</v>
      </c>
      <c r="I121" s="30"/>
      <c r="J121" s="30">
        <v>32</v>
      </c>
      <c r="K121" s="28">
        <f t="shared" si="15"/>
        <v>112.5</v>
      </c>
      <c r="L121" s="31">
        <v>0.25</v>
      </c>
      <c r="M121" s="31">
        <v>0.60416666666666663</v>
      </c>
      <c r="N121" s="32">
        <f t="shared" si="23"/>
        <v>0.35416666666666663</v>
      </c>
      <c r="O121" s="36">
        <v>510</v>
      </c>
      <c r="P121" s="36">
        <f t="shared" si="7"/>
        <v>260</v>
      </c>
      <c r="Q121" s="36">
        <f t="shared" si="16"/>
        <v>260</v>
      </c>
      <c r="R121" s="15">
        <v>0</v>
      </c>
      <c r="S121" s="20">
        <v>0</v>
      </c>
      <c r="T121" s="16">
        <v>0</v>
      </c>
      <c r="U121" s="16">
        <v>0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15">
        <f t="shared" si="24"/>
        <v>0</v>
      </c>
      <c r="AE121" s="15">
        <v>0</v>
      </c>
      <c r="AF121" s="15">
        <v>0</v>
      </c>
      <c r="AG121" s="15">
        <v>0</v>
      </c>
      <c r="AH121" s="15">
        <v>120</v>
      </c>
      <c r="AI121" s="15">
        <v>60</v>
      </c>
      <c r="AJ121" s="15">
        <v>30</v>
      </c>
      <c r="AK121" s="15">
        <v>10</v>
      </c>
      <c r="AL121" s="15">
        <v>30</v>
      </c>
      <c r="AM121" s="15">
        <f t="shared" si="4"/>
        <v>250</v>
      </c>
      <c r="AN121" s="29">
        <f t="shared" si="17"/>
        <v>487.5</v>
      </c>
      <c r="AO121" s="19">
        <v>420</v>
      </c>
      <c r="AP121" s="21">
        <v>0</v>
      </c>
      <c r="AQ121" s="22">
        <v>0</v>
      </c>
      <c r="AR121" s="26">
        <f t="shared" si="18"/>
        <v>420</v>
      </c>
      <c r="AS121" s="37">
        <f t="shared" si="19"/>
        <v>1</v>
      </c>
      <c r="AT121" s="38">
        <f t="shared" si="20"/>
        <v>0.86153846153846159</v>
      </c>
      <c r="AU121" s="38">
        <f t="shared" si="21"/>
        <v>1</v>
      </c>
      <c r="AV121" s="27">
        <f t="shared" si="22"/>
        <v>0.86153846153846159</v>
      </c>
    </row>
    <row r="122" spans="1:48" s="1" customFormat="1" ht="21" customHeight="1" x14ac:dyDescent="0.25">
      <c r="A122" s="109">
        <v>46032</v>
      </c>
      <c r="B122" s="47" t="s">
        <v>49</v>
      </c>
      <c r="C122" s="88" t="s">
        <v>21</v>
      </c>
      <c r="D122" s="47" t="s">
        <v>170</v>
      </c>
      <c r="E122" s="48">
        <v>98992</v>
      </c>
      <c r="F122" s="48" t="s">
        <v>176</v>
      </c>
      <c r="G122" s="48" t="s">
        <v>125</v>
      </c>
      <c r="H122" s="30">
        <v>15114</v>
      </c>
      <c r="I122" s="30"/>
      <c r="J122" s="30">
        <v>20</v>
      </c>
      <c r="K122" s="28">
        <f t="shared" si="15"/>
        <v>180</v>
      </c>
      <c r="L122" s="31">
        <v>0.25</v>
      </c>
      <c r="M122" s="31">
        <v>0.60416666666666663</v>
      </c>
      <c r="N122" s="32">
        <f t="shared" si="23"/>
        <v>0.35416666666666663</v>
      </c>
      <c r="O122" s="36">
        <v>510</v>
      </c>
      <c r="P122" s="36">
        <f t="shared" si="7"/>
        <v>180</v>
      </c>
      <c r="Q122" s="36">
        <f t="shared" si="16"/>
        <v>180</v>
      </c>
      <c r="R122" s="15">
        <v>0</v>
      </c>
      <c r="S122" s="20">
        <v>0</v>
      </c>
      <c r="T122" s="16">
        <v>0</v>
      </c>
      <c r="U122" s="16">
        <v>0</v>
      </c>
      <c r="V122" s="20">
        <v>0</v>
      </c>
      <c r="W122" s="20">
        <v>0</v>
      </c>
      <c r="X122" s="20">
        <v>0</v>
      </c>
      <c r="Y122" s="20">
        <v>0</v>
      </c>
      <c r="Z122" s="20">
        <v>0</v>
      </c>
      <c r="AA122" s="20">
        <v>0</v>
      </c>
      <c r="AB122" s="20">
        <v>0</v>
      </c>
      <c r="AC122" s="20">
        <v>0</v>
      </c>
      <c r="AD122" s="15">
        <f t="shared" si="24"/>
        <v>0</v>
      </c>
      <c r="AE122" s="15">
        <v>0</v>
      </c>
      <c r="AF122" s="15">
        <v>0</v>
      </c>
      <c r="AG122" s="15">
        <v>0</v>
      </c>
      <c r="AH122" s="15">
        <v>200</v>
      </c>
      <c r="AI122" s="15">
        <v>60</v>
      </c>
      <c r="AJ122" s="15">
        <v>30</v>
      </c>
      <c r="AK122" s="15">
        <v>10</v>
      </c>
      <c r="AL122" s="15">
        <v>30</v>
      </c>
      <c r="AM122" s="15">
        <f t="shared" si="4"/>
        <v>330</v>
      </c>
      <c r="AN122" s="29">
        <f t="shared" si="17"/>
        <v>540</v>
      </c>
      <c r="AO122" s="19">
        <v>492</v>
      </c>
      <c r="AP122" s="21">
        <v>0</v>
      </c>
      <c r="AQ122" s="22">
        <v>0</v>
      </c>
      <c r="AR122" s="26">
        <f t="shared" si="18"/>
        <v>492</v>
      </c>
      <c r="AS122" s="37">
        <f t="shared" si="19"/>
        <v>1</v>
      </c>
      <c r="AT122" s="38">
        <f t="shared" si="20"/>
        <v>0.91111111111111109</v>
      </c>
      <c r="AU122" s="38">
        <f t="shared" si="21"/>
        <v>1</v>
      </c>
      <c r="AV122" s="27">
        <f t="shared" si="22"/>
        <v>0.91111111111111109</v>
      </c>
    </row>
    <row r="123" spans="1:48" s="1" customFormat="1" ht="21" customHeight="1" x14ac:dyDescent="0.25">
      <c r="A123" s="109">
        <v>46032</v>
      </c>
      <c r="B123" s="47" t="s">
        <v>49</v>
      </c>
      <c r="C123" s="88" t="s">
        <v>21</v>
      </c>
      <c r="D123" s="47" t="s">
        <v>127</v>
      </c>
      <c r="E123" s="48">
        <v>98992</v>
      </c>
      <c r="F123" s="48" t="s">
        <v>175</v>
      </c>
      <c r="G123" s="48" t="s">
        <v>125</v>
      </c>
      <c r="H123" s="30">
        <v>15036</v>
      </c>
      <c r="I123" s="30"/>
      <c r="J123" s="30">
        <v>20</v>
      </c>
      <c r="K123" s="28">
        <f t="shared" si="15"/>
        <v>180</v>
      </c>
      <c r="L123" s="31">
        <v>0.25</v>
      </c>
      <c r="M123" s="31">
        <v>0.60416666666666663</v>
      </c>
      <c r="N123" s="32">
        <f t="shared" si="23"/>
        <v>0.35416666666666663</v>
      </c>
      <c r="O123" s="36">
        <v>510</v>
      </c>
      <c r="P123" s="36">
        <f t="shared" si="7"/>
        <v>180</v>
      </c>
      <c r="Q123" s="36">
        <f t="shared" si="16"/>
        <v>180</v>
      </c>
      <c r="R123" s="15">
        <v>0</v>
      </c>
      <c r="S123" s="20">
        <v>0</v>
      </c>
      <c r="T123" s="16">
        <v>0</v>
      </c>
      <c r="U123" s="16">
        <v>0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15">
        <f t="shared" si="24"/>
        <v>0</v>
      </c>
      <c r="AE123" s="15">
        <v>0</v>
      </c>
      <c r="AF123" s="15">
        <v>0</v>
      </c>
      <c r="AG123" s="15">
        <v>0</v>
      </c>
      <c r="AH123" s="15">
        <v>200</v>
      </c>
      <c r="AI123" s="15">
        <v>60</v>
      </c>
      <c r="AJ123" s="15">
        <v>30</v>
      </c>
      <c r="AK123" s="15">
        <v>10</v>
      </c>
      <c r="AL123" s="15">
        <v>30</v>
      </c>
      <c r="AM123" s="15">
        <f t="shared" si="4"/>
        <v>330</v>
      </c>
      <c r="AN123" s="29">
        <f t="shared" si="17"/>
        <v>540</v>
      </c>
      <c r="AO123" s="19">
        <v>436</v>
      </c>
      <c r="AP123" s="21">
        <v>0</v>
      </c>
      <c r="AQ123" s="22">
        <v>0</v>
      </c>
      <c r="AR123" s="26">
        <f t="shared" si="18"/>
        <v>436</v>
      </c>
      <c r="AS123" s="37">
        <f t="shared" si="19"/>
        <v>1</v>
      </c>
      <c r="AT123" s="38">
        <f t="shared" si="20"/>
        <v>0.80740740740740746</v>
      </c>
      <c r="AU123" s="38">
        <f t="shared" si="21"/>
        <v>1</v>
      </c>
      <c r="AV123" s="27">
        <f t="shared" si="22"/>
        <v>0.80740740740740746</v>
      </c>
    </row>
    <row r="124" spans="1:48" s="1" customFormat="1" ht="21.75" customHeight="1" x14ac:dyDescent="0.25">
      <c r="A124" s="109">
        <v>46032</v>
      </c>
      <c r="B124" s="47" t="s">
        <v>49</v>
      </c>
      <c r="C124" s="88" t="s">
        <v>51</v>
      </c>
      <c r="D124" s="47" t="s">
        <v>94</v>
      </c>
      <c r="E124" s="48">
        <v>98992</v>
      </c>
      <c r="F124" s="48" t="s">
        <v>67</v>
      </c>
      <c r="G124" s="48" t="s">
        <v>174</v>
      </c>
      <c r="H124" s="30">
        <v>13562</v>
      </c>
      <c r="I124" s="30"/>
      <c r="J124" s="30">
        <v>24</v>
      </c>
      <c r="K124" s="28">
        <f t="shared" si="15"/>
        <v>150</v>
      </c>
      <c r="L124" s="31">
        <v>0.58333333333333337</v>
      </c>
      <c r="M124" s="31">
        <v>0.9375</v>
      </c>
      <c r="N124" s="32">
        <f t="shared" si="23"/>
        <v>0.35416666666666663</v>
      </c>
      <c r="O124" s="36">
        <v>510</v>
      </c>
      <c r="P124" s="36">
        <f t="shared" si="7"/>
        <v>440</v>
      </c>
      <c r="Q124" s="36">
        <f t="shared" si="16"/>
        <v>440</v>
      </c>
      <c r="R124" s="15">
        <v>0</v>
      </c>
      <c r="S124" s="20">
        <v>0</v>
      </c>
      <c r="T124" s="16">
        <v>0</v>
      </c>
      <c r="U124" s="16">
        <v>0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15">
        <f t="shared" si="24"/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30</v>
      </c>
      <c r="AK124" s="15">
        <v>10</v>
      </c>
      <c r="AL124" s="15">
        <v>30</v>
      </c>
      <c r="AM124" s="15">
        <f t="shared" si="4"/>
        <v>70</v>
      </c>
      <c r="AN124" s="29">
        <f t="shared" si="17"/>
        <v>1100</v>
      </c>
      <c r="AO124" s="19">
        <v>1016</v>
      </c>
      <c r="AP124" s="21">
        <v>0</v>
      </c>
      <c r="AQ124" s="22">
        <v>0</v>
      </c>
      <c r="AR124" s="26">
        <f t="shared" si="18"/>
        <v>1016</v>
      </c>
      <c r="AS124" s="37">
        <f t="shared" si="19"/>
        <v>1</v>
      </c>
      <c r="AT124" s="38">
        <f t="shared" si="20"/>
        <v>0.92363636363636359</v>
      </c>
      <c r="AU124" s="38">
        <f t="shared" si="21"/>
        <v>1</v>
      </c>
      <c r="AV124" s="27">
        <f t="shared" si="22"/>
        <v>0.92363636363636359</v>
      </c>
    </row>
    <row r="125" spans="1:48" s="1" customFormat="1" ht="21" customHeight="1" x14ac:dyDescent="0.25">
      <c r="A125" s="109">
        <v>46032</v>
      </c>
      <c r="B125" s="47" t="s">
        <v>49</v>
      </c>
      <c r="C125" s="88" t="s">
        <v>51</v>
      </c>
      <c r="D125" s="47" t="s">
        <v>88</v>
      </c>
      <c r="E125" s="48">
        <v>98992</v>
      </c>
      <c r="F125" s="48" t="s">
        <v>126</v>
      </c>
      <c r="G125" s="48" t="s">
        <v>87</v>
      </c>
      <c r="H125" s="30">
        <v>15036</v>
      </c>
      <c r="I125" s="30"/>
      <c r="J125" s="30">
        <v>32</v>
      </c>
      <c r="K125" s="28">
        <f t="shared" si="15"/>
        <v>112.5</v>
      </c>
      <c r="L125" s="31">
        <v>0.58333333333333337</v>
      </c>
      <c r="M125" s="31">
        <v>0.9375</v>
      </c>
      <c r="N125" s="32">
        <f t="shared" si="23"/>
        <v>0.35416666666666663</v>
      </c>
      <c r="O125" s="36">
        <v>510</v>
      </c>
      <c r="P125" s="36">
        <f t="shared" si="7"/>
        <v>260</v>
      </c>
      <c r="Q125" s="36">
        <f t="shared" si="16"/>
        <v>260</v>
      </c>
      <c r="R125" s="15">
        <v>0</v>
      </c>
      <c r="S125" s="20">
        <v>0</v>
      </c>
      <c r="T125" s="16">
        <v>0</v>
      </c>
      <c r="U125" s="16">
        <v>0</v>
      </c>
      <c r="V125" s="20">
        <v>0</v>
      </c>
      <c r="W125" s="20">
        <v>0</v>
      </c>
      <c r="X125" s="20">
        <v>0</v>
      </c>
      <c r="Y125" s="20">
        <v>0</v>
      </c>
      <c r="Z125" s="20">
        <v>0</v>
      </c>
      <c r="AA125" s="20">
        <v>0</v>
      </c>
      <c r="AB125" s="20">
        <v>0</v>
      </c>
      <c r="AC125" s="20">
        <v>0</v>
      </c>
      <c r="AD125" s="15">
        <f t="shared" si="24"/>
        <v>0</v>
      </c>
      <c r="AE125" s="15">
        <v>0</v>
      </c>
      <c r="AF125" s="15">
        <v>0</v>
      </c>
      <c r="AG125" s="15">
        <v>0</v>
      </c>
      <c r="AH125" s="15">
        <v>180</v>
      </c>
      <c r="AI125" s="15">
        <v>0</v>
      </c>
      <c r="AJ125" s="15">
        <v>30</v>
      </c>
      <c r="AK125" s="15">
        <v>10</v>
      </c>
      <c r="AL125" s="15">
        <v>30</v>
      </c>
      <c r="AM125" s="15">
        <f t="shared" si="4"/>
        <v>250</v>
      </c>
      <c r="AN125" s="29">
        <f t="shared" si="17"/>
        <v>487.5</v>
      </c>
      <c r="AO125" s="19">
        <v>419</v>
      </c>
      <c r="AP125" s="21">
        <v>0</v>
      </c>
      <c r="AQ125" s="22">
        <v>0</v>
      </c>
      <c r="AR125" s="26">
        <f t="shared" si="18"/>
        <v>419</v>
      </c>
      <c r="AS125" s="37">
        <f t="shared" si="19"/>
        <v>1</v>
      </c>
      <c r="AT125" s="38">
        <f t="shared" si="20"/>
        <v>0.85948717948717945</v>
      </c>
      <c r="AU125" s="38">
        <f t="shared" si="21"/>
        <v>1</v>
      </c>
      <c r="AV125" s="27">
        <f t="shared" si="22"/>
        <v>0.85948717948717945</v>
      </c>
    </row>
    <row r="126" spans="1:48" s="1" customFormat="1" ht="21" customHeight="1" x14ac:dyDescent="0.25">
      <c r="A126" s="109">
        <v>46032</v>
      </c>
      <c r="B126" s="47" t="s">
        <v>49</v>
      </c>
      <c r="C126" s="88" t="s">
        <v>51</v>
      </c>
      <c r="D126" s="47" t="s">
        <v>89</v>
      </c>
      <c r="E126" s="48">
        <v>98992</v>
      </c>
      <c r="F126" s="48" t="s">
        <v>169</v>
      </c>
      <c r="G126" s="48" t="s">
        <v>87</v>
      </c>
      <c r="H126" s="30">
        <v>16219</v>
      </c>
      <c r="I126" s="30"/>
      <c r="J126" s="30">
        <v>32</v>
      </c>
      <c r="K126" s="28">
        <f t="shared" si="15"/>
        <v>112.5</v>
      </c>
      <c r="L126" s="31">
        <v>0.58333333333333337</v>
      </c>
      <c r="M126" s="31">
        <v>0.9375</v>
      </c>
      <c r="N126" s="32">
        <f t="shared" si="23"/>
        <v>0.35416666666666663</v>
      </c>
      <c r="O126" s="36">
        <v>510</v>
      </c>
      <c r="P126" s="36">
        <f t="shared" si="7"/>
        <v>440</v>
      </c>
      <c r="Q126" s="36">
        <f t="shared" si="16"/>
        <v>440</v>
      </c>
      <c r="R126" s="15">
        <v>0</v>
      </c>
      <c r="S126" s="20">
        <v>0</v>
      </c>
      <c r="T126" s="16">
        <v>0</v>
      </c>
      <c r="U126" s="16">
        <v>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15">
        <f t="shared" si="24"/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  <c r="AJ126" s="15">
        <v>30</v>
      </c>
      <c r="AK126" s="15">
        <v>10</v>
      </c>
      <c r="AL126" s="15">
        <v>30</v>
      </c>
      <c r="AM126" s="15">
        <f t="shared" si="4"/>
        <v>70</v>
      </c>
      <c r="AN126" s="29">
        <f t="shared" si="17"/>
        <v>825</v>
      </c>
      <c r="AO126" s="19">
        <v>601</v>
      </c>
      <c r="AP126" s="21">
        <v>0</v>
      </c>
      <c r="AQ126" s="22">
        <v>0</v>
      </c>
      <c r="AR126" s="26">
        <f t="shared" si="18"/>
        <v>601</v>
      </c>
      <c r="AS126" s="37">
        <f t="shared" si="19"/>
        <v>1</v>
      </c>
      <c r="AT126" s="38">
        <f t="shared" si="20"/>
        <v>0.72848484848484851</v>
      </c>
      <c r="AU126" s="38">
        <f t="shared" si="21"/>
        <v>1</v>
      </c>
      <c r="AV126" s="27">
        <f t="shared" si="22"/>
        <v>0.72848484848484851</v>
      </c>
    </row>
    <row r="127" spans="1:48" s="1" customFormat="1" ht="19.5" customHeight="1" x14ac:dyDescent="0.25">
      <c r="A127" s="109">
        <v>46032</v>
      </c>
      <c r="B127" s="47" t="s">
        <v>49</v>
      </c>
      <c r="C127" s="88" t="s">
        <v>51</v>
      </c>
      <c r="D127" s="47" t="s">
        <v>52</v>
      </c>
      <c r="E127" s="48">
        <v>98992</v>
      </c>
      <c r="F127" s="48" t="s">
        <v>53</v>
      </c>
      <c r="G127" s="48" t="s">
        <v>87</v>
      </c>
      <c r="H127" s="30">
        <v>15731</v>
      </c>
      <c r="I127" s="30"/>
      <c r="J127" s="30">
        <v>32</v>
      </c>
      <c r="K127" s="28">
        <f t="shared" si="15"/>
        <v>112.5</v>
      </c>
      <c r="L127" s="31">
        <v>0.58333333333333337</v>
      </c>
      <c r="M127" s="31">
        <v>0.9375</v>
      </c>
      <c r="N127" s="32">
        <f t="shared" si="23"/>
        <v>0.35416666666666663</v>
      </c>
      <c r="O127" s="36">
        <v>510</v>
      </c>
      <c r="P127" s="36">
        <f t="shared" si="7"/>
        <v>440</v>
      </c>
      <c r="Q127" s="36">
        <f t="shared" si="16"/>
        <v>440</v>
      </c>
      <c r="R127" s="15">
        <v>0</v>
      </c>
      <c r="S127" s="20">
        <v>0</v>
      </c>
      <c r="T127" s="16">
        <v>0</v>
      </c>
      <c r="U127" s="16">
        <v>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15">
        <f t="shared" si="24"/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30</v>
      </c>
      <c r="AK127" s="15">
        <v>10</v>
      </c>
      <c r="AL127" s="15">
        <v>30</v>
      </c>
      <c r="AM127" s="15">
        <f t="shared" si="4"/>
        <v>70</v>
      </c>
      <c r="AN127" s="29">
        <f t="shared" si="17"/>
        <v>825</v>
      </c>
      <c r="AO127" s="19">
        <v>660</v>
      </c>
      <c r="AP127" s="21">
        <v>0</v>
      </c>
      <c r="AQ127" s="22">
        <v>1</v>
      </c>
      <c r="AR127" s="26">
        <f t="shared" si="18"/>
        <v>659</v>
      </c>
      <c r="AS127" s="37">
        <f t="shared" si="19"/>
        <v>1</v>
      </c>
      <c r="AT127" s="38">
        <f t="shared" si="20"/>
        <v>0.8</v>
      </c>
      <c r="AU127" s="38">
        <f t="shared" si="21"/>
        <v>0.99848484848484853</v>
      </c>
      <c r="AV127" s="27">
        <f t="shared" si="22"/>
        <v>0.79878787878787882</v>
      </c>
    </row>
    <row r="128" spans="1:48" s="1" customFormat="1" ht="21" customHeight="1" x14ac:dyDescent="0.25">
      <c r="A128" s="109">
        <v>46032</v>
      </c>
      <c r="B128" s="47" t="s">
        <v>49</v>
      </c>
      <c r="C128" s="88" t="s">
        <v>51</v>
      </c>
      <c r="D128" s="47" t="s">
        <v>86</v>
      </c>
      <c r="E128" s="48">
        <v>98992</v>
      </c>
      <c r="F128" s="48" t="s">
        <v>176</v>
      </c>
      <c r="G128" s="48" t="s">
        <v>87</v>
      </c>
      <c r="H128" s="30">
        <v>16146</v>
      </c>
      <c r="I128" s="30"/>
      <c r="J128" s="30">
        <v>20</v>
      </c>
      <c r="K128" s="28">
        <f t="shared" si="15"/>
        <v>180</v>
      </c>
      <c r="L128" s="31">
        <v>0.58333333333333337</v>
      </c>
      <c r="M128" s="31">
        <v>0.9375</v>
      </c>
      <c r="N128" s="32">
        <f t="shared" si="23"/>
        <v>0.35416666666666663</v>
      </c>
      <c r="O128" s="36">
        <v>510</v>
      </c>
      <c r="P128" s="36">
        <f t="shared" si="7"/>
        <v>220</v>
      </c>
      <c r="Q128" s="36">
        <f t="shared" si="16"/>
        <v>220</v>
      </c>
      <c r="R128" s="15">
        <v>0</v>
      </c>
      <c r="S128" s="20">
        <v>0</v>
      </c>
      <c r="T128" s="16">
        <v>0</v>
      </c>
      <c r="U128" s="16">
        <v>0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15">
        <f t="shared" si="24"/>
        <v>0</v>
      </c>
      <c r="AE128" s="15">
        <v>0</v>
      </c>
      <c r="AF128" s="15">
        <v>0</v>
      </c>
      <c r="AG128" s="15">
        <v>0</v>
      </c>
      <c r="AH128" s="15">
        <v>220</v>
      </c>
      <c r="AI128" s="15">
        <v>0</v>
      </c>
      <c r="AJ128" s="15">
        <v>30</v>
      </c>
      <c r="AK128" s="15">
        <v>10</v>
      </c>
      <c r="AL128" s="15">
        <v>30</v>
      </c>
      <c r="AM128" s="15">
        <f t="shared" si="4"/>
        <v>290</v>
      </c>
      <c r="AN128" s="29">
        <f t="shared" si="17"/>
        <v>660</v>
      </c>
      <c r="AO128" s="19">
        <v>504</v>
      </c>
      <c r="AP128" s="21">
        <v>0</v>
      </c>
      <c r="AQ128" s="22">
        <v>0</v>
      </c>
      <c r="AR128" s="26">
        <f t="shared" si="18"/>
        <v>504</v>
      </c>
      <c r="AS128" s="37">
        <f t="shared" si="19"/>
        <v>1</v>
      </c>
      <c r="AT128" s="38">
        <f t="shared" si="20"/>
        <v>0.76363636363636367</v>
      </c>
      <c r="AU128" s="38">
        <f t="shared" si="21"/>
        <v>1</v>
      </c>
      <c r="AV128" s="27">
        <f t="shared" si="22"/>
        <v>0.76363636363636367</v>
      </c>
    </row>
    <row r="129" spans="1:48" s="1" customFormat="1" ht="21" customHeight="1" x14ac:dyDescent="0.25">
      <c r="A129" s="109">
        <v>46032</v>
      </c>
      <c r="B129" s="47" t="s">
        <v>49</v>
      </c>
      <c r="C129" s="88" t="s">
        <v>51</v>
      </c>
      <c r="D129" s="47" t="s">
        <v>124</v>
      </c>
      <c r="E129" s="48">
        <v>98992</v>
      </c>
      <c r="F129" s="48" t="s">
        <v>215</v>
      </c>
      <c r="G129" s="48" t="s">
        <v>125</v>
      </c>
      <c r="H129" s="30">
        <v>13105</v>
      </c>
      <c r="I129" s="30"/>
      <c r="J129" s="30">
        <v>32</v>
      </c>
      <c r="K129" s="28">
        <f t="shared" si="15"/>
        <v>112.5</v>
      </c>
      <c r="L129" s="31">
        <v>0.58333333333333337</v>
      </c>
      <c r="M129" s="31">
        <v>0.9375</v>
      </c>
      <c r="N129" s="32">
        <f t="shared" si="23"/>
        <v>0.35416666666666663</v>
      </c>
      <c r="O129" s="36">
        <v>510</v>
      </c>
      <c r="P129" s="36">
        <f t="shared" si="7"/>
        <v>440</v>
      </c>
      <c r="Q129" s="36">
        <f t="shared" si="16"/>
        <v>440</v>
      </c>
      <c r="R129" s="15">
        <v>0</v>
      </c>
      <c r="S129" s="20">
        <v>0</v>
      </c>
      <c r="T129" s="16">
        <v>0</v>
      </c>
      <c r="U129" s="16">
        <v>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15">
        <f t="shared" si="24"/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30</v>
      </c>
      <c r="AK129" s="15">
        <v>10</v>
      </c>
      <c r="AL129" s="15">
        <v>30</v>
      </c>
      <c r="AM129" s="15">
        <f t="shared" si="4"/>
        <v>70</v>
      </c>
      <c r="AN129" s="29">
        <f t="shared" si="17"/>
        <v>825</v>
      </c>
      <c r="AO129" s="19">
        <v>800</v>
      </c>
      <c r="AP129" s="21">
        <v>0</v>
      </c>
      <c r="AQ129" s="22">
        <v>0</v>
      </c>
      <c r="AR129" s="26">
        <f t="shared" si="18"/>
        <v>800</v>
      </c>
      <c r="AS129" s="37">
        <f t="shared" si="19"/>
        <v>1</v>
      </c>
      <c r="AT129" s="38">
        <f t="shared" si="20"/>
        <v>0.96969696969696972</v>
      </c>
      <c r="AU129" s="38">
        <f t="shared" si="21"/>
        <v>1</v>
      </c>
      <c r="AV129" s="27">
        <f t="shared" si="22"/>
        <v>0.96969696969696972</v>
      </c>
    </row>
    <row r="130" spans="1:48" s="1" customFormat="1" ht="21" customHeight="1" x14ac:dyDescent="0.25">
      <c r="A130" s="109">
        <v>46032</v>
      </c>
      <c r="B130" s="47" t="s">
        <v>49</v>
      </c>
      <c r="C130" s="88" t="s">
        <v>51</v>
      </c>
      <c r="D130" s="47" t="s">
        <v>122</v>
      </c>
      <c r="E130" s="48">
        <v>98992</v>
      </c>
      <c r="F130" s="48" t="s">
        <v>169</v>
      </c>
      <c r="G130" s="48" t="s">
        <v>125</v>
      </c>
      <c r="H130" s="30">
        <v>13106</v>
      </c>
      <c r="I130" s="30"/>
      <c r="J130" s="30">
        <v>32</v>
      </c>
      <c r="K130" s="28">
        <f t="shared" si="15"/>
        <v>112.5</v>
      </c>
      <c r="L130" s="31">
        <v>0.58333333333333337</v>
      </c>
      <c r="M130" s="31">
        <v>0.9375</v>
      </c>
      <c r="N130" s="32">
        <f t="shared" si="23"/>
        <v>0.35416666666666663</v>
      </c>
      <c r="O130" s="36">
        <v>510</v>
      </c>
      <c r="P130" s="36">
        <f t="shared" si="7"/>
        <v>440</v>
      </c>
      <c r="Q130" s="36">
        <f t="shared" si="16"/>
        <v>440</v>
      </c>
      <c r="R130" s="15">
        <v>0</v>
      </c>
      <c r="S130" s="20">
        <v>0</v>
      </c>
      <c r="T130" s="16">
        <v>0</v>
      </c>
      <c r="U130" s="16">
        <v>0</v>
      </c>
      <c r="V130" s="20">
        <v>0</v>
      </c>
      <c r="W130" s="20">
        <v>0</v>
      </c>
      <c r="X130" s="20">
        <v>0</v>
      </c>
      <c r="Y130" s="20">
        <v>0</v>
      </c>
      <c r="Z130" s="20">
        <v>0</v>
      </c>
      <c r="AA130" s="20">
        <v>0</v>
      </c>
      <c r="AB130" s="20">
        <v>0</v>
      </c>
      <c r="AC130" s="20">
        <v>0</v>
      </c>
      <c r="AD130" s="15">
        <f t="shared" si="24"/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30</v>
      </c>
      <c r="AK130" s="15">
        <v>10</v>
      </c>
      <c r="AL130" s="15">
        <v>30</v>
      </c>
      <c r="AM130" s="15">
        <f t="shared" si="4"/>
        <v>70</v>
      </c>
      <c r="AN130" s="29">
        <f t="shared" si="17"/>
        <v>825</v>
      </c>
      <c r="AO130" s="19">
        <v>652</v>
      </c>
      <c r="AP130" s="21">
        <v>0</v>
      </c>
      <c r="AQ130" s="22">
        <v>0</v>
      </c>
      <c r="AR130" s="26">
        <f t="shared" si="18"/>
        <v>652</v>
      </c>
      <c r="AS130" s="37">
        <f t="shared" si="19"/>
        <v>1</v>
      </c>
      <c r="AT130" s="38">
        <f t="shared" si="20"/>
        <v>0.79030303030303028</v>
      </c>
      <c r="AU130" s="38">
        <f t="shared" si="21"/>
        <v>1</v>
      </c>
      <c r="AV130" s="27">
        <f t="shared" si="22"/>
        <v>0.79030303030303028</v>
      </c>
    </row>
    <row r="131" spans="1:48" s="1" customFormat="1" ht="21" customHeight="1" x14ac:dyDescent="0.25">
      <c r="A131" s="109">
        <v>46032</v>
      </c>
      <c r="B131" s="47" t="s">
        <v>49</v>
      </c>
      <c r="C131" s="88" t="s">
        <v>51</v>
      </c>
      <c r="D131" s="47" t="s">
        <v>128</v>
      </c>
      <c r="E131" s="48">
        <v>98992</v>
      </c>
      <c r="F131" s="48" t="s">
        <v>53</v>
      </c>
      <c r="G131" s="48" t="s">
        <v>125</v>
      </c>
      <c r="H131" s="30">
        <v>15618</v>
      </c>
      <c r="I131" s="30"/>
      <c r="J131" s="30">
        <v>32</v>
      </c>
      <c r="K131" s="28">
        <f t="shared" si="15"/>
        <v>112.5</v>
      </c>
      <c r="L131" s="31">
        <v>0.58333333333333337</v>
      </c>
      <c r="M131" s="31">
        <v>0.9375</v>
      </c>
      <c r="N131" s="32">
        <f t="shared" si="23"/>
        <v>0.35416666666666663</v>
      </c>
      <c r="O131" s="36">
        <v>510</v>
      </c>
      <c r="P131" s="36">
        <f t="shared" si="7"/>
        <v>440</v>
      </c>
      <c r="Q131" s="36">
        <f t="shared" si="16"/>
        <v>440</v>
      </c>
      <c r="R131" s="15">
        <v>0</v>
      </c>
      <c r="S131" s="20">
        <v>0</v>
      </c>
      <c r="T131" s="16">
        <v>0</v>
      </c>
      <c r="U131" s="16">
        <v>0</v>
      </c>
      <c r="V131" s="20">
        <v>0</v>
      </c>
      <c r="W131" s="20">
        <v>0</v>
      </c>
      <c r="X131" s="20">
        <v>0</v>
      </c>
      <c r="Y131" s="20">
        <v>0</v>
      </c>
      <c r="Z131" s="20">
        <v>0</v>
      </c>
      <c r="AA131" s="20">
        <v>0</v>
      </c>
      <c r="AB131" s="20">
        <v>0</v>
      </c>
      <c r="AC131" s="20">
        <v>0</v>
      </c>
      <c r="AD131" s="15">
        <f t="shared" si="24"/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  <c r="AJ131" s="15">
        <v>30</v>
      </c>
      <c r="AK131" s="15">
        <v>10</v>
      </c>
      <c r="AL131" s="15">
        <v>30</v>
      </c>
      <c r="AM131" s="15">
        <f t="shared" si="4"/>
        <v>70</v>
      </c>
      <c r="AN131" s="29">
        <f t="shared" si="17"/>
        <v>825</v>
      </c>
      <c r="AO131" s="19">
        <v>615</v>
      </c>
      <c r="AP131" s="21">
        <v>0</v>
      </c>
      <c r="AQ131" s="22">
        <v>0</v>
      </c>
      <c r="AR131" s="26">
        <f t="shared" si="18"/>
        <v>615</v>
      </c>
      <c r="AS131" s="37">
        <f t="shared" si="19"/>
        <v>1</v>
      </c>
      <c r="AT131" s="38">
        <f t="shared" si="20"/>
        <v>0.74545454545454548</v>
      </c>
      <c r="AU131" s="38">
        <f t="shared" si="21"/>
        <v>1</v>
      </c>
      <c r="AV131" s="27">
        <f t="shared" si="22"/>
        <v>0.74545454545454548</v>
      </c>
    </row>
    <row r="132" spans="1:48" s="1" customFormat="1" ht="21" customHeight="1" x14ac:dyDescent="0.25">
      <c r="A132" s="109">
        <v>46032</v>
      </c>
      <c r="B132" s="47" t="s">
        <v>49</v>
      </c>
      <c r="C132" s="88" t="s">
        <v>51</v>
      </c>
      <c r="D132" s="47" t="s">
        <v>170</v>
      </c>
      <c r="E132" s="48">
        <v>98992</v>
      </c>
      <c r="F132" s="48" t="s">
        <v>176</v>
      </c>
      <c r="G132" s="48" t="s">
        <v>125</v>
      </c>
      <c r="H132" s="30">
        <v>15859</v>
      </c>
      <c r="I132" s="30"/>
      <c r="J132" s="30">
        <v>20</v>
      </c>
      <c r="K132" s="28">
        <f t="shared" si="15"/>
        <v>180</v>
      </c>
      <c r="L132" s="31">
        <v>0.58333333333333337</v>
      </c>
      <c r="M132" s="31">
        <v>0.9375</v>
      </c>
      <c r="N132" s="32">
        <f t="shared" si="23"/>
        <v>0.35416666666666663</v>
      </c>
      <c r="O132" s="36">
        <v>510</v>
      </c>
      <c r="P132" s="36">
        <f t="shared" si="7"/>
        <v>320</v>
      </c>
      <c r="Q132" s="36">
        <f t="shared" si="16"/>
        <v>320</v>
      </c>
      <c r="R132" s="15">
        <v>0</v>
      </c>
      <c r="S132" s="20">
        <v>0</v>
      </c>
      <c r="T132" s="16">
        <v>0</v>
      </c>
      <c r="U132" s="16">
        <v>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15">
        <f t="shared" si="24"/>
        <v>0</v>
      </c>
      <c r="AE132" s="15">
        <v>0</v>
      </c>
      <c r="AF132" s="15">
        <v>0</v>
      </c>
      <c r="AG132" s="15">
        <v>0</v>
      </c>
      <c r="AH132" s="15">
        <v>120</v>
      </c>
      <c r="AI132" s="15">
        <v>0</v>
      </c>
      <c r="AJ132" s="15">
        <v>30</v>
      </c>
      <c r="AK132" s="15">
        <v>10</v>
      </c>
      <c r="AL132" s="15">
        <v>30</v>
      </c>
      <c r="AM132" s="15">
        <f t="shared" si="4"/>
        <v>190</v>
      </c>
      <c r="AN132" s="29">
        <f t="shared" si="17"/>
        <v>960</v>
      </c>
      <c r="AO132" s="19">
        <v>880</v>
      </c>
      <c r="AP132" s="21">
        <v>0</v>
      </c>
      <c r="AQ132" s="22">
        <v>0</v>
      </c>
      <c r="AR132" s="26">
        <f t="shared" si="18"/>
        <v>880</v>
      </c>
      <c r="AS132" s="37">
        <f t="shared" si="19"/>
        <v>1</v>
      </c>
      <c r="AT132" s="38">
        <f t="shared" si="20"/>
        <v>0.91666666666666663</v>
      </c>
      <c r="AU132" s="38">
        <f t="shared" si="21"/>
        <v>1</v>
      </c>
      <c r="AV132" s="27">
        <f t="shared" si="22"/>
        <v>0.91666666666666663</v>
      </c>
    </row>
    <row r="133" spans="1:48" s="1" customFormat="1" ht="21" customHeight="1" x14ac:dyDescent="0.25">
      <c r="A133" s="109">
        <v>46032</v>
      </c>
      <c r="B133" s="47" t="s">
        <v>49</v>
      </c>
      <c r="C133" s="88" t="s">
        <v>51</v>
      </c>
      <c r="D133" s="47" t="s">
        <v>127</v>
      </c>
      <c r="E133" s="48">
        <v>98992</v>
      </c>
      <c r="F133" s="48" t="s">
        <v>175</v>
      </c>
      <c r="G133" s="48" t="s">
        <v>125</v>
      </c>
      <c r="H133" s="30">
        <v>15573</v>
      </c>
      <c r="I133" s="30"/>
      <c r="J133" s="30">
        <v>20</v>
      </c>
      <c r="K133" s="28">
        <f t="shared" si="15"/>
        <v>180</v>
      </c>
      <c r="L133" s="31">
        <v>0.58333333333333337</v>
      </c>
      <c r="M133" s="31">
        <v>0.9375</v>
      </c>
      <c r="N133" s="32">
        <f t="shared" si="23"/>
        <v>0.35416666666666663</v>
      </c>
      <c r="O133" s="36">
        <v>510</v>
      </c>
      <c r="P133" s="36">
        <f t="shared" si="7"/>
        <v>320</v>
      </c>
      <c r="Q133" s="36">
        <f t="shared" si="16"/>
        <v>320</v>
      </c>
      <c r="R133" s="15">
        <v>0</v>
      </c>
      <c r="S133" s="20">
        <v>0</v>
      </c>
      <c r="T133" s="16">
        <v>0</v>
      </c>
      <c r="U133" s="16">
        <v>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15">
        <f t="shared" si="24"/>
        <v>0</v>
      </c>
      <c r="AE133" s="15">
        <v>0</v>
      </c>
      <c r="AF133" s="15">
        <v>0</v>
      </c>
      <c r="AG133" s="15">
        <v>0</v>
      </c>
      <c r="AH133" s="15">
        <v>120</v>
      </c>
      <c r="AI133" s="15">
        <v>0</v>
      </c>
      <c r="AJ133" s="15">
        <v>30</v>
      </c>
      <c r="AK133" s="15">
        <v>10</v>
      </c>
      <c r="AL133" s="15">
        <v>30</v>
      </c>
      <c r="AM133" s="15">
        <f t="shared" si="4"/>
        <v>190</v>
      </c>
      <c r="AN133" s="29">
        <f t="shared" si="17"/>
        <v>960</v>
      </c>
      <c r="AO133" s="19">
        <v>759</v>
      </c>
      <c r="AP133" s="21">
        <v>0</v>
      </c>
      <c r="AQ133" s="22">
        <v>0</v>
      </c>
      <c r="AR133" s="26">
        <f t="shared" si="18"/>
        <v>759</v>
      </c>
      <c r="AS133" s="37">
        <f t="shared" si="19"/>
        <v>1</v>
      </c>
      <c r="AT133" s="38">
        <f t="shared" si="20"/>
        <v>0.79062500000000002</v>
      </c>
      <c r="AU133" s="38">
        <f t="shared" si="21"/>
        <v>1</v>
      </c>
      <c r="AV133" s="27">
        <f t="shared" si="22"/>
        <v>0.79062500000000002</v>
      </c>
    </row>
    <row r="134" spans="1:48" s="1" customFormat="1" ht="21" customHeight="1" x14ac:dyDescent="0.25">
      <c r="A134" s="109">
        <v>46032</v>
      </c>
      <c r="B134" s="47" t="s">
        <v>49</v>
      </c>
      <c r="C134" s="88" t="s">
        <v>51</v>
      </c>
      <c r="D134" s="47" t="s">
        <v>172</v>
      </c>
      <c r="E134" s="48">
        <v>98992</v>
      </c>
      <c r="F134" s="48" t="s">
        <v>175</v>
      </c>
      <c r="G134" s="48" t="s">
        <v>87</v>
      </c>
      <c r="H134" s="30">
        <v>15573</v>
      </c>
      <c r="I134" s="30"/>
      <c r="J134" s="30">
        <v>20</v>
      </c>
      <c r="K134" s="28">
        <f t="shared" si="15"/>
        <v>180</v>
      </c>
      <c r="L134" s="31">
        <v>0.58333333333333337</v>
      </c>
      <c r="M134" s="31">
        <v>0.9375</v>
      </c>
      <c r="N134" s="32">
        <f t="shared" si="23"/>
        <v>0.35416666666666663</v>
      </c>
      <c r="O134" s="36">
        <v>510</v>
      </c>
      <c r="P134" s="36">
        <f t="shared" si="7"/>
        <v>120</v>
      </c>
      <c r="Q134" s="36">
        <f t="shared" si="16"/>
        <v>120</v>
      </c>
      <c r="R134" s="15">
        <v>0</v>
      </c>
      <c r="S134" s="20">
        <v>0</v>
      </c>
      <c r="T134" s="16">
        <v>0</v>
      </c>
      <c r="U134" s="16">
        <v>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15">
        <f t="shared" si="24"/>
        <v>0</v>
      </c>
      <c r="AE134" s="15">
        <v>0</v>
      </c>
      <c r="AF134" s="15">
        <v>0</v>
      </c>
      <c r="AG134" s="15">
        <v>0</v>
      </c>
      <c r="AH134" s="15">
        <v>320</v>
      </c>
      <c r="AI134" s="15">
        <v>0</v>
      </c>
      <c r="AJ134" s="15">
        <v>30</v>
      </c>
      <c r="AK134" s="15">
        <v>10</v>
      </c>
      <c r="AL134" s="15">
        <v>30</v>
      </c>
      <c r="AM134" s="15">
        <f t="shared" si="4"/>
        <v>390</v>
      </c>
      <c r="AN134" s="29">
        <f t="shared" si="17"/>
        <v>360</v>
      </c>
      <c r="AO134" s="19">
        <v>301</v>
      </c>
      <c r="AP134" s="21">
        <v>0</v>
      </c>
      <c r="AQ134" s="22">
        <v>0</v>
      </c>
      <c r="AR134" s="26">
        <f t="shared" si="18"/>
        <v>301</v>
      </c>
      <c r="AS134" s="37">
        <f t="shared" si="19"/>
        <v>1</v>
      </c>
      <c r="AT134" s="38">
        <f t="shared" si="20"/>
        <v>0.83611111111111114</v>
      </c>
      <c r="AU134" s="38">
        <f t="shared" si="21"/>
        <v>1</v>
      </c>
      <c r="AV134" s="27">
        <f t="shared" si="22"/>
        <v>0.83611111111111114</v>
      </c>
    </row>
    <row r="135" spans="1:48" s="1" customFormat="1" ht="21" customHeight="1" x14ac:dyDescent="0.25">
      <c r="A135" s="109">
        <v>46033</v>
      </c>
      <c r="B135" s="47" t="s">
        <v>49</v>
      </c>
      <c r="C135" s="88" t="s">
        <v>21</v>
      </c>
      <c r="D135" s="47" t="s">
        <v>94</v>
      </c>
      <c r="E135" s="48">
        <v>98992</v>
      </c>
      <c r="F135" s="48" t="s">
        <v>67</v>
      </c>
      <c r="G135" s="48" t="s">
        <v>174</v>
      </c>
      <c r="H135" s="30">
        <v>15833</v>
      </c>
      <c r="I135" s="30"/>
      <c r="J135" s="30">
        <v>24</v>
      </c>
      <c r="K135" s="28">
        <f t="shared" si="15"/>
        <v>150</v>
      </c>
      <c r="L135" s="31">
        <v>0.25</v>
      </c>
      <c r="M135" s="31">
        <v>0.60416666666666663</v>
      </c>
      <c r="N135" s="32">
        <f t="shared" si="23"/>
        <v>0.35416666666666663</v>
      </c>
      <c r="O135" s="36">
        <v>510</v>
      </c>
      <c r="P135" s="36">
        <f t="shared" si="7"/>
        <v>440</v>
      </c>
      <c r="Q135" s="36">
        <f t="shared" si="16"/>
        <v>440</v>
      </c>
      <c r="R135" s="15">
        <v>0</v>
      </c>
      <c r="S135" s="20">
        <v>0</v>
      </c>
      <c r="T135" s="16">
        <v>0</v>
      </c>
      <c r="U135" s="16">
        <v>0</v>
      </c>
      <c r="V135" s="20">
        <v>0</v>
      </c>
      <c r="W135" s="20">
        <v>0</v>
      </c>
      <c r="X135" s="20">
        <v>0</v>
      </c>
      <c r="Y135" s="20">
        <v>0</v>
      </c>
      <c r="Z135" s="20">
        <v>0</v>
      </c>
      <c r="AA135" s="20">
        <v>0</v>
      </c>
      <c r="AB135" s="20">
        <v>0</v>
      </c>
      <c r="AC135" s="20">
        <v>0</v>
      </c>
      <c r="AD135" s="15">
        <f t="shared" si="24"/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  <c r="AJ135" s="15">
        <v>30</v>
      </c>
      <c r="AK135" s="15">
        <v>10</v>
      </c>
      <c r="AL135" s="15">
        <v>30</v>
      </c>
      <c r="AM135" s="15">
        <f t="shared" si="4"/>
        <v>70</v>
      </c>
      <c r="AN135" s="29">
        <f t="shared" si="17"/>
        <v>1100</v>
      </c>
      <c r="AO135" s="19">
        <v>665</v>
      </c>
      <c r="AP135" s="21">
        <v>0</v>
      </c>
      <c r="AQ135" s="22">
        <v>0</v>
      </c>
      <c r="AR135" s="26">
        <f t="shared" si="18"/>
        <v>665</v>
      </c>
      <c r="AS135" s="37">
        <f t="shared" si="19"/>
        <v>1</v>
      </c>
      <c r="AT135" s="38">
        <f t="shared" si="20"/>
        <v>0.6045454545454545</v>
      </c>
      <c r="AU135" s="38">
        <f t="shared" si="21"/>
        <v>1</v>
      </c>
      <c r="AV135" s="27">
        <f t="shared" si="22"/>
        <v>0.6045454545454545</v>
      </c>
    </row>
    <row r="136" spans="1:48" s="1" customFormat="1" ht="21" customHeight="1" x14ac:dyDescent="0.25">
      <c r="A136" s="109">
        <v>46033</v>
      </c>
      <c r="B136" s="47" t="s">
        <v>49</v>
      </c>
      <c r="C136" s="88" t="s">
        <v>21</v>
      </c>
      <c r="D136" s="47" t="s">
        <v>88</v>
      </c>
      <c r="E136" s="48">
        <v>98992</v>
      </c>
      <c r="F136" s="48" t="s">
        <v>126</v>
      </c>
      <c r="G136" s="48" t="s">
        <v>87</v>
      </c>
      <c r="H136" s="30">
        <v>15671</v>
      </c>
      <c r="I136" s="30"/>
      <c r="J136" s="30">
        <v>32</v>
      </c>
      <c r="K136" s="28">
        <f t="shared" si="15"/>
        <v>112.5</v>
      </c>
      <c r="L136" s="31">
        <v>0.25</v>
      </c>
      <c r="M136" s="31">
        <v>0.60416666666666663</v>
      </c>
      <c r="N136" s="32">
        <f t="shared" si="23"/>
        <v>0.35416666666666663</v>
      </c>
      <c r="O136" s="36">
        <v>510</v>
      </c>
      <c r="P136" s="36">
        <f t="shared" si="7"/>
        <v>440</v>
      </c>
      <c r="Q136" s="36">
        <f t="shared" si="16"/>
        <v>440</v>
      </c>
      <c r="R136" s="15">
        <v>0</v>
      </c>
      <c r="S136" s="20">
        <v>0</v>
      </c>
      <c r="T136" s="16">
        <v>0</v>
      </c>
      <c r="U136" s="16">
        <v>0</v>
      </c>
      <c r="V136" s="20">
        <v>0</v>
      </c>
      <c r="W136" s="20">
        <v>0</v>
      </c>
      <c r="X136" s="20">
        <v>0</v>
      </c>
      <c r="Y136" s="20">
        <v>0</v>
      </c>
      <c r="Z136" s="20">
        <v>0</v>
      </c>
      <c r="AA136" s="20">
        <v>0</v>
      </c>
      <c r="AB136" s="20">
        <v>0</v>
      </c>
      <c r="AC136" s="20">
        <v>0</v>
      </c>
      <c r="AD136" s="15">
        <f t="shared" si="24"/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30</v>
      </c>
      <c r="AK136" s="15">
        <v>10</v>
      </c>
      <c r="AL136" s="15">
        <v>30</v>
      </c>
      <c r="AM136" s="15">
        <f t="shared" si="4"/>
        <v>70</v>
      </c>
      <c r="AN136" s="29">
        <f t="shared" si="17"/>
        <v>825</v>
      </c>
      <c r="AO136" s="19">
        <v>685</v>
      </c>
      <c r="AP136" s="21">
        <v>0</v>
      </c>
      <c r="AQ136" s="22">
        <v>0</v>
      </c>
      <c r="AR136" s="26">
        <f t="shared" si="18"/>
        <v>685</v>
      </c>
      <c r="AS136" s="37">
        <f t="shared" si="19"/>
        <v>1</v>
      </c>
      <c r="AT136" s="38">
        <f t="shared" si="20"/>
        <v>0.83030303030303032</v>
      </c>
      <c r="AU136" s="38">
        <f t="shared" si="21"/>
        <v>1</v>
      </c>
      <c r="AV136" s="27">
        <f t="shared" si="22"/>
        <v>0.83030303030303032</v>
      </c>
    </row>
    <row r="137" spans="1:48" s="1" customFormat="1" ht="21" customHeight="1" x14ac:dyDescent="0.25">
      <c r="A137" s="109">
        <v>46033</v>
      </c>
      <c r="B137" s="47" t="s">
        <v>49</v>
      </c>
      <c r="C137" s="88" t="s">
        <v>21</v>
      </c>
      <c r="D137" s="47" t="s">
        <v>89</v>
      </c>
      <c r="E137" s="48">
        <v>98992</v>
      </c>
      <c r="F137" s="48" t="s">
        <v>169</v>
      </c>
      <c r="G137" s="48" t="s">
        <v>87</v>
      </c>
      <c r="H137" s="30">
        <v>11682</v>
      </c>
      <c r="I137" s="30"/>
      <c r="J137" s="30">
        <v>32</v>
      </c>
      <c r="K137" s="28">
        <f t="shared" si="15"/>
        <v>112.5</v>
      </c>
      <c r="L137" s="31">
        <v>0.25</v>
      </c>
      <c r="M137" s="31">
        <v>0.60416666666666663</v>
      </c>
      <c r="N137" s="32">
        <f t="shared" si="23"/>
        <v>0.35416666666666663</v>
      </c>
      <c r="O137" s="36">
        <v>510</v>
      </c>
      <c r="P137" s="36">
        <f t="shared" si="7"/>
        <v>440</v>
      </c>
      <c r="Q137" s="36">
        <f t="shared" si="16"/>
        <v>440</v>
      </c>
      <c r="R137" s="15">
        <v>0</v>
      </c>
      <c r="S137" s="20">
        <v>0</v>
      </c>
      <c r="T137" s="16">
        <v>0</v>
      </c>
      <c r="U137" s="16">
        <v>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15">
        <f t="shared" si="24"/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30</v>
      </c>
      <c r="AK137" s="15">
        <v>10</v>
      </c>
      <c r="AL137" s="15">
        <v>30</v>
      </c>
      <c r="AM137" s="15">
        <f t="shared" si="4"/>
        <v>70</v>
      </c>
      <c r="AN137" s="29">
        <f t="shared" si="17"/>
        <v>825</v>
      </c>
      <c r="AO137" s="19">
        <v>610</v>
      </c>
      <c r="AP137" s="21">
        <v>0</v>
      </c>
      <c r="AQ137" s="22">
        <v>0</v>
      </c>
      <c r="AR137" s="26">
        <f t="shared" si="18"/>
        <v>610</v>
      </c>
      <c r="AS137" s="37">
        <f t="shared" si="19"/>
        <v>1</v>
      </c>
      <c r="AT137" s="38">
        <f t="shared" si="20"/>
        <v>0.73939393939393938</v>
      </c>
      <c r="AU137" s="38">
        <f t="shared" si="21"/>
        <v>1</v>
      </c>
      <c r="AV137" s="27">
        <f t="shared" si="22"/>
        <v>0.73939393939393938</v>
      </c>
    </row>
    <row r="138" spans="1:48" s="1" customFormat="1" ht="21" customHeight="1" x14ac:dyDescent="0.25">
      <c r="A138" s="109">
        <v>46034</v>
      </c>
      <c r="B138" s="47" t="s">
        <v>49</v>
      </c>
      <c r="C138" s="88" t="s">
        <v>21</v>
      </c>
      <c r="D138" s="47" t="s">
        <v>94</v>
      </c>
      <c r="E138" s="48">
        <v>98992</v>
      </c>
      <c r="F138" s="48" t="s">
        <v>67</v>
      </c>
      <c r="G138" s="48" t="s">
        <v>174</v>
      </c>
      <c r="H138" s="30">
        <v>13562</v>
      </c>
      <c r="I138" s="30"/>
      <c r="J138" s="30">
        <v>24</v>
      </c>
      <c r="K138" s="28">
        <f t="shared" si="15"/>
        <v>150</v>
      </c>
      <c r="L138" s="31">
        <v>0.25</v>
      </c>
      <c r="M138" s="31">
        <v>0.60416666666666663</v>
      </c>
      <c r="N138" s="32">
        <f t="shared" si="23"/>
        <v>0.35416666666666663</v>
      </c>
      <c r="O138" s="36">
        <v>510</v>
      </c>
      <c r="P138" s="36">
        <f t="shared" si="7"/>
        <v>220</v>
      </c>
      <c r="Q138" s="36">
        <f t="shared" si="16"/>
        <v>220</v>
      </c>
      <c r="R138" s="15">
        <v>0</v>
      </c>
      <c r="S138" s="20">
        <v>0</v>
      </c>
      <c r="T138" s="16">
        <v>0</v>
      </c>
      <c r="U138" s="16">
        <v>0</v>
      </c>
      <c r="V138" s="20">
        <v>0</v>
      </c>
      <c r="W138" s="20">
        <v>0</v>
      </c>
      <c r="X138" s="20">
        <v>0</v>
      </c>
      <c r="Y138" s="20">
        <v>0</v>
      </c>
      <c r="Z138" s="20">
        <v>0</v>
      </c>
      <c r="AA138" s="20">
        <v>0</v>
      </c>
      <c r="AB138" s="20">
        <v>0</v>
      </c>
      <c r="AC138" s="20">
        <v>0</v>
      </c>
      <c r="AD138" s="15">
        <f t="shared" si="24"/>
        <v>0</v>
      </c>
      <c r="AE138" s="15">
        <v>0</v>
      </c>
      <c r="AF138" s="15">
        <v>0</v>
      </c>
      <c r="AG138" s="15">
        <v>0</v>
      </c>
      <c r="AH138" s="15">
        <v>220</v>
      </c>
      <c r="AI138" s="15">
        <v>0</v>
      </c>
      <c r="AJ138" s="15">
        <v>30</v>
      </c>
      <c r="AK138" s="15">
        <v>10</v>
      </c>
      <c r="AL138" s="15">
        <v>30</v>
      </c>
      <c r="AM138" s="15">
        <f t="shared" si="4"/>
        <v>290</v>
      </c>
      <c r="AN138" s="29">
        <f t="shared" si="17"/>
        <v>550</v>
      </c>
      <c r="AO138" s="19">
        <v>480</v>
      </c>
      <c r="AP138" s="21">
        <v>0</v>
      </c>
      <c r="AQ138" s="22">
        <v>22</v>
      </c>
      <c r="AR138" s="26">
        <f t="shared" si="18"/>
        <v>458</v>
      </c>
      <c r="AS138" s="37">
        <f t="shared" si="19"/>
        <v>1</v>
      </c>
      <c r="AT138" s="38">
        <f t="shared" si="20"/>
        <v>0.87272727272727268</v>
      </c>
      <c r="AU138" s="38">
        <f t="shared" si="21"/>
        <v>0.95416666666666672</v>
      </c>
      <c r="AV138" s="27">
        <f t="shared" si="22"/>
        <v>0.83272727272727276</v>
      </c>
    </row>
    <row r="139" spans="1:48" s="1" customFormat="1" ht="21" customHeight="1" x14ac:dyDescent="0.25">
      <c r="A139" s="109">
        <v>46034</v>
      </c>
      <c r="B139" s="47" t="s">
        <v>49</v>
      </c>
      <c r="C139" s="88" t="s">
        <v>21</v>
      </c>
      <c r="D139" s="47" t="s">
        <v>88</v>
      </c>
      <c r="E139" s="48">
        <v>98992</v>
      </c>
      <c r="F139" s="48" t="s">
        <v>126</v>
      </c>
      <c r="G139" s="48" t="s">
        <v>87</v>
      </c>
      <c r="H139" s="30">
        <v>15036</v>
      </c>
      <c r="I139" s="30"/>
      <c r="J139" s="30">
        <v>32</v>
      </c>
      <c r="K139" s="28">
        <f t="shared" si="15"/>
        <v>112.5</v>
      </c>
      <c r="L139" s="31">
        <v>0.25</v>
      </c>
      <c r="M139" s="31">
        <v>0.60416666666666663</v>
      </c>
      <c r="N139" s="32">
        <f t="shared" si="23"/>
        <v>0.35416666666666663</v>
      </c>
      <c r="O139" s="36">
        <v>510</v>
      </c>
      <c r="P139" s="36">
        <f t="shared" si="7"/>
        <v>320</v>
      </c>
      <c r="Q139" s="36">
        <f t="shared" si="16"/>
        <v>320</v>
      </c>
      <c r="R139" s="15">
        <v>0</v>
      </c>
      <c r="S139" s="20">
        <v>0</v>
      </c>
      <c r="T139" s="16">
        <v>0</v>
      </c>
      <c r="U139" s="16">
        <v>0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15">
        <f t="shared" si="24"/>
        <v>0</v>
      </c>
      <c r="AE139" s="15">
        <v>0</v>
      </c>
      <c r="AF139" s="15">
        <v>0</v>
      </c>
      <c r="AG139" s="15">
        <v>0</v>
      </c>
      <c r="AH139" s="15">
        <v>120</v>
      </c>
      <c r="AI139" s="15">
        <v>0</v>
      </c>
      <c r="AJ139" s="15">
        <v>30</v>
      </c>
      <c r="AK139" s="15">
        <v>10</v>
      </c>
      <c r="AL139" s="15">
        <v>30</v>
      </c>
      <c r="AM139" s="15">
        <f t="shared" si="4"/>
        <v>190</v>
      </c>
      <c r="AN139" s="29">
        <f t="shared" si="17"/>
        <v>600</v>
      </c>
      <c r="AO139" s="19">
        <v>416</v>
      </c>
      <c r="AP139" s="21">
        <v>0</v>
      </c>
      <c r="AQ139" s="22">
        <v>1</v>
      </c>
      <c r="AR139" s="26">
        <f t="shared" si="18"/>
        <v>415</v>
      </c>
      <c r="AS139" s="37">
        <f t="shared" si="19"/>
        <v>1</v>
      </c>
      <c r="AT139" s="38">
        <f t="shared" si="20"/>
        <v>0.69333333333333336</v>
      </c>
      <c r="AU139" s="38">
        <f t="shared" si="21"/>
        <v>0.99759615384615385</v>
      </c>
      <c r="AV139" s="27">
        <f t="shared" si="22"/>
        <v>0.69166666666666665</v>
      </c>
    </row>
    <row r="140" spans="1:48" s="1" customFormat="1" ht="21" customHeight="1" x14ac:dyDescent="0.25">
      <c r="A140" s="109">
        <v>46034</v>
      </c>
      <c r="B140" s="47" t="s">
        <v>49</v>
      </c>
      <c r="C140" s="88" t="s">
        <v>21</v>
      </c>
      <c r="D140" s="47" t="s">
        <v>89</v>
      </c>
      <c r="E140" s="48">
        <v>98992</v>
      </c>
      <c r="F140" s="48" t="s">
        <v>169</v>
      </c>
      <c r="G140" s="48" t="s">
        <v>87</v>
      </c>
      <c r="H140" s="30">
        <v>11682</v>
      </c>
      <c r="I140" s="30"/>
      <c r="J140" s="30">
        <v>32</v>
      </c>
      <c r="K140" s="28">
        <f t="shared" ref="K140:K203" si="25">3600/J140</f>
        <v>112.5</v>
      </c>
      <c r="L140" s="31">
        <v>0.25</v>
      </c>
      <c r="M140" s="31">
        <v>0.60416666666666663</v>
      </c>
      <c r="N140" s="32">
        <f t="shared" si="23"/>
        <v>0.35416666666666663</v>
      </c>
      <c r="O140" s="36">
        <v>510</v>
      </c>
      <c r="P140" s="36">
        <f t="shared" ref="P140:P203" si="26">Q140-AD140</f>
        <v>320</v>
      </c>
      <c r="Q140" s="36">
        <f t="shared" ref="Q140:Q203" si="27">O140-AM140</f>
        <v>320</v>
      </c>
      <c r="R140" s="15">
        <v>0</v>
      </c>
      <c r="S140" s="20">
        <v>0</v>
      </c>
      <c r="T140" s="16">
        <v>0</v>
      </c>
      <c r="U140" s="16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15">
        <f t="shared" si="24"/>
        <v>0</v>
      </c>
      <c r="AE140" s="15">
        <v>0</v>
      </c>
      <c r="AF140" s="15">
        <v>0</v>
      </c>
      <c r="AG140" s="15">
        <v>0</v>
      </c>
      <c r="AH140" s="15">
        <v>120</v>
      </c>
      <c r="AI140" s="15">
        <v>0</v>
      </c>
      <c r="AJ140" s="15">
        <v>30</v>
      </c>
      <c r="AK140" s="15">
        <v>10</v>
      </c>
      <c r="AL140" s="15">
        <v>30</v>
      </c>
      <c r="AM140" s="15">
        <f t="shared" si="4"/>
        <v>190</v>
      </c>
      <c r="AN140" s="29">
        <f t="shared" ref="AN140:AN203" si="28">Q140*(K140/60)</f>
        <v>600</v>
      </c>
      <c r="AO140" s="19">
        <v>450</v>
      </c>
      <c r="AP140" s="21">
        <v>0</v>
      </c>
      <c r="AQ140" s="22">
        <v>1</v>
      </c>
      <c r="AR140" s="26">
        <f t="shared" si="18"/>
        <v>449</v>
      </c>
      <c r="AS140" s="37">
        <f t="shared" si="19"/>
        <v>1</v>
      </c>
      <c r="AT140" s="38">
        <f t="shared" si="20"/>
        <v>0.75</v>
      </c>
      <c r="AU140" s="38">
        <f t="shared" si="21"/>
        <v>0.99777777777777776</v>
      </c>
      <c r="AV140" s="27">
        <f t="shared" si="22"/>
        <v>0.74833333333333329</v>
      </c>
    </row>
    <row r="141" spans="1:48" s="1" customFormat="1" ht="21" customHeight="1" x14ac:dyDescent="0.25">
      <c r="A141" s="109">
        <v>46034</v>
      </c>
      <c r="B141" s="47" t="s">
        <v>49</v>
      </c>
      <c r="C141" s="88" t="s">
        <v>21</v>
      </c>
      <c r="D141" s="47" t="s">
        <v>52</v>
      </c>
      <c r="E141" s="48">
        <v>98992</v>
      </c>
      <c r="F141" s="48" t="s">
        <v>53</v>
      </c>
      <c r="G141" s="48" t="s">
        <v>87</v>
      </c>
      <c r="H141" s="30">
        <v>15688</v>
      </c>
      <c r="I141" s="30"/>
      <c r="J141" s="30">
        <v>32</v>
      </c>
      <c r="K141" s="28">
        <f t="shared" si="25"/>
        <v>112.5</v>
      </c>
      <c r="L141" s="31">
        <v>0.25</v>
      </c>
      <c r="M141" s="31">
        <v>0.60416666666666663</v>
      </c>
      <c r="N141" s="32">
        <f t="shared" si="23"/>
        <v>0.35416666666666663</v>
      </c>
      <c r="O141" s="36">
        <v>510</v>
      </c>
      <c r="P141" s="36">
        <f t="shared" si="26"/>
        <v>120</v>
      </c>
      <c r="Q141" s="36">
        <f t="shared" si="27"/>
        <v>120</v>
      </c>
      <c r="R141" s="15">
        <v>0</v>
      </c>
      <c r="S141" s="20">
        <v>0</v>
      </c>
      <c r="T141" s="16">
        <v>0</v>
      </c>
      <c r="U141" s="16">
        <v>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15">
        <f t="shared" si="24"/>
        <v>0</v>
      </c>
      <c r="AE141" s="15">
        <v>0</v>
      </c>
      <c r="AF141" s="15">
        <v>0</v>
      </c>
      <c r="AG141" s="15">
        <v>0</v>
      </c>
      <c r="AH141" s="15">
        <v>320</v>
      </c>
      <c r="AI141" s="15">
        <v>0</v>
      </c>
      <c r="AJ141" s="15">
        <v>30</v>
      </c>
      <c r="AK141" s="15">
        <v>10</v>
      </c>
      <c r="AL141" s="15">
        <v>30</v>
      </c>
      <c r="AM141" s="15">
        <f t="shared" ref="AM141:AM188" si="29">SUM(AE141:AL141)</f>
        <v>390</v>
      </c>
      <c r="AN141" s="29">
        <f t="shared" si="28"/>
        <v>225</v>
      </c>
      <c r="AO141" s="19">
        <v>72</v>
      </c>
      <c r="AP141" s="21">
        <v>0</v>
      </c>
      <c r="AQ141" s="22">
        <v>0</v>
      </c>
      <c r="AR141" s="26">
        <f t="shared" si="18"/>
        <v>72</v>
      </c>
      <c r="AS141" s="37">
        <f t="shared" si="19"/>
        <v>1</v>
      </c>
      <c r="AT141" s="38">
        <f t="shared" si="20"/>
        <v>0.32</v>
      </c>
      <c r="AU141" s="38">
        <f t="shared" si="21"/>
        <v>1</v>
      </c>
      <c r="AV141" s="27">
        <f t="shared" si="22"/>
        <v>0.32</v>
      </c>
    </row>
    <row r="142" spans="1:48" s="1" customFormat="1" ht="21" customHeight="1" x14ac:dyDescent="0.25">
      <c r="A142" s="109">
        <v>46034</v>
      </c>
      <c r="B142" s="47" t="s">
        <v>49</v>
      </c>
      <c r="C142" s="88" t="s">
        <v>21</v>
      </c>
      <c r="D142" s="47" t="s">
        <v>86</v>
      </c>
      <c r="E142" s="48">
        <v>98992</v>
      </c>
      <c r="F142" s="48" t="s">
        <v>176</v>
      </c>
      <c r="G142" s="48" t="s">
        <v>87</v>
      </c>
      <c r="H142" s="30">
        <v>15833</v>
      </c>
      <c r="I142" s="30"/>
      <c r="J142" s="30">
        <v>20</v>
      </c>
      <c r="K142" s="28">
        <f t="shared" si="25"/>
        <v>180</v>
      </c>
      <c r="L142" s="31">
        <v>0.25</v>
      </c>
      <c r="M142" s="31">
        <v>0.60416666666666663</v>
      </c>
      <c r="N142" s="32">
        <f t="shared" si="23"/>
        <v>0.35416666666666663</v>
      </c>
      <c r="O142" s="36">
        <v>510</v>
      </c>
      <c r="P142" s="36">
        <f t="shared" si="26"/>
        <v>180</v>
      </c>
      <c r="Q142" s="36">
        <f t="shared" si="27"/>
        <v>180</v>
      </c>
      <c r="R142" s="15">
        <v>0</v>
      </c>
      <c r="S142" s="20">
        <v>0</v>
      </c>
      <c r="T142" s="16">
        <v>0</v>
      </c>
      <c r="U142" s="16">
        <v>0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15">
        <f t="shared" si="24"/>
        <v>0</v>
      </c>
      <c r="AE142" s="15">
        <v>0</v>
      </c>
      <c r="AF142" s="15">
        <v>0</v>
      </c>
      <c r="AG142" s="15">
        <v>0</v>
      </c>
      <c r="AH142" s="15">
        <v>260</v>
      </c>
      <c r="AI142" s="15">
        <v>0</v>
      </c>
      <c r="AJ142" s="15">
        <v>30</v>
      </c>
      <c r="AK142" s="15">
        <v>10</v>
      </c>
      <c r="AL142" s="15">
        <v>30</v>
      </c>
      <c r="AM142" s="15">
        <f t="shared" si="29"/>
        <v>330</v>
      </c>
      <c r="AN142" s="29">
        <f t="shared" si="28"/>
        <v>540</v>
      </c>
      <c r="AO142" s="19">
        <v>252</v>
      </c>
      <c r="AP142" s="21">
        <v>0</v>
      </c>
      <c r="AQ142" s="22">
        <v>0</v>
      </c>
      <c r="AR142" s="26">
        <f t="shared" si="18"/>
        <v>252</v>
      </c>
      <c r="AS142" s="37">
        <f t="shared" si="19"/>
        <v>1</v>
      </c>
      <c r="AT142" s="38">
        <f t="shared" si="20"/>
        <v>0.46666666666666667</v>
      </c>
      <c r="AU142" s="38">
        <f t="shared" si="21"/>
        <v>1</v>
      </c>
      <c r="AV142" s="27">
        <f t="shared" si="22"/>
        <v>0.46666666666666667</v>
      </c>
    </row>
    <row r="143" spans="1:48" s="1" customFormat="1" ht="21" customHeight="1" x14ac:dyDescent="0.25">
      <c r="A143" s="109">
        <v>46034</v>
      </c>
      <c r="B143" s="47" t="s">
        <v>49</v>
      </c>
      <c r="C143" s="88" t="s">
        <v>21</v>
      </c>
      <c r="D143" s="47" t="s">
        <v>172</v>
      </c>
      <c r="E143" s="48">
        <v>98992</v>
      </c>
      <c r="F143" s="48" t="s">
        <v>175</v>
      </c>
      <c r="G143" s="48" t="s">
        <v>87</v>
      </c>
      <c r="H143" s="30">
        <v>15838</v>
      </c>
      <c r="I143" s="30"/>
      <c r="J143" s="30">
        <v>20</v>
      </c>
      <c r="K143" s="28">
        <f t="shared" si="25"/>
        <v>180</v>
      </c>
      <c r="L143" s="31">
        <v>0.25</v>
      </c>
      <c r="M143" s="31">
        <v>0.60416666666666663</v>
      </c>
      <c r="N143" s="32">
        <f t="shared" si="23"/>
        <v>0.35416666666666663</v>
      </c>
      <c r="O143" s="36">
        <v>510</v>
      </c>
      <c r="P143" s="36">
        <f t="shared" si="26"/>
        <v>220</v>
      </c>
      <c r="Q143" s="36">
        <f t="shared" si="27"/>
        <v>220</v>
      </c>
      <c r="R143" s="15">
        <v>0</v>
      </c>
      <c r="S143" s="20">
        <v>0</v>
      </c>
      <c r="T143" s="16">
        <v>0</v>
      </c>
      <c r="U143" s="16">
        <v>0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15">
        <f t="shared" si="24"/>
        <v>0</v>
      </c>
      <c r="AE143" s="15">
        <v>0</v>
      </c>
      <c r="AF143" s="15">
        <v>0</v>
      </c>
      <c r="AG143" s="15">
        <v>0</v>
      </c>
      <c r="AH143" s="15">
        <v>220</v>
      </c>
      <c r="AI143" s="15">
        <v>0</v>
      </c>
      <c r="AJ143" s="15">
        <v>30</v>
      </c>
      <c r="AK143" s="15">
        <v>10</v>
      </c>
      <c r="AL143" s="15">
        <v>30</v>
      </c>
      <c r="AM143" s="15">
        <f t="shared" si="29"/>
        <v>290</v>
      </c>
      <c r="AN143" s="29">
        <f t="shared" si="28"/>
        <v>660</v>
      </c>
      <c r="AO143" s="19">
        <v>432</v>
      </c>
      <c r="AP143" s="21">
        <v>0</v>
      </c>
      <c r="AQ143" s="22">
        <v>0</v>
      </c>
      <c r="AR143" s="26">
        <f t="shared" ref="AR143:AR221" si="30">AO143-(AQ143+AP143)</f>
        <v>432</v>
      </c>
      <c r="AS143" s="37">
        <f t="shared" ref="AS143:AS206" si="31">P143/Q143</f>
        <v>1</v>
      </c>
      <c r="AT143" s="38">
        <f t="shared" ref="AT143:AT159" si="32">AO143/AN143</f>
        <v>0.65454545454545454</v>
      </c>
      <c r="AU143" s="38">
        <f t="shared" ref="AU143:AU206" si="33">AR143/AO143</f>
        <v>1</v>
      </c>
      <c r="AV143" s="27">
        <f t="shared" ref="AV143:AV206" si="34">AS143*AT143*AU143</f>
        <v>0.65454545454545454</v>
      </c>
    </row>
    <row r="144" spans="1:48" s="1" customFormat="1" ht="21" customHeight="1" x14ac:dyDescent="0.25">
      <c r="A144" s="109">
        <v>46034</v>
      </c>
      <c r="B144" s="47" t="s">
        <v>49</v>
      </c>
      <c r="C144" s="88" t="s">
        <v>21</v>
      </c>
      <c r="D144" s="47" t="s">
        <v>124</v>
      </c>
      <c r="E144" s="48">
        <v>98992</v>
      </c>
      <c r="F144" s="48" t="s">
        <v>215</v>
      </c>
      <c r="G144" s="48" t="s">
        <v>125</v>
      </c>
      <c r="H144" s="30">
        <v>14972</v>
      </c>
      <c r="I144" s="30"/>
      <c r="J144" s="30">
        <v>32</v>
      </c>
      <c r="K144" s="28">
        <f t="shared" si="25"/>
        <v>112.5</v>
      </c>
      <c r="L144" s="31">
        <v>0.25</v>
      </c>
      <c r="M144" s="31">
        <v>0.60416666666666663</v>
      </c>
      <c r="N144" s="32">
        <f t="shared" si="23"/>
        <v>0.35416666666666663</v>
      </c>
      <c r="O144" s="36">
        <v>510</v>
      </c>
      <c r="P144" s="36">
        <f t="shared" si="26"/>
        <v>180</v>
      </c>
      <c r="Q144" s="36">
        <f t="shared" si="27"/>
        <v>180</v>
      </c>
      <c r="R144" s="15">
        <v>0</v>
      </c>
      <c r="S144" s="20">
        <v>0</v>
      </c>
      <c r="T144" s="16">
        <v>0</v>
      </c>
      <c r="U144" s="16">
        <v>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15">
        <f t="shared" si="24"/>
        <v>0</v>
      </c>
      <c r="AE144" s="15">
        <v>0</v>
      </c>
      <c r="AF144" s="15">
        <v>0</v>
      </c>
      <c r="AG144" s="15">
        <v>0</v>
      </c>
      <c r="AH144" s="15">
        <v>260</v>
      </c>
      <c r="AI144" s="15">
        <v>0</v>
      </c>
      <c r="AJ144" s="15">
        <v>30</v>
      </c>
      <c r="AK144" s="15">
        <v>10</v>
      </c>
      <c r="AL144" s="15">
        <v>30</v>
      </c>
      <c r="AM144" s="15">
        <f t="shared" si="29"/>
        <v>330</v>
      </c>
      <c r="AN144" s="29">
        <f t="shared" si="28"/>
        <v>337.5</v>
      </c>
      <c r="AO144" s="19">
        <v>171</v>
      </c>
      <c r="AP144" s="21">
        <v>0</v>
      </c>
      <c r="AQ144" s="22">
        <v>1</v>
      </c>
      <c r="AR144" s="26">
        <f t="shared" si="30"/>
        <v>170</v>
      </c>
      <c r="AS144" s="37">
        <f t="shared" si="31"/>
        <v>1</v>
      </c>
      <c r="AT144" s="38">
        <f t="shared" si="32"/>
        <v>0.50666666666666671</v>
      </c>
      <c r="AU144" s="38">
        <f t="shared" si="33"/>
        <v>0.99415204678362568</v>
      </c>
      <c r="AV144" s="27">
        <f t="shared" si="34"/>
        <v>0.50370370370370376</v>
      </c>
    </row>
    <row r="145" spans="1:48" s="1" customFormat="1" ht="21" customHeight="1" x14ac:dyDescent="0.25">
      <c r="A145" s="109">
        <v>46034</v>
      </c>
      <c r="B145" s="47" t="s">
        <v>49</v>
      </c>
      <c r="C145" s="88" t="s">
        <v>21</v>
      </c>
      <c r="D145" s="47" t="s">
        <v>122</v>
      </c>
      <c r="E145" s="48">
        <v>98992</v>
      </c>
      <c r="F145" s="48" t="s">
        <v>169</v>
      </c>
      <c r="G145" s="48" t="s">
        <v>125</v>
      </c>
      <c r="H145" s="30">
        <v>15676</v>
      </c>
      <c r="I145" s="30"/>
      <c r="J145" s="30">
        <v>32</v>
      </c>
      <c r="K145" s="28">
        <f t="shared" si="25"/>
        <v>112.5</v>
      </c>
      <c r="L145" s="31">
        <v>0.25</v>
      </c>
      <c r="M145" s="31">
        <v>0.60416666666666663</v>
      </c>
      <c r="N145" s="32">
        <f t="shared" si="23"/>
        <v>0.35416666666666663</v>
      </c>
      <c r="O145" s="36">
        <v>510</v>
      </c>
      <c r="P145" s="36">
        <f t="shared" si="26"/>
        <v>180</v>
      </c>
      <c r="Q145" s="36">
        <f t="shared" si="27"/>
        <v>180</v>
      </c>
      <c r="R145" s="15">
        <v>0</v>
      </c>
      <c r="S145" s="20">
        <v>0</v>
      </c>
      <c r="T145" s="16">
        <v>0</v>
      </c>
      <c r="U145" s="16">
        <v>0</v>
      </c>
      <c r="V145" s="20">
        <v>0</v>
      </c>
      <c r="W145" s="20">
        <v>0</v>
      </c>
      <c r="X145" s="20">
        <v>0</v>
      </c>
      <c r="Y145" s="20">
        <v>0</v>
      </c>
      <c r="Z145" s="20">
        <v>0</v>
      </c>
      <c r="AA145" s="20">
        <v>0</v>
      </c>
      <c r="AB145" s="20">
        <v>0</v>
      </c>
      <c r="AC145" s="20">
        <v>0</v>
      </c>
      <c r="AD145" s="15">
        <f t="shared" si="24"/>
        <v>0</v>
      </c>
      <c r="AE145" s="15">
        <v>0</v>
      </c>
      <c r="AF145" s="15">
        <v>0</v>
      </c>
      <c r="AG145" s="15">
        <v>0</v>
      </c>
      <c r="AH145" s="15">
        <v>260</v>
      </c>
      <c r="AI145" s="15">
        <v>0</v>
      </c>
      <c r="AJ145" s="15">
        <v>30</v>
      </c>
      <c r="AK145" s="15">
        <v>10</v>
      </c>
      <c r="AL145" s="15">
        <v>30</v>
      </c>
      <c r="AM145" s="15">
        <f t="shared" si="29"/>
        <v>330</v>
      </c>
      <c r="AN145" s="29">
        <f t="shared" si="28"/>
        <v>337.5</v>
      </c>
      <c r="AO145" s="19">
        <v>227</v>
      </c>
      <c r="AP145" s="21">
        <v>0</v>
      </c>
      <c r="AQ145" s="22">
        <v>0</v>
      </c>
      <c r="AR145" s="26">
        <f t="shared" si="30"/>
        <v>227</v>
      </c>
      <c r="AS145" s="37">
        <f t="shared" si="31"/>
        <v>1</v>
      </c>
      <c r="AT145" s="38">
        <f t="shared" si="32"/>
        <v>0.67259259259259263</v>
      </c>
      <c r="AU145" s="38">
        <f t="shared" si="33"/>
        <v>1</v>
      </c>
      <c r="AV145" s="27">
        <f t="shared" si="34"/>
        <v>0.67259259259259263</v>
      </c>
    </row>
    <row r="146" spans="1:48" s="1" customFormat="1" ht="21" customHeight="1" x14ac:dyDescent="0.25">
      <c r="A146" s="109">
        <v>46034</v>
      </c>
      <c r="B146" s="47" t="s">
        <v>49</v>
      </c>
      <c r="C146" s="88" t="s">
        <v>21</v>
      </c>
      <c r="D146" s="47" t="s">
        <v>128</v>
      </c>
      <c r="E146" s="48">
        <v>98992</v>
      </c>
      <c r="F146" s="48" t="s">
        <v>53</v>
      </c>
      <c r="G146" s="48" t="s">
        <v>125</v>
      </c>
      <c r="H146" s="30">
        <v>16000</v>
      </c>
      <c r="I146" s="30"/>
      <c r="J146" s="30">
        <v>32</v>
      </c>
      <c r="K146" s="28">
        <f t="shared" si="25"/>
        <v>112.5</v>
      </c>
      <c r="L146" s="31">
        <v>0.25</v>
      </c>
      <c r="M146" s="31">
        <v>0.60416666666666663</v>
      </c>
      <c r="N146" s="32">
        <f t="shared" si="23"/>
        <v>0.35416666666666663</v>
      </c>
      <c r="O146" s="36">
        <v>510</v>
      </c>
      <c r="P146" s="36">
        <f t="shared" si="26"/>
        <v>180</v>
      </c>
      <c r="Q146" s="36">
        <f t="shared" si="27"/>
        <v>180</v>
      </c>
      <c r="R146" s="15">
        <v>0</v>
      </c>
      <c r="S146" s="20">
        <v>0</v>
      </c>
      <c r="T146" s="16">
        <v>0</v>
      </c>
      <c r="U146" s="16">
        <v>0</v>
      </c>
      <c r="V146" s="20">
        <v>0</v>
      </c>
      <c r="W146" s="20">
        <v>0</v>
      </c>
      <c r="X146" s="20">
        <v>0</v>
      </c>
      <c r="Y146" s="20">
        <v>0</v>
      </c>
      <c r="Z146" s="20">
        <v>0</v>
      </c>
      <c r="AA146" s="20">
        <v>0</v>
      </c>
      <c r="AB146" s="20">
        <v>0</v>
      </c>
      <c r="AC146" s="20">
        <v>0</v>
      </c>
      <c r="AD146" s="15">
        <f t="shared" si="24"/>
        <v>0</v>
      </c>
      <c r="AE146" s="15">
        <v>0</v>
      </c>
      <c r="AF146" s="15">
        <v>0</v>
      </c>
      <c r="AG146" s="15">
        <v>0</v>
      </c>
      <c r="AH146" s="15">
        <v>260</v>
      </c>
      <c r="AI146" s="15">
        <v>0</v>
      </c>
      <c r="AJ146" s="15">
        <v>30</v>
      </c>
      <c r="AK146" s="15">
        <v>10</v>
      </c>
      <c r="AL146" s="15">
        <v>30</v>
      </c>
      <c r="AM146" s="15">
        <f t="shared" si="29"/>
        <v>330</v>
      </c>
      <c r="AN146" s="29">
        <f t="shared" si="28"/>
        <v>337.5</v>
      </c>
      <c r="AO146" s="19">
        <v>170</v>
      </c>
      <c r="AP146" s="21">
        <v>0</v>
      </c>
      <c r="AQ146" s="22">
        <v>1</v>
      </c>
      <c r="AR146" s="26">
        <f t="shared" si="30"/>
        <v>169</v>
      </c>
      <c r="AS146" s="37">
        <f t="shared" si="31"/>
        <v>1</v>
      </c>
      <c r="AT146" s="38">
        <f t="shared" si="32"/>
        <v>0.50370370370370365</v>
      </c>
      <c r="AU146" s="38">
        <f t="shared" si="33"/>
        <v>0.99411764705882355</v>
      </c>
      <c r="AV146" s="27">
        <f t="shared" si="34"/>
        <v>0.50074074074074071</v>
      </c>
    </row>
    <row r="147" spans="1:48" s="1" customFormat="1" ht="21" customHeight="1" x14ac:dyDescent="0.25">
      <c r="A147" s="109">
        <v>46034</v>
      </c>
      <c r="B147" s="47" t="s">
        <v>49</v>
      </c>
      <c r="C147" s="88" t="s">
        <v>21</v>
      </c>
      <c r="D147" s="47" t="s">
        <v>170</v>
      </c>
      <c r="E147" s="48">
        <v>98992</v>
      </c>
      <c r="F147" s="48" t="s">
        <v>176</v>
      </c>
      <c r="G147" s="48" t="s">
        <v>125</v>
      </c>
      <c r="H147" s="30">
        <v>15833</v>
      </c>
      <c r="I147" s="30"/>
      <c r="J147" s="30">
        <v>20</v>
      </c>
      <c r="K147" s="28">
        <f t="shared" si="25"/>
        <v>180</v>
      </c>
      <c r="L147" s="31">
        <v>0.25</v>
      </c>
      <c r="M147" s="31">
        <v>0.60416666666666663</v>
      </c>
      <c r="N147" s="32">
        <f t="shared" si="23"/>
        <v>0.35416666666666663</v>
      </c>
      <c r="O147" s="36">
        <v>510</v>
      </c>
      <c r="P147" s="36">
        <f t="shared" si="26"/>
        <v>180</v>
      </c>
      <c r="Q147" s="36">
        <f t="shared" si="27"/>
        <v>180</v>
      </c>
      <c r="R147" s="15">
        <v>0</v>
      </c>
      <c r="S147" s="20">
        <v>0</v>
      </c>
      <c r="T147" s="16">
        <v>0</v>
      </c>
      <c r="U147" s="16">
        <v>0</v>
      </c>
      <c r="V147" s="20">
        <v>0</v>
      </c>
      <c r="W147" s="20">
        <v>0</v>
      </c>
      <c r="X147" s="20">
        <v>0</v>
      </c>
      <c r="Y147" s="20">
        <v>0</v>
      </c>
      <c r="Z147" s="20">
        <v>0</v>
      </c>
      <c r="AA147" s="20">
        <v>0</v>
      </c>
      <c r="AB147" s="20">
        <v>0</v>
      </c>
      <c r="AC147" s="20">
        <v>0</v>
      </c>
      <c r="AD147" s="15">
        <f t="shared" si="24"/>
        <v>0</v>
      </c>
      <c r="AE147" s="15">
        <v>0</v>
      </c>
      <c r="AF147" s="15">
        <v>0</v>
      </c>
      <c r="AG147" s="15">
        <v>0</v>
      </c>
      <c r="AH147" s="15">
        <v>260</v>
      </c>
      <c r="AI147" s="15">
        <v>0</v>
      </c>
      <c r="AJ147" s="15">
        <v>30</v>
      </c>
      <c r="AK147" s="15">
        <v>10</v>
      </c>
      <c r="AL147" s="15">
        <v>30</v>
      </c>
      <c r="AM147" s="15">
        <f t="shared" si="29"/>
        <v>330</v>
      </c>
      <c r="AN147" s="29">
        <f t="shared" si="28"/>
        <v>540</v>
      </c>
      <c r="AO147" s="19">
        <v>150</v>
      </c>
      <c r="AP147" s="21">
        <v>0</v>
      </c>
      <c r="AQ147" s="22">
        <v>0</v>
      </c>
      <c r="AR147" s="26">
        <f t="shared" si="30"/>
        <v>150</v>
      </c>
      <c r="AS147" s="37">
        <f t="shared" si="31"/>
        <v>1</v>
      </c>
      <c r="AT147" s="38">
        <f t="shared" si="32"/>
        <v>0.27777777777777779</v>
      </c>
      <c r="AU147" s="38">
        <f t="shared" si="33"/>
        <v>1</v>
      </c>
      <c r="AV147" s="27">
        <f t="shared" si="34"/>
        <v>0.27777777777777779</v>
      </c>
    </row>
    <row r="148" spans="1:48" s="1" customFormat="1" ht="21" customHeight="1" x14ac:dyDescent="0.25">
      <c r="A148" s="109">
        <v>46034</v>
      </c>
      <c r="B148" s="47" t="s">
        <v>49</v>
      </c>
      <c r="C148" s="88" t="s">
        <v>21</v>
      </c>
      <c r="D148" s="47" t="s">
        <v>127</v>
      </c>
      <c r="E148" s="48">
        <v>98992</v>
      </c>
      <c r="F148" s="48" t="s">
        <v>175</v>
      </c>
      <c r="G148" s="48" t="s">
        <v>125</v>
      </c>
      <c r="H148" s="30">
        <v>15882</v>
      </c>
      <c r="I148" s="30"/>
      <c r="J148" s="30">
        <v>20</v>
      </c>
      <c r="K148" s="28">
        <f t="shared" si="25"/>
        <v>180</v>
      </c>
      <c r="L148" s="31">
        <v>0.25</v>
      </c>
      <c r="M148" s="31">
        <v>0.60416666666666663</v>
      </c>
      <c r="N148" s="32">
        <f t="shared" si="23"/>
        <v>0.35416666666666663</v>
      </c>
      <c r="O148" s="36">
        <v>510</v>
      </c>
      <c r="P148" s="36">
        <f t="shared" si="26"/>
        <v>260</v>
      </c>
      <c r="Q148" s="36">
        <f t="shared" si="27"/>
        <v>260</v>
      </c>
      <c r="R148" s="15">
        <v>0</v>
      </c>
      <c r="S148" s="20">
        <v>0</v>
      </c>
      <c r="T148" s="16">
        <v>0</v>
      </c>
      <c r="U148" s="16">
        <v>0</v>
      </c>
      <c r="V148" s="20">
        <v>0</v>
      </c>
      <c r="W148" s="20">
        <v>0</v>
      </c>
      <c r="X148" s="20">
        <v>0</v>
      </c>
      <c r="Y148" s="20">
        <v>0</v>
      </c>
      <c r="Z148" s="20">
        <v>0</v>
      </c>
      <c r="AA148" s="20">
        <v>0</v>
      </c>
      <c r="AB148" s="20">
        <v>0</v>
      </c>
      <c r="AC148" s="20">
        <v>0</v>
      </c>
      <c r="AD148" s="15">
        <f t="shared" si="24"/>
        <v>0</v>
      </c>
      <c r="AE148" s="15">
        <v>0</v>
      </c>
      <c r="AF148" s="15">
        <v>0</v>
      </c>
      <c r="AG148" s="15">
        <v>0</v>
      </c>
      <c r="AH148" s="15">
        <v>180</v>
      </c>
      <c r="AI148" s="15">
        <v>0</v>
      </c>
      <c r="AJ148" s="15">
        <v>30</v>
      </c>
      <c r="AK148" s="15">
        <v>10</v>
      </c>
      <c r="AL148" s="15">
        <v>30</v>
      </c>
      <c r="AM148" s="15">
        <f t="shared" si="29"/>
        <v>250</v>
      </c>
      <c r="AN148" s="29">
        <f t="shared" si="28"/>
        <v>780</v>
      </c>
      <c r="AO148" s="19">
        <v>468</v>
      </c>
      <c r="AP148" s="21">
        <v>0</v>
      </c>
      <c r="AQ148" s="22">
        <v>0</v>
      </c>
      <c r="AR148" s="26">
        <f t="shared" si="30"/>
        <v>468</v>
      </c>
      <c r="AS148" s="37">
        <f t="shared" si="31"/>
        <v>1</v>
      </c>
      <c r="AT148" s="38">
        <f t="shared" si="32"/>
        <v>0.6</v>
      </c>
      <c r="AU148" s="38">
        <f t="shared" si="33"/>
        <v>1</v>
      </c>
      <c r="AV148" s="27">
        <f t="shared" si="34"/>
        <v>0.6</v>
      </c>
    </row>
    <row r="149" spans="1:48" s="1" customFormat="1" ht="21" customHeight="1" x14ac:dyDescent="0.25">
      <c r="A149" s="109">
        <v>46034</v>
      </c>
      <c r="B149" s="47" t="s">
        <v>49</v>
      </c>
      <c r="C149" s="88" t="s">
        <v>51</v>
      </c>
      <c r="D149" s="47" t="s">
        <v>94</v>
      </c>
      <c r="E149" s="48">
        <v>98992</v>
      </c>
      <c r="F149" s="48" t="s">
        <v>67</v>
      </c>
      <c r="G149" s="48" t="s">
        <v>174</v>
      </c>
      <c r="H149" s="30">
        <v>13562</v>
      </c>
      <c r="I149" s="30"/>
      <c r="J149" s="30">
        <v>24</v>
      </c>
      <c r="K149" s="28">
        <f t="shared" si="25"/>
        <v>150</v>
      </c>
      <c r="L149" s="31">
        <v>0.58333333333333337</v>
      </c>
      <c r="M149" s="31">
        <v>0.9375</v>
      </c>
      <c r="N149" s="32">
        <f t="shared" si="23"/>
        <v>0.35416666666666663</v>
      </c>
      <c r="O149" s="36">
        <v>510</v>
      </c>
      <c r="P149" s="36">
        <f t="shared" si="26"/>
        <v>440</v>
      </c>
      <c r="Q149" s="36">
        <f t="shared" si="27"/>
        <v>440</v>
      </c>
      <c r="R149" s="15">
        <v>0</v>
      </c>
      <c r="S149" s="20">
        <v>0</v>
      </c>
      <c r="T149" s="16">
        <v>0</v>
      </c>
      <c r="U149" s="16">
        <v>0</v>
      </c>
      <c r="V149" s="20">
        <v>0</v>
      </c>
      <c r="W149" s="20">
        <v>0</v>
      </c>
      <c r="X149" s="20">
        <v>0</v>
      </c>
      <c r="Y149" s="20">
        <v>0</v>
      </c>
      <c r="Z149" s="20">
        <v>0</v>
      </c>
      <c r="AA149" s="20">
        <v>0</v>
      </c>
      <c r="AB149" s="20">
        <v>0</v>
      </c>
      <c r="AC149" s="20">
        <v>0</v>
      </c>
      <c r="AD149" s="15">
        <f t="shared" si="24"/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30</v>
      </c>
      <c r="AK149" s="15">
        <v>10</v>
      </c>
      <c r="AL149" s="15">
        <v>30</v>
      </c>
      <c r="AM149" s="15">
        <f t="shared" si="29"/>
        <v>70</v>
      </c>
      <c r="AN149" s="29">
        <f t="shared" si="28"/>
        <v>1100</v>
      </c>
      <c r="AO149" s="19">
        <v>470</v>
      </c>
      <c r="AP149" s="21">
        <v>0</v>
      </c>
      <c r="AQ149" s="22">
        <v>20</v>
      </c>
      <c r="AR149" s="26">
        <f t="shared" si="30"/>
        <v>450</v>
      </c>
      <c r="AS149" s="37">
        <f t="shared" si="31"/>
        <v>1</v>
      </c>
      <c r="AT149" s="38">
        <f t="shared" si="32"/>
        <v>0.42727272727272725</v>
      </c>
      <c r="AU149" s="38">
        <f t="shared" si="33"/>
        <v>0.95744680851063835</v>
      </c>
      <c r="AV149" s="27">
        <f t="shared" si="34"/>
        <v>0.40909090909090912</v>
      </c>
    </row>
    <row r="150" spans="1:48" s="1" customFormat="1" ht="21" customHeight="1" x14ac:dyDescent="0.25">
      <c r="A150" s="109">
        <v>46034</v>
      </c>
      <c r="B150" s="47" t="s">
        <v>49</v>
      </c>
      <c r="C150" s="88" t="s">
        <v>51</v>
      </c>
      <c r="D150" s="47" t="s">
        <v>88</v>
      </c>
      <c r="E150" s="48">
        <v>98992</v>
      </c>
      <c r="F150" s="48" t="s">
        <v>126</v>
      </c>
      <c r="G150" s="48" t="s">
        <v>87</v>
      </c>
      <c r="H150" s="30">
        <v>13106</v>
      </c>
      <c r="I150" s="30"/>
      <c r="J150" s="30">
        <v>32</v>
      </c>
      <c r="K150" s="28">
        <f t="shared" si="25"/>
        <v>112.5</v>
      </c>
      <c r="L150" s="31">
        <v>0.58333333333333337</v>
      </c>
      <c r="M150" s="31">
        <v>0.9375</v>
      </c>
      <c r="N150" s="32">
        <f t="shared" si="23"/>
        <v>0.35416666666666663</v>
      </c>
      <c r="O150" s="36">
        <v>510</v>
      </c>
      <c r="P150" s="36">
        <f t="shared" si="26"/>
        <v>380</v>
      </c>
      <c r="Q150" s="36">
        <f t="shared" si="27"/>
        <v>380</v>
      </c>
      <c r="R150" s="15">
        <v>0</v>
      </c>
      <c r="S150" s="20">
        <v>0</v>
      </c>
      <c r="T150" s="16">
        <v>0</v>
      </c>
      <c r="U150" s="16">
        <v>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15">
        <f t="shared" si="24"/>
        <v>0</v>
      </c>
      <c r="AE150" s="15">
        <v>0</v>
      </c>
      <c r="AF150" s="15">
        <v>0</v>
      </c>
      <c r="AG150" s="15">
        <v>0</v>
      </c>
      <c r="AH150" s="15">
        <v>60</v>
      </c>
      <c r="AI150" s="15">
        <v>0</v>
      </c>
      <c r="AJ150" s="15">
        <v>30</v>
      </c>
      <c r="AK150" s="15">
        <v>10</v>
      </c>
      <c r="AL150" s="15">
        <v>30</v>
      </c>
      <c r="AM150" s="15">
        <f t="shared" si="29"/>
        <v>130</v>
      </c>
      <c r="AN150" s="29">
        <f t="shared" si="28"/>
        <v>712.5</v>
      </c>
      <c r="AO150" s="19">
        <v>610</v>
      </c>
      <c r="AP150" s="21">
        <v>0</v>
      </c>
      <c r="AQ150" s="22">
        <v>1</v>
      </c>
      <c r="AR150" s="26">
        <f t="shared" si="30"/>
        <v>609</v>
      </c>
      <c r="AS150" s="37">
        <f t="shared" si="31"/>
        <v>1</v>
      </c>
      <c r="AT150" s="38">
        <f t="shared" si="32"/>
        <v>0.85614035087719298</v>
      </c>
      <c r="AU150" s="38">
        <f t="shared" si="33"/>
        <v>0.99836065573770494</v>
      </c>
      <c r="AV150" s="27">
        <f t="shared" si="34"/>
        <v>0.85473684210526313</v>
      </c>
    </row>
    <row r="151" spans="1:48" s="1" customFormat="1" ht="21" customHeight="1" x14ac:dyDescent="0.25">
      <c r="A151" s="109">
        <v>46034</v>
      </c>
      <c r="B151" s="47" t="s">
        <v>49</v>
      </c>
      <c r="C151" s="88" t="s">
        <v>51</v>
      </c>
      <c r="D151" s="47" t="s">
        <v>52</v>
      </c>
      <c r="E151" s="48">
        <v>98992</v>
      </c>
      <c r="F151" s="48" t="s">
        <v>53</v>
      </c>
      <c r="G151" s="48" t="s">
        <v>87</v>
      </c>
      <c r="H151" s="30">
        <v>15689</v>
      </c>
      <c r="I151" s="30"/>
      <c r="J151" s="30">
        <v>32</v>
      </c>
      <c r="K151" s="28">
        <f t="shared" si="25"/>
        <v>112.5</v>
      </c>
      <c r="L151" s="31">
        <v>0.58333333333333337</v>
      </c>
      <c r="M151" s="31">
        <v>0.9375</v>
      </c>
      <c r="N151" s="32">
        <f t="shared" si="23"/>
        <v>0.35416666666666663</v>
      </c>
      <c r="O151" s="36">
        <v>510</v>
      </c>
      <c r="P151" s="36">
        <f t="shared" si="26"/>
        <v>440</v>
      </c>
      <c r="Q151" s="36">
        <f t="shared" si="27"/>
        <v>440</v>
      </c>
      <c r="R151" s="15">
        <v>0</v>
      </c>
      <c r="S151" s="20">
        <v>0</v>
      </c>
      <c r="T151" s="16">
        <v>0</v>
      </c>
      <c r="U151" s="16">
        <v>0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15">
        <f t="shared" si="24"/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  <c r="AJ151" s="15">
        <v>30</v>
      </c>
      <c r="AK151" s="15">
        <v>10</v>
      </c>
      <c r="AL151" s="15">
        <v>30</v>
      </c>
      <c r="AM151" s="15">
        <f t="shared" si="29"/>
        <v>70</v>
      </c>
      <c r="AN151" s="29">
        <f t="shared" si="28"/>
        <v>825</v>
      </c>
      <c r="AO151" s="19">
        <v>672</v>
      </c>
      <c r="AP151" s="21">
        <v>0</v>
      </c>
      <c r="AQ151" s="22">
        <v>0</v>
      </c>
      <c r="AR151" s="26">
        <f t="shared" si="30"/>
        <v>672</v>
      </c>
      <c r="AS151" s="37">
        <f t="shared" si="31"/>
        <v>1</v>
      </c>
      <c r="AT151" s="38">
        <f t="shared" si="32"/>
        <v>0.81454545454545457</v>
      </c>
      <c r="AU151" s="38">
        <f t="shared" si="33"/>
        <v>1</v>
      </c>
      <c r="AV151" s="27">
        <f t="shared" si="34"/>
        <v>0.81454545454545457</v>
      </c>
    </row>
    <row r="152" spans="1:48" s="1" customFormat="1" ht="21" customHeight="1" x14ac:dyDescent="0.25">
      <c r="A152" s="109">
        <v>46034</v>
      </c>
      <c r="B152" s="47" t="s">
        <v>49</v>
      </c>
      <c r="C152" s="88" t="s">
        <v>51</v>
      </c>
      <c r="D152" s="47" t="s">
        <v>86</v>
      </c>
      <c r="E152" s="48">
        <v>98992</v>
      </c>
      <c r="F152" s="48" t="s">
        <v>176</v>
      </c>
      <c r="G152" s="48" t="s">
        <v>87</v>
      </c>
      <c r="H152" s="30">
        <v>16219</v>
      </c>
      <c r="I152" s="30"/>
      <c r="J152" s="30">
        <v>20</v>
      </c>
      <c r="K152" s="28">
        <f t="shared" si="25"/>
        <v>180</v>
      </c>
      <c r="L152" s="31">
        <v>0.58333333333333337</v>
      </c>
      <c r="M152" s="31">
        <v>0.9375</v>
      </c>
      <c r="N152" s="32">
        <f t="shared" si="23"/>
        <v>0.35416666666666663</v>
      </c>
      <c r="O152" s="36">
        <v>510</v>
      </c>
      <c r="P152" s="36">
        <f t="shared" si="26"/>
        <v>220</v>
      </c>
      <c r="Q152" s="36">
        <f t="shared" si="27"/>
        <v>220</v>
      </c>
      <c r="R152" s="15">
        <v>0</v>
      </c>
      <c r="S152" s="20">
        <v>0</v>
      </c>
      <c r="T152" s="16">
        <v>0</v>
      </c>
      <c r="U152" s="16">
        <v>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15">
        <f t="shared" si="24"/>
        <v>0</v>
      </c>
      <c r="AE152" s="15">
        <v>0</v>
      </c>
      <c r="AF152" s="15">
        <v>0</v>
      </c>
      <c r="AG152" s="15">
        <v>0</v>
      </c>
      <c r="AH152" s="15">
        <v>220</v>
      </c>
      <c r="AI152" s="15">
        <v>0</v>
      </c>
      <c r="AJ152" s="15">
        <v>30</v>
      </c>
      <c r="AK152" s="15">
        <v>10</v>
      </c>
      <c r="AL152" s="15">
        <v>30</v>
      </c>
      <c r="AM152" s="15">
        <f t="shared" si="29"/>
        <v>290</v>
      </c>
      <c r="AN152" s="29">
        <f t="shared" si="28"/>
        <v>660</v>
      </c>
      <c r="AO152" s="19">
        <v>310</v>
      </c>
      <c r="AP152" s="21">
        <v>0</v>
      </c>
      <c r="AQ152" s="22">
        <v>1</v>
      </c>
      <c r="AR152" s="26">
        <f t="shared" si="30"/>
        <v>309</v>
      </c>
      <c r="AS152" s="37">
        <f t="shared" si="31"/>
        <v>1</v>
      </c>
      <c r="AT152" s="38">
        <f t="shared" si="32"/>
        <v>0.46969696969696972</v>
      </c>
      <c r="AU152" s="38">
        <f t="shared" si="33"/>
        <v>0.99677419354838714</v>
      </c>
      <c r="AV152" s="27">
        <f t="shared" si="34"/>
        <v>0.46818181818181825</v>
      </c>
    </row>
    <row r="153" spans="1:48" s="1" customFormat="1" ht="21" customHeight="1" x14ac:dyDescent="0.25">
      <c r="A153" s="109">
        <v>46034</v>
      </c>
      <c r="B153" s="47" t="s">
        <v>49</v>
      </c>
      <c r="C153" s="88" t="s">
        <v>51</v>
      </c>
      <c r="D153" s="47" t="s">
        <v>124</v>
      </c>
      <c r="E153" s="48">
        <v>98992</v>
      </c>
      <c r="F153" s="48" t="s">
        <v>215</v>
      </c>
      <c r="G153" s="48" t="s">
        <v>125</v>
      </c>
      <c r="H153" s="30">
        <v>13105</v>
      </c>
      <c r="I153" s="30"/>
      <c r="J153" s="30">
        <v>32</v>
      </c>
      <c r="K153" s="28">
        <f t="shared" si="25"/>
        <v>112.5</v>
      </c>
      <c r="L153" s="31">
        <v>0.58333333333333337</v>
      </c>
      <c r="M153" s="31">
        <v>0.9375</v>
      </c>
      <c r="N153" s="32">
        <f t="shared" si="23"/>
        <v>0.35416666666666663</v>
      </c>
      <c r="O153" s="36">
        <v>510</v>
      </c>
      <c r="P153" s="36">
        <f t="shared" si="26"/>
        <v>440</v>
      </c>
      <c r="Q153" s="36">
        <f t="shared" si="27"/>
        <v>440</v>
      </c>
      <c r="R153" s="15">
        <v>0</v>
      </c>
      <c r="S153" s="20">
        <v>0</v>
      </c>
      <c r="T153" s="16">
        <v>0</v>
      </c>
      <c r="U153" s="16">
        <v>0</v>
      </c>
      <c r="V153" s="20">
        <v>0</v>
      </c>
      <c r="W153" s="20">
        <v>0</v>
      </c>
      <c r="X153" s="20">
        <v>0</v>
      </c>
      <c r="Y153" s="20">
        <v>0</v>
      </c>
      <c r="Z153" s="20">
        <v>0</v>
      </c>
      <c r="AA153" s="20">
        <v>0</v>
      </c>
      <c r="AB153" s="20">
        <v>0</v>
      </c>
      <c r="AC153" s="20">
        <v>0</v>
      </c>
      <c r="AD153" s="15">
        <f t="shared" si="24"/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  <c r="AJ153" s="15">
        <v>30</v>
      </c>
      <c r="AK153" s="15">
        <v>10</v>
      </c>
      <c r="AL153" s="15">
        <v>30</v>
      </c>
      <c r="AM153" s="15">
        <f t="shared" si="29"/>
        <v>70</v>
      </c>
      <c r="AN153" s="29">
        <f t="shared" si="28"/>
        <v>825</v>
      </c>
      <c r="AO153" s="19">
        <v>800</v>
      </c>
      <c r="AP153" s="21">
        <v>0</v>
      </c>
      <c r="AQ153" s="22">
        <v>0</v>
      </c>
      <c r="AR153" s="26">
        <f t="shared" si="30"/>
        <v>800</v>
      </c>
      <c r="AS153" s="37">
        <f t="shared" si="31"/>
        <v>1</v>
      </c>
      <c r="AT153" s="38">
        <f t="shared" si="32"/>
        <v>0.96969696969696972</v>
      </c>
      <c r="AU153" s="38">
        <f t="shared" si="33"/>
        <v>1</v>
      </c>
      <c r="AV153" s="27">
        <f t="shared" si="34"/>
        <v>0.96969696969696972</v>
      </c>
    </row>
    <row r="154" spans="1:48" s="1" customFormat="1" ht="21" customHeight="1" x14ac:dyDescent="0.25">
      <c r="A154" s="109">
        <v>46034</v>
      </c>
      <c r="B154" s="47" t="s">
        <v>49</v>
      </c>
      <c r="C154" s="88" t="s">
        <v>51</v>
      </c>
      <c r="D154" s="47" t="s">
        <v>122</v>
      </c>
      <c r="E154" s="48">
        <v>98992</v>
      </c>
      <c r="F154" s="48" t="s">
        <v>169</v>
      </c>
      <c r="G154" s="48" t="s">
        <v>125</v>
      </c>
      <c r="H154" s="30">
        <v>14957</v>
      </c>
      <c r="I154" s="30"/>
      <c r="J154" s="30">
        <v>32</v>
      </c>
      <c r="K154" s="28">
        <f t="shared" si="25"/>
        <v>112.5</v>
      </c>
      <c r="L154" s="31">
        <v>0.58333333333333337</v>
      </c>
      <c r="M154" s="31">
        <v>0.9375</v>
      </c>
      <c r="N154" s="32">
        <f t="shared" si="23"/>
        <v>0.35416666666666663</v>
      </c>
      <c r="O154" s="36">
        <v>510</v>
      </c>
      <c r="P154" s="36">
        <f t="shared" si="26"/>
        <v>380</v>
      </c>
      <c r="Q154" s="36">
        <f t="shared" si="27"/>
        <v>380</v>
      </c>
      <c r="R154" s="15">
        <v>0</v>
      </c>
      <c r="S154" s="20">
        <v>0</v>
      </c>
      <c r="T154" s="16">
        <v>0</v>
      </c>
      <c r="U154" s="16">
        <v>0</v>
      </c>
      <c r="V154" s="20">
        <v>0</v>
      </c>
      <c r="W154" s="20">
        <v>0</v>
      </c>
      <c r="X154" s="20">
        <v>0</v>
      </c>
      <c r="Y154" s="20">
        <v>0</v>
      </c>
      <c r="Z154" s="20">
        <v>0</v>
      </c>
      <c r="AA154" s="20">
        <v>0</v>
      </c>
      <c r="AB154" s="20">
        <v>0</v>
      </c>
      <c r="AC154" s="20">
        <v>0</v>
      </c>
      <c r="AD154" s="15">
        <f t="shared" si="24"/>
        <v>0</v>
      </c>
      <c r="AE154" s="15">
        <v>0</v>
      </c>
      <c r="AF154" s="15">
        <v>0</v>
      </c>
      <c r="AG154" s="15">
        <v>0</v>
      </c>
      <c r="AH154" s="15">
        <v>60</v>
      </c>
      <c r="AI154" s="15">
        <v>0</v>
      </c>
      <c r="AJ154" s="15">
        <v>30</v>
      </c>
      <c r="AK154" s="15">
        <v>10</v>
      </c>
      <c r="AL154" s="15">
        <v>30</v>
      </c>
      <c r="AM154" s="15">
        <f t="shared" si="29"/>
        <v>130</v>
      </c>
      <c r="AN154" s="29">
        <f t="shared" si="28"/>
        <v>712.5</v>
      </c>
      <c r="AO154" s="19">
        <v>600</v>
      </c>
      <c r="AP154" s="21">
        <v>0</v>
      </c>
      <c r="AQ154" s="22">
        <v>1</v>
      </c>
      <c r="AR154" s="26">
        <f t="shared" si="30"/>
        <v>599</v>
      </c>
      <c r="AS154" s="37">
        <f t="shared" si="31"/>
        <v>1</v>
      </c>
      <c r="AT154" s="38">
        <f t="shared" si="32"/>
        <v>0.84210526315789469</v>
      </c>
      <c r="AU154" s="38">
        <f t="shared" si="33"/>
        <v>0.99833333333333329</v>
      </c>
      <c r="AV154" s="27">
        <f t="shared" si="34"/>
        <v>0.84070175438596484</v>
      </c>
    </row>
    <row r="155" spans="1:48" s="1" customFormat="1" ht="21" customHeight="1" x14ac:dyDescent="0.25">
      <c r="A155" s="109">
        <v>46034</v>
      </c>
      <c r="B155" s="47" t="s">
        <v>49</v>
      </c>
      <c r="C155" s="88" t="s">
        <v>51</v>
      </c>
      <c r="D155" s="47" t="s">
        <v>128</v>
      </c>
      <c r="E155" s="48">
        <v>98992</v>
      </c>
      <c r="F155" s="48" t="s">
        <v>53</v>
      </c>
      <c r="G155" s="48" t="s">
        <v>125</v>
      </c>
      <c r="H155" s="30">
        <v>15851</v>
      </c>
      <c r="I155" s="30"/>
      <c r="J155" s="30">
        <v>32</v>
      </c>
      <c r="K155" s="28">
        <f t="shared" si="25"/>
        <v>112.5</v>
      </c>
      <c r="L155" s="31">
        <v>0.58333333333333337</v>
      </c>
      <c r="M155" s="31">
        <v>0.9375</v>
      </c>
      <c r="N155" s="32">
        <f t="shared" si="23"/>
        <v>0.35416666666666663</v>
      </c>
      <c r="O155" s="36">
        <v>510</v>
      </c>
      <c r="P155" s="36">
        <f t="shared" si="26"/>
        <v>440</v>
      </c>
      <c r="Q155" s="36">
        <f t="shared" si="27"/>
        <v>440</v>
      </c>
      <c r="R155" s="15">
        <v>0</v>
      </c>
      <c r="S155" s="20">
        <v>0</v>
      </c>
      <c r="T155" s="16">
        <v>0</v>
      </c>
      <c r="U155" s="16">
        <v>0</v>
      </c>
      <c r="V155" s="20">
        <v>0</v>
      </c>
      <c r="W155" s="20">
        <v>0</v>
      </c>
      <c r="X155" s="20">
        <v>0</v>
      </c>
      <c r="Y155" s="20">
        <v>0</v>
      </c>
      <c r="Z155" s="20">
        <v>0</v>
      </c>
      <c r="AA155" s="20">
        <v>0</v>
      </c>
      <c r="AB155" s="20">
        <v>0</v>
      </c>
      <c r="AC155" s="20">
        <v>0</v>
      </c>
      <c r="AD155" s="15">
        <f t="shared" si="24"/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  <c r="AJ155" s="15">
        <v>30</v>
      </c>
      <c r="AK155" s="15">
        <v>10</v>
      </c>
      <c r="AL155" s="15">
        <v>30</v>
      </c>
      <c r="AM155" s="15">
        <f t="shared" si="29"/>
        <v>70</v>
      </c>
      <c r="AN155" s="29">
        <f t="shared" si="28"/>
        <v>825</v>
      </c>
      <c r="AO155" s="19">
        <v>672</v>
      </c>
      <c r="AP155" s="21">
        <v>0</v>
      </c>
      <c r="AQ155" s="22">
        <v>1</v>
      </c>
      <c r="AR155" s="26">
        <f t="shared" si="30"/>
        <v>671</v>
      </c>
      <c r="AS155" s="37">
        <f t="shared" si="31"/>
        <v>1</v>
      </c>
      <c r="AT155" s="38">
        <f t="shared" si="32"/>
        <v>0.81454545454545457</v>
      </c>
      <c r="AU155" s="38">
        <f t="shared" si="33"/>
        <v>0.99851190476190477</v>
      </c>
      <c r="AV155" s="27">
        <f t="shared" si="34"/>
        <v>0.81333333333333335</v>
      </c>
    </row>
    <row r="156" spans="1:48" s="1" customFormat="1" ht="21" customHeight="1" x14ac:dyDescent="0.25">
      <c r="A156" s="109">
        <v>46034</v>
      </c>
      <c r="B156" s="47" t="s">
        <v>49</v>
      </c>
      <c r="C156" s="88" t="s">
        <v>51</v>
      </c>
      <c r="D156" s="47" t="s">
        <v>170</v>
      </c>
      <c r="E156" s="48">
        <v>98992</v>
      </c>
      <c r="F156" s="48" t="s">
        <v>176</v>
      </c>
      <c r="G156" s="48" t="s">
        <v>125</v>
      </c>
      <c r="H156" s="30">
        <v>15859</v>
      </c>
      <c r="I156" s="30"/>
      <c r="J156" s="30">
        <v>20</v>
      </c>
      <c r="K156" s="28">
        <f t="shared" si="25"/>
        <v>180</v>
      </c>
      <c r="L156" s="31">
        <v>0.58333333333333337</v>
      </c>
      <c r="M156" s="31">
        <v>0.9375</v>
      </c>
      <c r="N156" s="32">
        <f t="shared" si="23"/>
        <v>0.35416666666666663</v>
      </c>
      <c r="O156" s="36">
        <v>510</v>
      </c>
      <c r="P156" s="36">
        <f t="shared" si="26"/>
        <v>220</v>
      </c>
      <c r="Q156" s="36">
        <f t="shared" si="27"/>
        <v>220</v>
      </c>
      <c r="R156" s="15">
        <v>0</v>
      </c>
      <c r="S156" s="20">
        <v>0</v>
      </c>
      <c r="T156" s="16">
        <v>0</v>
      </c>
      <c r="U156" s="16">
        <v>0</v>
      </c>
      <c r="V156" s="20">
        <v>0</v>
      </c>
      <c r="W156" s="20">
        <v>0</v>
      </c>
      <c r="X156" s="20">
        <v>0</v>
      </c>
      <c r="Y156" s="20">
        <v>0</v>
      </c>
      <c r="Z156" s="20">
        <v>0</v>
      </c>
      <c r="AA156" s="20">
        <v>0</v>
      </c>
      <c r="AB156" s="20">
        <v>0</v>
      </c>
      <c r="AC156" s="20">
        <v>0</v>
      </c>
      <c r="AD156" s="15">
        <f t="shared" si="24"/>
        <v>0</v>
      </c>
      <c r="AE156" s="15">
        <v>0</v>
      </c>
      <c r="AF156" s="15">
        <v>0</v>
      </c>
      <c r="AG156" s="15">
        <v>0</v>
      </c>
      <c r="AH156" s="15">
        <v>220</v>
      </c>
      <c r="AI156" s="15">
        <v>0</v>
      </c>
      <c r="AJ156" s="15">
        <v>30</v>
      </c>
      <c r="AK156" s="15">
        <v>10</v>
      </c>
      <c r="AL156" s="15">
        <v>30</v>
      </c>
      <c r="AM156" s="15">
        <f t="shared" si="29"/>
        <v>290</v>
      </c>
      <c r="AN156" s="29">
        <f t="shared" si="28"/>
        <v>660</v>
      </c>
      <c r="AO156" s="19">
        <v>410</v>
      </c>
      <c r="AP156" s="21">
        <v>0</v>
      </c>
      <c r="AQ156" s="22">
        <v>0</v>
      </c>
      <c r="AR156" s="26">
        <f t="shared" si="30"/>
        <v>410</v>
      </c>
      <c r="AS156" s="37">
        <f t="shared" si="31"/>
        <v>1</v>
      </c>
      <c r="AT156" s="38">
        <f t="shared" si="32"/>
        <v>0.62121212121212122</v>
      </c>
      <c r="AU156" s="38">
        <f t="shared" si="33"/>
        <v>1</v>
      </c>
      <c r="AV156" s="27">
        <f t="shared" si="34"/>
        <v>0.62121212121212122</v>
      </c>
    </row>
    <row r="157" spans="1:48" s="1" customFormat="1" ht="21" customHeight="1" x14ac:dyDescent="0.25">
      <c r="A157" s="109">
        <v>46034</v>
      </c>
      <c r="B157" s="47" t="s">
        <v>49</v>
      </c>
      <c r="C157" s="79" t="s">
        <v>51</v>
      </c>
      <c r="D157" s="47" t="s">
        <v>127</v>
      </c>
      <c r="E157" s="48">
        <v>98992</v>
      </c>
      <c r="F157" s="48" t="s">
        <v>175</v>
      </c>
      <c r="G157" s="48" t="s">
        <v>125</v>
      </c>
      <c r="H157" s="30">
        <v>16219</v>
      </c>
      <c r="I157" s="30"/>
      <c r="J157" s="30">
        <v>20</v>
      </c>
      <c r="K157" s="28">
        <f t="shared" si="25"/>
        <v>180</v>
      </c>
      <c r="L157" s="31">
        <v>0.58333333333333337</v>
      </c>
      <c r="M157" s="31">
        <v>0.9375</v>
      </c>
      <c r="N157" s="32">
        <f t="shared" si="23"/>
        <v>0.35416666666666663</v>
      </c>
      <c r="O157" s="36">
        <v>510</v>
      </c>
      <c r="P157" s="36">
        <f t="shared" si="26"/>
        <v>220</v>
      </c>
      <c r="Q157" s="36">
        <f t="shared" si="27"/>
        <v>220</v>
      </c>
      <c r="R157" s="15">
        <v>0</v>
      </c>
      <c r="S157" s="20">
        <v>0</v>
      </c>
      <c r="T157" s="16">
        <v>0</v>
      </c>
      <c r="U157" s="16">
        <v>0</v>
      </c>
      <c r="V157" s="20">
        <v>0</v>
      </c>
      <c r="W157" s="20">
        <v>0</v>
      </c>
      <c r="X157" s="20">
        <v>0</v>
      </c>
      <c r="Y157" s="20">
        <v>0</v>
      </c>
      <c r="Z157" s="20">
        <v>0</v>
      </c>
      <c r="AA157" s="20">
        <v>0</v>
      </c>
      <c r="AB157" s="20">
        <v>0</v>
      </c>
      <c r="AC157" s="20">
        <v>0</v>
      </c>
      <c r="AD157" s="15">
        <f t="shared" si="24"/>
        <v>0</v>
      </c>
      <c r="AE157" s="15">
        <v>0</v>
      </c>
      <c r="AF157" s="15">
        <v>0</v>
      </c>
      <c r="AG157" s="15">
        <v>0</v>
      </c>
      <c r="AH157" s="15">
        <v>220</v>
      </c>
      <c r="AI157" s="15">
        <v>0</v>
      </c>
      <c r="AJ157" s="15">
        <v>30</v>
      </c>
      <c r="AK157" s="15">
        <v>10</v>
      </c>
      <c r="AL157" s="15">
        <v>30</v>
      </c>
      <c r="AM157" s="15">
        <f t="shared" si="29"/>
        <v>290</v>
      </c>
      <c r="AN157" s="29">
        <f t="shared" si="28"/>
        <v>660</v>
      </c>
      <c r="AO157" s="19">
        <v>552</v>
      </c>
      <c r="AP157" s="21">
        <v>0</v>
      </c>
      <c r="AQ157" s="22">
        <v>0</v>
      </c>
      <c r="AR157" s="26">
        <f t="shared" si="30"/>
        <v>552</v>
      </c>
      <c r="AS157" s="37">
        <f t="shared" si="31"/>
        <v>1</v>
      </c>
      <c r="AT157" s="38">
        <f t="shared" si="32"/>
        <v>0.83636363636363631</v>
      </c>
      <c r="AU157" s="38">
        <f t="shared" si="33"/>
        <v>1</v>
      </c>
      <c r="AV157" s="27">
        <f t="shared" si="34"/>
        <v>0.83636363636363631</v>
      </c>
    </row>
    <row r="158" spans="1:48" s="1" customFormat="1" ht="21" customHeight="1" x14ac:dyDescent="0.25">
      <c r="A158" s="109">
        <v>46035</v>
      </c>
      <c r="B158" s="47" t="s">
        <v>49</v>
      </c>
      <c r="C158" s="79" t="s">
        <v>21</v>
      </c>
      <c r="D158" s="47" t="s">
        <v>124</v>
      </c>
      <c r="E158" s="48">
        <v>98992</v>
      </c>
      <c r="F158" s="48" t="s">
        <v>215</v>
      </c>
      <c r="G158" s="48" t="s">
        <v>125</v>
      </c>
      <c r="H158" s="30">
        <v>15036</v>
      </c>
      <c r="I158" s="30"/>
      <c r="J158" s="30">
        <v>32</v>
      </c>
      <c r="K158" s="28">
        <f t="shared" si="25"/>
        <v>112.5</v>
      </c>
      <c r="L158" s="31">
        <v>0.25</v>
      </c>
      <c r="M158" s="31">
        <v>0.60416666666666663</v>
      </c>
      <c r="N158" s="32">
        <f t="shared" si="23"/>
        <v>0.35416666666666663</v>
      </c>
      <c r="O158" s="36">
        <v>510</v>
      </c>
      <c r="P158" s="36">
        <f t="shared" si="26"/>
        <v>440</v>
      </c>
      <c r="Q158" s="36">
        <f t="shared" si="27"/>
        <v>440</v>
      </c>
      <c r="R158" s="15">
        <v>0</v>
      </c>
      <c r="S158" s="20">
        <v>0</v>
      </c>
      <c r="T158" s="16">
        <v>0</v>
      </c>
      <c r="U158" s="16">
        <v>0</v>
      </c>
      <c r="V158" s="20">
        <v>0</v>
      </c>
      <c r="W158" s="20">
        <v>0</v>
      </c>
      <c r="X158" s="20">
        <v>0</v>
      </c>
      <c r="Y158" s="20">
        <v>0</v>
      </c>
      <c r="Z158" s="20">
        <v>0</v>
      </c>
      <c r="AA158" s="20">
        <v>0</v>
      </c>
      <c r="AB158" s="20">
        <v>0</v>
      </c>
      <c r="AC158" s="20">
        <v>0</v>
      </c>
      <c r="AD158" s="15">
        <f t="shared" si="24"/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0</v>
      </c>
      <c r="AJ158" s="15">
        <v>30</v>
      </c>
      <c r="AK158" s="15">
        <v>10</v>
      </c>
      <c r="AL158" s="15">
        <v>30</v>
      </c>
      <c r="AM158" s="15">
        <f t="shared" si="29"/>
        <v>70</v>
      </c>
      <c r="AN158" s="29">
        <f t="shared" si="28"/>
        <v>825</v>
      </c>
      <c r="AO158" s="19">
        <v>687</v>
      </c>
      <c r="AP158" s="21">
        <v>0</v>
      </c>
      <c r="AQ158" s="22">
        <v>0</v>
      </c>
      <c r="AR158" s="26">
        <f t="shared" si="30"/>
        <v>687</v>
      </c>
      <c r="AS158" s="37">
        <f t="shared" si="31"/>
        <v>1</v>
      </c>
      <c r="AT158" s="38">
        <f t="shared" si="32"/>
        <v>0.83272727272727276</v>
      </c>
      <c r="AU158" s="38">
        <f t="shared" si="33"/>
        <v>1</v>
      </c>
      <c r="AV158" s="27">
        <f t="shared" si="34"/>
        <v>0.83272727272727276</v>
      </c>
    </row>
    <row r="159" spans="1:48" s="1" customFormat="1" ht="21" customHeight="1" x14ac:dyDescent="0.25">
      <c r="A159" s="109">
        <v>46035</v>
      </c>
      <c r="B159" s="47" t="s">
        <v>49</v>
      </c>
      <c r="C159" s="79" t="s">
        <v>21</v>
      </c>
      <c r="D159" s="47" t="s">
        <v>122</v>
      </c>
      <c r="E159" s="48">
        <v>98992</v>
      </c>
      <c r="F159" s="48" t="s">
        <v>169</v>
      </c>
      <c r="G159" s="48" t="s">
        <v>125</v>
      </c>
      <c r="H159" s="30">
        <v>15676</v>
      </c>
      <c r="I159" s="30"/>
      <c r="J159" s="30">
        <v>32</v>
      </c>
      <c r="K159" s="28">
        <f t="shared" si="25"/>
        <v>112.5</v>
      </c>
      <c r="L159" s="31">
        <v>0.25</v>
      </c>
      <c r="M159" s="31">
        <v>0.60416666666666663</v>
      </c>
      <c r="N159" s="32">
        <f t="shared" ref="N159:N222" si="35">IF(M159&gt;L159,M159-L159,1+M159-L159)</f>
        <v>0.35416666666666663</v>
      </c>
      <c r="O159" s="36">
        <v>510</v>
      </c>
      <c r="P159" s="36">
        <f t="shared" si="26"/>
        <v>440</v>
      </c>
      <c r="Q159" s="36">
        <f t="shared" si="27"/>
        <v>440</v>
      </c>
      <c r="R159" s="15">
        <v>0</v>
      </c>
      <c r="S159" s="20">
        <v>0</v>
      </c>
      <c r="T159" s="16">
        <v>0</v>
      </c>
      <c r="U159" s="16">
        <v>0</v>
      </c>
      <c r="V159" s="20">
        <v>0</v>
      </c>
      <c r="W159" s="20">
        <v>0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  <c r="AC159" s="20">
        <v>0</v>
      </c>
      <c r="AD159" s="15">
        <f t="shared" si="24"/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  <c r="AJ159" s="15">
        <v>30</v>
      </c>
      <c r="AK159" s="15">
        <v>10</v>
      </c>
      <c r="AL159" s="15">
        <v>30</v>
      </c>
      <c r="AM159" s="15">
        <f t="shared" si="29"/>
        <v>70</v>
      </c>
      <c r="AN159" s="29">
        <f t="shared" si="28"/>
        <v>825</v>
      </c>
      <c r="AO159" s="19">
        <v>507</v>
      </c>
      <c r="AP159" s="21">
        <v>0</v>
      </c>
      <c r="AQ159" s="22">
        <v>1</v>
      </c>
      <c r="AR159" s="26">
        <f t="shared" si="30"/>
        <v>506</v>
      </c>
      <c r="AS159" s="37">
        <f t="shared" si="31"/>
        <v>1</v>
      </c>
      <c r="AT159" s="38">
        <f t="shared" si="32"/>
        <v>0.61454545454545451</v>
      </c>
      <c r="AU159" s="38">
        <f t="shared" si="33"/>
        <v>0.99802761341222879</v>
      </c>
      <c r="AV159" s="27">
        <f t="shared" si="34"/>
        <v>0.61333333333333329</v>
      </c>
    </row>
    <row r="160" spans="1:48" s="1" customFormat="1" ht="21" customHeight="1" x14ac:dyDescent="0.25">
      <c r="A160" s="109">
        <v>46035</v>
      </c>
      <c r="B160" s="47" t="s">
        <v>49</v>
      </c>
      <c r="C160" s="79" t="s">
        <v>21</v>
      </c>
      <c r="D160" s="47" t="s">
        <v>128</v>
      </c>
      <c r="E160" s="48">
        <v>98992</v>
      </c>
      <c r="F160" s="48" t="s">
        <v>53</v>
      </c>
      <c r="G160" s="48" t="s">
        <v>125</v>
      </c>
      <c r="H160" s="30">
        <v>15632</v>
      </c>
      <c r="I160" s="30"/>
      <c r="J160" s="30">
        <v>32</v>
      </c>
      <c r="K160" s="28">
        <f t="shared" si="25"/>
        <v>112.5</v>
      </c>
      <c r="L160" s="31">
        <v>0.25</v>
      </c>
      <c r="M160" s="31">
        <v>0.60416666666666663</v>
      </c>
      <c r="N160" s="32">
        <f t="shared" si="35"/>
        <v>0.35416666666666663</v>
      </c>
      <c r="O160" s="36">
        <v>510</v>
      </c>
      <c r="P160" s="36">
        <f t="shared" si="26"/>
        <v>440</v>
      </c>
      <c r="Q160" s="36">
        <f t="shared" si="27"/>
        <v>440</v>
      </c>
      <c r="R160" s="15">
        <v>0</v>
      </c>
      <c r="S160" s="20">
        <v>0</v>
      </c>
      <c r="T160" s="16">
        <v>0</v>
      </c>
      <c r="U160" s="16">
        <v>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15">
        <f t="shared" si="24"/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0</v>
      </c>
      <c r="AJ160" s="15">
        <v>30</v>
      </c>
      <c r="AK160" s="15">
        <v>10</v>
      </c>
      <c r="AL160" s="15">
        <v>30</v>
      </c>
      <c r="AM160" s="15">
        <f t="shared" si="29"/>
        <v>70</v>
      </c>
      <c r="AN160" s="29">
        <f t="shared" si="28"/>
        <v>825</v>
      </c>
      <c r="AO160" s="19">
        <v>552</v>
      </c>
      <c r="AP160" s="21">
        <v>0</v>
      </c>
      <c r="AQ160" s="22">
        <v>1</v>
      </c>
      <c r="AR160" s="26">
        <f t="shared" si="30"/>
        <v>551</v>
      </c>
      <c r="AS160" s="37">
        <f t="shared" si="31"/>
        <v>1</v>
      </c>
      <c r="AT160" s="38">
        <f>AO160/AN160</f>
        <v>0.66909090909090907</v>
      </c>
      <c r="AU160" s="38">
        <f t="shared" si="33"/>
        <v>0.99818840579710144</v>
      </c>
      <c r="AV160" s="27">
        <f t="shared" si="34"/>
        <v>0.66787878787878785</v>
      </c>
    </row>
    <row r="161" spans="1:48" s="1" customFormat="1" ht="21" customHeight="1" x14ac:dyDescent="0.25">
      <c r="A161" s="109">
        <v>46035</v>
      </c>
      <c r="B161" s="47" t="s">
        <v>49</v>
      </c>
      <c r="C161" s="79" t="s">
        <v>21</v>
      </c>
      <c r="D161" s="47" t="s">
        <v>170</v>
      </c>
      <c r="E161" s="48">
        <v>98992</v>
      </c>
      <c r="F161" s="48" t="s">
        <v>176</v>
      </c>
      <c r="G161" s="48" t="s">
        <v>125</v>
      </c>
      <c r="H161" s="30">
        <v>15688</v>
      </c>
      <c r="I161" s="30"/>
      <c r="J161" s="30">
        <v>20</v>
      </c>
      <c r="K161" s="28">
        <f t="shared" si="25"/>
        <v>180</v>
      </c>
      <c r="L161" s="31">
        <v>0.25</v>
      </c>
      <c r="M161" s="31">
        <v>0.60416666666666663</v>
      </c>
      <c r="N161" s="32">
        <f t="shared" si="35"/>
        <v>0.35416666666666663</v>
      </c>
      <c r="O161" s="36">
        <v>510</v>
      </c>
      <c r="P161" s="36">
        <f t="shared" si="26"/>
        <v>440</v>
      </c>
      <c r="Q161" s="36">
        <f t="shared" si="27"/>
        <v>440</v>
      </c>
      <c r="R161" s="15">
        <v>0</v>
      </c>
      <c r="S161" s="20">
        <v>0</v>
      </c>
      <c r="T161" s="16">
        <v>0</v>
      </c>
      <c r="U161" s="16">
        <v>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15">
        <f t="shared" si="24"/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0</v>
      </c>
      <c r="AJ161" s="15">
        <v>30</v>
      </c>
      <c r="AK161" s="15">
        <v>10</v>
      </c>
      <c r="AL161" s="15">
        <v>30</v>
      </c>
      <c r="AM161" s="15">
        <f t="shared" si="29"/>
        <v>70</v>
      </c>
      <c r="AN161" s="29">
        <f t="shared" si="28"/>
        <v>1320</v>
      </c>
      <c r="AO161" s="19">
        <v>804</v>
      </c>
      <c r="AP161" s="21">
        <v>0</v>
      </c>
      <c r="AQ161" s="22">
        <v>0</v>
      </c>
      <c r="AR161" s="26">
        <f t="shared" si="30"/>
        <v>804</v>
      </c>
      <c r="AS161" s="37">
        <f t="shared" si="31"/>
        <v>1</v>
      </c>
      <c r="AT161" s="38">
        <f>AO161/AN161</f>
        <v>0.60909090909090913</v>
      </c>
      <c r="AU161" s="38">
        <f t="shared" si="33"/>
        <v>1</v>
      </c>
      <c r="AV161" s="27">
        <f t="shared" si="34"/>
        <v>0.60909090909090913</v>
      </c>
    </row>
    <row r="162" spans="1:48" s="1" customFormat="1" ht="21" customHeight="1" x14ac:dyDescent="0.25">
      <c r="A162" s="109">
        <v>46035</v>
      </c>
      <c r="B162" s="47" t="s">
        <v>49</v>
      </c>
      <c r="C162" s="79" t="s">
        <v>21</v>
      </c>
      <c r="D162" s="47" t="s">
        <v>94</v>
      </c>
      <c r="E162" s="48">
        <v>98992</v>
      </c>
      <c r="F162" s="48" t="s">
        <v>67</v>
      </c>
      <c r="G162" s="48" t="s">
        <v>174</v>
      </c>
      <c r="H162" s="30">
        <v>13562</v>
      </c>
      <c r="I162" s="30"/>
      <c r="J162" s="30">
        <v>24</v>
      </c>
      <c r="K162" s="28">
        <f t="shared" si="25"/>
        <v>150</v>
      </c>
      <c r="L162" s="31">
        <v>0.25</v>
      </c>
      <c r="M162" s="31">
        <v>0.60416666666666663</v>
      </c>
      <c r="N162" s="32">
        <f t="shared" si="35"/>
        <v>0.35416666666666663</v>
      </c>
      <c r="O162" s="36">
        <v>510</v>
      </c>
      <c r="P162" s="36">
        <f t="shared" si="26"/>
        <v>220</v>
      </c>
      <c r="Q162" s="36">
        <f t="shared" si="27"/>
        <v>220</v>
      </c>
      <c r="R162" s="15">
        <v>0</v>
      </c>
      <c r="S162" s="20">
        <v>0</v>
      </c>
      <c r="T162" s="16">
        <v>0</v>
      </c>
      <c r="U162" s="16">
        <v>0</v>
      </c>
      <c r="V162" s="20">
        <v>0</v>
      </c>
      <c r="W162" s="20">
        <v>0</v>
      </c>
      <c r="X162" s="20">
        <v>0</v>
      </c>
      <c r="Y162" s="20">
        <v>0</v>
      </c>
      <c r="Z162" s="20">
        <v>0</v>
      </c>
      <c r="AA162" s="20">
        <v>0</v>
      </c>
      <c r="AB162" s="20">
        <v>0</v>
      </c>
      <c r="AC162" s="20">
        <v>0</v>
      </c>
      <c r="AD162" s="15">
        <f t="shared" si="24"/>
        <v>0</v>
      </c>
      <c r="AE162" s="15">
        <v>0</v>
      </c>
      <c r="AF162" s="15">
        <v>0</v>
      </c>
      <c r="AG162" s="15">
        <v>0</v>
      </c>
      <c r="AH162" s="15">
        <v>220</v>
      </c>
      <c r="AI162" s="15">
        <v>0</v>
      </c>
      <c r="AJ162" s="15">
        <v>30</v>
      </c>
      <c r="AK162" s="15">
        <v>10</v>
      </c>
      <c r="AL162" s="15">
        <v>30</v>
      </c>
      <c r="AM162" s="15">
        <f t="shared" si="29"/>
        <v>290</v>
      </c>
      <c r="AN162" s="29">
        <f t="shared" si="28"/>
        <v>550</v>
      </c>
      <c r="AO162" s="19">
        <v>384</v>
      </c>
      <c r="AP162" s="21">
        <v>0</v>
      </c>
      <c r="AQ162" s="22">
        <v>0</v>
      </c>
      <c r="AR162" s="26">
        <f t="shared" si="30"/>
        <v>384</v>
      </c>
      <c r="AS162" s="37">
        <f t="shared" si="31"/>
        <v>1</v>
      </c>
      <c r="AT162" s="38">
        <f>AO162/AN162</f>
        <v>0.69818181818181824</v>
      </c>
      <c r="AU162" s="38">
        <f t="shared" si="33"/>
        <v>1</v>
      </c>
      <c r="AV162" s="27">
        <f t="shared" si="34"/>
        <v>0.69818181818181824</v>
      </c>
    </row>
    <row r="163" spans="1:48" s="1" customFormat="1" ht="21" customHeight="1" x14ac:dyDescent="0.25">
      <c r="A163" s="109">
        <v>46035</v>
      </c>
      <c r="B163" s="47" t="s">
        <v>49</v>
      </c>
      <c r="C163" s="79" t="s">
        <v>21</v>
      </c>
      <c r="D163" s="47" t="s">
        <v>88</v>
      </c>
      <c r="E163" s="48">
        <v>98992</v>
      </c>
      <c r="F163" s="48" t="s">
        <v>126</v>
      </c>
      <c r="G163" s="48" t="s">
        <v>87</v>
      </c>
      <c r="H163" s="30">
        <v>15671</v>
      </c>
      <c r="I163" s="30"/>
      <c r="J163" s="30">
        <v>32</v>
      </c>
      <c r="K163" s="28">
        <f t="shared" si="25"/>
        <v>112.5</v>
      </c>
      <c r="L163" s="31">
        <v>0.25</v>
      </c>
      <c r="M163" s="31">
        <v>0.60416666666666663</v>
      </c>
      <c r="N163" s="32">
        <f t="shared" si="35"/>
        <v>0.35416666666666663</v>
      </c>
      <c r="O163" s="36">
        <v>510</v>
      </c>
      <c r="P163" s="36">
        <f t="shared" si="26"/>
        <v>220</v>
      </c>
      <c r="Q163" s="36">
        <f t="shared" si="27"/>
        <v>220</v>
      </c>
      <c r="R163" s="15">
        <v>0</v>
      </c>
      <c r="S163" s="20">
        <v>0</v>
      </c>
      <c r="T163" s="16">
        <v>0</v>
      </c>
      <c r="U163" s="16">
        <v>0</v>
      </c>
      <c r="V163" s="20">
        <v>0</v>
      </c>
      <c r="W163" s="20">
        <v>0</v>
      </c>
      <c r="X163" s="20">
        <v>0</v>
      </c>
      <c r="Y163" s="20">
        <v>0</v>
      </c>
      <c r="Z163" s="20">
        <v>0</v>
      </c>
      <c r="AA163" s="20">
        <v>0</v>
      </c>
      <c r="AB163" s="20">
        <v>0</v>
      </c>
      <c r="AC163" s="20">
        <v>0</v>
      </c>
      <c r="AD163" s="15">
        <f t="shared" si="24"/>
        <v>0</v>
      </c>
      <c r="AE163" s="15">
        <v>0</v>
      </c>
      <c r="AF163" s="15">
        <v>0</v>
      </c>
      <c r="AG163" s="15">
        <v>0</v>
      </c>
      <c r="AH163" s="15">
        <v>220</v>
      </c>
      <c r="AI163" s="15">
        <v>0</v>
      </c>
      <c r="AJ163" s="15">
        <v>30</v>
      </c>
      <c r="AK163" s="15">
        <v>10</v>
      </c>
      <c r="AL163" s="15">
        <v>30</v>
      </c>
      <c r="AM163" s="15">
        <f t="shared" si="29"/>
        <v>290</v>
      </c>
      <c r="AN163" s="29">
        <f t="shared" si="28"/>
        <v>412.5</v>
      </c>
      <c r="AO163" s="19">
        <v>351</v>
      </c>
      <c r="AP163" s="21">
        <v>0</v>
      </c>
      <c r="AQ163" s="22">
        <v>1</v>
      </c>
      <c r="AR163" s="26">
        <f t="shared" si="30"/>
        <v>350</v>
      </c>
      <c r="AS163" s="37">
        <f t="shared" si="31"/>
        <v>1</v>
      </c>
      <c r="AT163" s="38">
        <f>AO163/AN163</f>
        <v>0.85090909090909095</v>
      </c>
      <c r="AU163" s="38">
        <f t="shared" si="33"/>
        <v>0.9971509971509972</v>
      </c>
      <c r="AV163" s="27">
        <f t="shared" si="34"/>
        <v>0.84848484848484862</v>
      </c>
    </row>
    <row r="164" spans="1:48" s="1" customFormat="1" ht="21" customHeight="1" x14ac:dyDescent="0.25">
      <c r="A164" s="109">
        <v>46035</v>
      </c>
      <c r="B164" s="47" t="s">
        <v>49</v>
      </c>
      <c r="C164" s="79" t="s">
        <v>21</v>
      </c>
      <c r="D164" s="47" t="s">
        <v>89</v>
      </c>
      <c r="E164" s="48">
        <v>98992</v>
      </c>
      <c r="F164" s="48" t="s">
        <v>169</v>
      </c>
      <c r="G164" s="48" t="s">
        <v>87</v>
      </c>
      <c r="H164" s="30">
        <v>11682</v>
      </c>
      <c r="I164" s="30"/>
      <c r="J164" s="30">
        <v>32</v>
      </c>
      <c r="K164" s="28">
        <f t="shared" si="25"/>
        <v>112.5</v>
      </c>
      <c r="L164" s="31">
        <v>0.25</v>
      </c>
      <c r="M164" s="31">
        <v>0.60416666666666663</v>
      </c>
      <c r="N164" s="32">
        <f t="shared" si="35"/>
        <v>0.35416666666666663</v>
      </c>
      <c r="O164" s="36">
        <v>510</v>
      </c>
      <c r="P164" s="36">
        <f t="shared" si="26"/>
        <v>440</v>
      </c>
      <c r="Q164" s="36">
        <f t="shared" si="27"/>
        <v>440</v>
      </c>
      <c r="R164" s="15">
        <v>0</v>
      </c>
      <c r="S164" s="20">
        <v>0</v>
      </c>
      <c r="T164" s="16">
        <v>0</v>
      </c>
      <c r="U164" s="16">
        <v>0</v>
      </c>
      <c r="V164" s="20">
        <v>0</v>
      </c>
      <c r="W164" s="20">
        <v>0</v>
      </c>
      <c r="X164" s="20">
        <v>0</v>
      </c>
      <c r="Y164" s="20">
        <v>0</v>
      </c>
      <c r="Z164" s="20">
        <v>0</v>
      </c>
      <c r="AA164" s="20">
        <v>0</v>
      </c>
      <c r="AB164" s="20">
        <v>0</v>
      </c>
      <c r="AC164" s="20">
        <v>0</v>
      </c>
      <c r="AD164" s="15">
        <f t="shared" si="24"/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  <c r="AJ164" s="15">
        <v>30</v>
      </c>
      <c r="AK164" s="15">
        <v>10</v>
      </c>
      <c r="AL164" s="15">
        <v>30</v>
      </c>
      <c r="AM164" s="15">
        <f t="shared" si="29"/>
        <v>70</v>
      </c>
      <c r="AN164" s="29">
        <f t="shared" si="28"/>
        <v>825</v>
      </c>
      <c r="AO164" s="19">
        <v>655</v>
      </c>
      <c r="AP164" s="21">
        <v>0</v>
      </c>
      <c r="AQ164" s="22">
        <v>2</v>
      </c>
      <c r="AR164" s="26">
        <f t="shared" si="30"/>
        <v>653</v>
      </c>
      <c r="AS164" s="37">
        <f t="shared" si="31"/>
        <v>1</v>
      </c>
      <c r="AT164" s="38">
        <f>AO164/AN164</f>
        <v>0.79393939393939394</v>
      </c>
      <c r="AU164" s="38">
        <f t="shared" si="33"/>
        <v>0.99694656488549616</v>
      </c>
      <c r="AV164" s="27">
        <f t="shared" si="34"/>
        <v>0.7915151515151515</v>
      </c>
    </row>
    <row r="165" spans="1:48" s="1" customFormat="1" ht="21" customHeight="1" x14ac:dyDescent="0.25">
      <c r="A165" s="109">
        <v>46035</v>
      </c>
      <c r="B165" s="47" t="s">
        <v>49</v>
      </c>
      <c r="C165" s="79" t="s">
        <v>21</v>
      </c>
      <c r="D165" s="47" t="s">
        <v>52</v>
      </c>
      <c r="E165" s="48">
        <v>98992</v>
      </c>
      <c r="F165" s="48" t="s">
        <v>53</v>
      </c>
      <c r="G165" s="48" t="s">
        <v>87</v>
      </c>
      <c r="H165" s="30">
        <v>16000</v>
      </c>
      <c r="I165" s="30"/>
      <c r="J165" s="30">
        <v>32</v>
      </c>
      <c r="K165" s="28">
        <f t="shared" si="25"/>
        <v>112.5</v>
      </c>
      <c r="L165" s="31">
        <v>0.25</v>
      </c>
      <c r="M165" s="31">
        <v>0.60416666666666663</v>
      </c>
      <c r="N165" s="32">
        <f t="shared" si="35"/>
        <v>0.35416666666666663</v>
      </c>
      <c r="O165" s="36">
        <v>510</v>
      </c>
      <c r="P165" s="36">
        <f t="shared" si="26"/>
        <v>440</v>
      </c>
      <c r="Q165" s="36">
        <f t="shared" si="27"/>
        <v>440</v>
      </c>
      <c r="R165" s="15">
        <v>0</v>
      </c>
      <c r="S165" s="20">
        <v>0</v>
      </c>
      <c r="T165" s="16">
        <v>0</v>
      </c>
      <c r="U165" s="16">
        <v>0</v>
      </c>
      <c r="V165" s="20">
        <v>0</v>
      </c>
      <c r="W165" s="20">
        <v>0</v>
      </c>
      <c r="X165" s="20">
        <v>0</v>
      </c>
      <c r="Y165" s="20">
        <v>0</v>
      </c>
      <c r="Z165" s="20">
        <v>0</v>
      </c>
      <c r="AA165" s="20">
        <v>0</v>
      </c>
      <c r="AB165" s="20">
        <v>0</v>
      </c>
      <c r="AC165" s="20">
        <v>0</v>
      </c>
      <c r="AD165" s="15">
        <f t="shared" si="24"/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  <c r="AJ165" s="15">
        <v>30</v>
      </c>
      <c r="AK165" s="15">
        <v>10</v>
      </c>
      <c r="AL165" s="15">
        <v>30</v>
      </c>
      <c r="AM165" s="15">
        <f t="shared" si="29"/>
        <v>70</v>
      </c>
      <c r="AN165" s="29">
        <f t="shared" si="28"/>
        <v>825</v>
      </c>
      <c r="AO165" s="19">
        <v>660</v>
      </c>
      <c r="AP165" s="21">
        <v>0</v>
      </c>
      <c r="AQ165" s="22">
        <v>1</v>
      </c>
      <c r="AR165" s="26">
        <f t="shared" si="30"/>
        <v>659</v>
      </c>
      <c r="AS165" s="37">
        <f t="shared" si="31"/>
        <v>1</v>
      </c>
      <c r="AT165" s="38">
        <f t="shared" ref="AT165:AT228" si="36">AO165/AN165</f>
        <v>0.8</v>
      </c>
      <c r="AU165" s="38">
        <f t="shared" si="33"/>
        <v>0.99848484848484853</v>
      </c>
      <c r="AV165" s="27">
        <f t="shared" si="34"/>
        <v>0.79878787878787882</v>
      </c>
    </row>
    <row r="166" spans="1:48" s="1" customFormat="1" ht="21" customHeight="1" x14ac:dyDescent="0.25">
      <c r="A166" s="109">
        <v>46035</v>
      </c>
      <c r="B166" s="47" t="s">
        <v>49</v>
      </c>
      <c r="C166" s="79" t="s">
        <v>21</v>
      </c>
      <c r="D166" s="47" t="s">
        <v>86</v>
      </c>
      <c r="E166" s="48">
        <v>98992</v>
      </c>
      <c r="F166" s="48" t="s">
        <v>176</v>
      </c>
      <c r="G166" s="48" t="s">
        <v>87</v>
      </c>
      <c r="H166" s="30">
        <v>15573</v>
      </c>
      <c r="I166" s="30"/>
      <c r="J166" s="30">
        <v>20</v>
      </c>
      <c r="K166" s="28">
        <f t="shared" si="25"/>
        <v>180</v>
      </c>
      <c r="L166" s="31">
        <v>0.25</v>
      </c>
      <c r="M166" s="31">
        <v>0.60416666666666663</v>
      </c>
      <c r="N166" s="32">
        <f t="shared" si="35"/>
        <v>0.35416666666666663</v>
      </c>
      <c r="O166" s="36">
        <v>510</v>
      </c>
      <c r="P166" s="36">
        <f t="shared" si="26"/>
        <v>440</v>
      </c>
      <c r="Q166" s="36">
        <f t="shared" si="27"/>
        <v>440</v>
      </c>
      <c r="R166" s="15">
        <v>0</v>
      </c>
      <c r="S166" s="20">
        <v>0</v>
      </c>
      <c r="T166" s="16">
        <v>0</v>
      </c>
      <c r="U166" s="16">
        <v>0</v>
      </c>
      <c r="V166" s="20">
        <v>0</v>
      </c>
      <c r="W166" s="20">
        <v>0</v>
      </c>
      <c r="X166" s="20">
        <v>0</v>
      </c>
      <c r="Y166" s="20">
        <v>0</v>
      </c>
      <c r="Z166" s="20">
        <v>0</v>
      </c>
      <c r="AA166" s="20">
        <v>0</v>
      </c>
      <c r="AB166" s="20">
        <v>0</v>
      </c>
      <c r="AC166" s="20">
        <v>0</v>
      </c>
      <c r="AD166" s="15">
        <f t="shared" si="24"/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  <c r="AJ166" s="15">
        <v>30</v>
      </c>
      <c r="AK166" s="15">
        <v>10</v>
      </c>
      <c r="AL166" s="15">
        <v>30</v>
      </c>
      <c r="AM166" s="15">
        <f t="shared" si="29"/>
        <v>70</v>
      </c>
      <c r="AN166" s="29">
        <f t="shared" si="28"/>
        <v>1320</v>
      </c>
      <c r="AO166" s="19">
        <v>850</v>
      </c>
      <c r="AP166" s="21">
        <v>0</v>
      </c>
      <c r="AQ166" s="22">
        <v>2</v>
      </c>
      <c r="AR166" s="26">
        <f t="shared" si="30"/>
        <v>848</v>
      </c>
      <c r="AS166" s="37">
        <f t="shared" si="31"/>
        <v>1</v>
      </c>
      <c r="AT166" s="38">
        <f t="shared" si="36"/>
        <v>0.64393939393939392</v>
      </c>
      <c r="AU166" s="38">
        <f t="shared" si="33"/>
        <v>0.99764705882352944</v>
      </c>
      <c r="AV166" s="27">
        <f t="shared" si="34"/>
        <v>0.64242424242424245</v>
      </c>
    </row>
    <row r="167" spans="1:48" s="1" customFormat="1" ht="21" customHeight="1" x14ac:dyDescent="0.25">
      <c r="A167" s="109">
        <v>46035</v>
      </c>
      <c r="B167" s="47" t="s">
        <v>49</v>
      </c>
      <c r="C167" s="79" t="s">
        <v>21</v>
      </c>
      <c r="D167" s="47" t="s">
        <v>172</v>
      </c>
      <c r="E167" s="48">
        <v>98992</v>
      </c>
      <c r="F167" s="48" t="s">
        <v>175</v>
      </c>
      <c r="G167" s="48" t="s">
        <v>87</v>
      </c>
      <c r="H167" s="30">
        <v>15882</v>
      </c>
      <c r="I167" s="30"/>
      <c r="J167" s="30">
        <v>20</v>
      </c>
      <c r="K167" s="28">
        <f t="shared" si="25"/>
        <v>180</v>
      </c>
      <c r="L167" s="31">
        <v>0.25</v>
      </c>
      <c r="M167" s="31">
        <v>0.60416666666666663</v>
      </c>
      <c r="N167" s="32">
        <f t="shared" si="35"/>
        <v>0.35416666666666663</v>
      </c>
      <c r="O167" s="36">
        <v>510</v>
      </c>
      <c r="P167" s="36">
        <f t="shared" si="26"/>
        <v>440</v>
      </c>
      <c r="Q167" s="36">
        <f t="shared" si="27"/>
        <v>440</v>
      </c>
      <c r="R167" s="15">
        <v>0</v>
      </c>
      <c r="S167" s="20">
        <v>0</v>
      </c>
      <c r="T167" s="16">
        <v>0</v>
      </c>
      <c r="U167" s="16">
        <v>0</v>
      </c>
      <c r="V167" s="20">
        <v>0</v>
      </c>
      <c r="W167" s="20">
        <v>0</v>
      </c>
      <c r="X167" s="20">
        <v>0</v>
      </c>
      <c r="Y167" s="20">
        <v>0</v>
      </c>
      <c r="Z167" s="20">
        <v>0</v>
      </c>
      <c r="AA167" s="20">
        <v>0</v>
      </c>
      <c r="AB167" s="20">
        <v>0</v>
      </c>
      <c r="AC167" s="20">
        <v>0</v>
      </c>
      <c r="AD167" s="15">
        <f t="shared" si="24"/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  <c r="AJ167" s="15">
        <v>30</v>
      </c>
      <c r="AK167" s="15">
        <v>10</v>
      </c>
      <c r="AL167" s="15">
        <v>30</v>
      </c>
      <c r="AM167" s="15">
        <f t="shared" si="29"/>
        <v>70</v>
      </c>
      <c r="AN167" s="29">
        <f t="shared" si="28"/>
        <v>1320</v>
      </c>
      <c r="AO167" s="19">
        <v>1140</v>
      </c>
      <c r="AP167" s="21">
        <v>0</v>
      </c>
      <c r="AQ167" s="22">
        <v>0</v>
      </c>
      <c r="AR167" s="26">
        <f t="shared" si="30"/>
        <v>1140</v>
      </c>
      <c r="AS167" s="37">
        <f t="shared" si="31"/>
        <v>1</v>
      </c>
      <c r="AT167" s="38">
        <f t="shared" si="36"/>
        <v>0.86363636363636365</v>
      </c>
      <c r="AU167" s="38">
        <f t="shared" si="33"/>
        <v>1</v>
      </c>
      <c r="AV167" s="27">
        <f t="shared" si="34"/>
        <v>0.86363636363636365</v>
      </c>
    </row>
    <row r="168" spans="1:48" s="1" customFormat="1" ht="21" customHeight="1" x14ac:dyDescent="0.25">
      <c r="A168" s="109">
        <v>46035</v>
      </c>
      <c r="B168" s="47" t="s">
        <v>49</v>
      </c>
      <c r="C168" s="79" t="s">
        <v>51</v>
      </c>
      <c r="D168" s="47" t="s">
        <v>94</v>
      </c>
      <c r="E168" s="48">
        <v>98992</v>
      </c>
      <c r="F168" s="48" t="s">
        <v>67</v>
      </c>
      <c r="G168" s="48" t="s">
        <v>174</v>
      </c>
      <c r="H168" s="30">
        <v>15833</v>
      </c>
      <c r="I168" s="30"/>
      <c r="J168" s="30">
        <v>24</v>
      </c>
      <c r="K168" s="28">
        <f t="shared" si="25"/>
        <v>150</v>
      </c>
      <c r="L168" s="31">
        <v>0.58333333333333337</v>
      </c>
      <c r="M168" s="31">
        <v>0.9375</v>
      </c>
      <c r="N168" s="32">
        <f t="shared" si="35"/>
        <v>0.35416666666666663</v>
      </c>
      <c r="O168" s="36">
        <v>510</v>
      </c>
      <c r="P168" s="36">
        <f t="shared" si="26"/>
        <v>440</v>
      </c>
      <c r="Q168" s="36">
        <f t="shared" si="27"/>
        <v>440</v>
      </c>
      <c r="R168" s="15">
        <v>0</v>
      </c>
      <c r="S168" s="20">
        <v>0</v>
      </c>
      <c r="T168" s="16">
        <v>0</v>
      </c>
      <c r="U168" s="16">
        <v>0</v>
      </c>
      <c r="V168" s="20">
        <v>0</v>
      </c>
      <c r="W168" s="20">
        <v>0</v>
      </c>
      <c r="X168" s="20">
        <v>0</v>
      </c>
      <c r="Y168" s="20">
        <v>0</v>
      </c>
      <c r="Z168" s="20">
        <v>0</v>
      </c>
      <c r="AA168" s="20">
        <v>0</v>
      </c>
      <c r="AB168" s="20">
        <v>0</v>
      </c>
      <c r="AC168" s="20">
        <v>0</v>
      </c>
      <c r="AD168" s="15">
        <f t="shared" si="24"/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30</v>
      </c>
      <c r="AK168" s="15">
        <v>10</v>
      </c>
      <c r="AL168" s="15">
        <v>30</v>
      </c>
      <c r="AM168" s="15">
        <f t="shared" si="29"/>
        <v>70</v>
      </c>
      <c r="AN168" s="29">
        <f t="shared" si="28"/>
        <v>1100</v>
      </c>
      <c r="AO168" s="19">
        <v>1021</v>
      </c>
      <c r="AP168" s="21">
        <v>0</v>
      </c>
      <c r="AQ168" s="22">
        <v>16</v>
      </c>
      <c r="AR168" s="26">
        <f t="shared" si="30"/>
        <v>1005</v>
      </c>
      <c r="AS168" s="37">
        <f t="shared" si="31"/>
        <v>1</v>
      </c>
      <c r="AT168" s="38">
        <f t="shared" si="36"/>
        <v>0.92818181818181822</v>
      </c>
      <c r="AU168" s="38">
        <f t="shared" si="33"/>
        <v>0.98432908912830563</v>
      </c>
      <c r="AV168" s="27">
        <f t="shared" si="34"/>
        <v>0.91363636363636369</v>
      </c>
    </row>
    <row r="169" spans="1:48" s="1" customFormat="1" ht="21" customHeight="1" x14ac:dyDescent="0.25">
      <c r="A169" s="109">
        <v>46035</v>
      </c>
      <c r="B169" s="47" t="s">
        <v>49</v>
      </c>
      <c r="C169" s="79" t="s">
        <v>51</v>
      </c>
      <c r="D169" s="47" t="s">
        <v>88</v>
      </c>
      <c r="E169" s="48">
        <v>98992</v>
      </c>
      <c r="F169" s="48" t="s">
        <v>126</v>
      </c>
      <c r="G169" s="48" t="s">
        <v>87</v>
      </c>
      <c r="H169" s="30">
        <v>13106</v>
      </c>
      <c r="I169" s="30"/>
      <c r="J169" s="30">
        <v>32</v>
      </c>
      <c r="K169" s="28">
        <f t="shared" si="25"/>
        <v>112.5</v>
      </c>
      <c r="L169" s="31">
        <v>0.58333333333333337</v>
      </c>
      <c r="M169" s="31">
        <v>0.9375</v>
      </c>
      <c r="N169" s="32">
        <f t="shared" si="35"/>
        <v>0.35416666666666663</v>
      </c>
      <c r="O169" s="36">
        <v>510</v>
      </c>
      <c r="P169" s="36">
        <f t="shared" si="26"/>
        <v>440</v>
      </c>
      <c r="Q169" s="36">
        <f t="shared" si="27"/>
        <v>440</v>
      </c>
      <c r="R169" s="15">
        <v>0</v>
      </c>
      <c r="S169" s="20">
        <v>0</v>
      </c>
      <c r="T169" s="16">
        <v>0</v>
      </c>
      <c r="U169" s="16">
        <v>0</v>
      </c>
      <c r="V169" s="20">
        <v>0</v>
      </c>
      <c r="W169" s="20">
        <v>0</v>
      </c>
      <c r="X169" s="20">
        <v>0</v>
      </c>
      <c r="Y169" s="20">
        <v>0</v>
      </c>
      <c r="Z169" s="20">
        <v>0</v>
      </c>
      <c r="AA169" s="20">
        <v>0</v>
      </c>
      <c r="AB169" s="20">
        <v>0</v>
      </c>
      <c r="AC169" s="20">
        <v>0</v>
      </c>
      <c r="AD169" s="15">
        <f t="shared" si="24"/>
        <v>0</v>
      </c>
      <c r="AE169" s="15">
        <v>0</v>
      </c>
      <c r="AF169" s="15">
        <v>0</v>
      </c>
      <c r="AG169" s="15">
        <v>0</v>
      </c>
      <c r="AH169" s="15">
        <v>220</v>
      </c>
      <c r="AI169" s="15">
        <v>0</v>
      </c>
      <c r="AJ169" s="15">
        <v>30</v>
      </c>
      <c r="AK169" s="15">
        <v>10</v>
      </c>
      <c r="AL169" s="15">
        <v>30</v>
      </c>
      <c r="AM169" s="15">
        <v>70</v>
      </c>
      <c r="AN169" s="29">
        <f t="shared" si="28"/>
        <v>825</v>
      </c>
      <c r="AO169" s="19">
        <v>303</v>
      </c>
      <c r="AP169" s="21">
        <v>0</v>
      </c>
      <c r="AQ169" s="22">
        <v>0</v>
      </c>
      <c r="AR169" s="26">
        <f t="shared" si="30"/>
        <v>303</v>
      </c>
      <c r="AS169" s="37">
        <f t="shared" si="31"/>
        <v>1</v>
      </c>
      <c r="AT169" s="38">
        <f t="shared" si="36"/>
        <v>0.36727272727272725</v>
      </c>
      <c r="AU169" s="38">
        <f t="shared" si="33"/>
        <v>1</v>
      </c>
      <c r="AV169" s="27">
        <f t="shared" si="34"/>
        <v>0.36727272727272725</v>
      </c>
    </row>
    <row r="170" spans="1:48" s="1" customFormat="1" ht="21" customHeight="1" x14ac:dyDescent="0.25">
      <c r="A170" s="109">
        <v>46035</v>
      </c>
      <c r="B170" s="47" t="s">
        <v>49</v>
      </c>
      <c r="C170" s="90" t="s">
        <v>51</v>
      </c>
      <c r="D170" s="47" t="s">
        <v>89</v>
      </c>
      <c r="E170" s="48">
        <v>98992</v>
      </c>
      <c r="F170" s="48" t="s">
        <v>169</v>
      </c>
      <c r="G170" s="48" t="s">
        <v>87</v>
      </c>
      <c r="H170" s="30">
        <v>16219</v>
      </c>
      <c r="I170" s="30"/>
      <c r="J170" s="30">
        <v>32</v>
      </c>
      <c r="K170" s="28">
        <f t="shared" si="25"/>
        <v>112.5</v>
      </c>
      <c r="L170" s="31">
        <v>0.58333333333333337</v>
      </c>
      <c r="M170" s="31">
        <v>0.9375</v>
      </c>
      <c r="N170" s="32">
        <f t="shared" si="35"/>
        <v>0.35416666666666663</v>
      </c>
      <c r="O170" s="36">
        <v>510</v>
      </c>
      <c r="P170" s="36">
        <f t="shared" si="26"/>
        <v>440</v>
      </c>
      <c r="Q170" s="36">
        <f t="shared" si="27"/>
        <v>440</v>
      </c>
      <c r="R170" s="15">
        <v>0</v>
      </c>
      <c r="S170" s="20">
        <v>0</v>
      </c>
      <c r="T170" s="16">
        <v>0</v>
      </c>
      <c r="U170" s="16">
        <v>0</v>
      </c>
      <c r="V170" s="20">
        <v>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D170" s="15">
        <f t="shared" si="24"/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30</v>
      </c>
      <c r="AK170" s="15">
        <v>10</v>
      </c>
      <c r="AL170" s="15">
        <v>30</v>
      </c>
      <c r="AM170" s="15">
        <f t="shared" si="29"/>
        <v>70</v>
      </c>
      <c r="AN170" s="29">
        <f t="shared" si="28"/>
        <v>825</v>
      </c>
      <c r="AO170" s="19">
        <v>653</v>
      </c>
      <c r="AP170" s="21">
        <v>0</v>
      </c>
      <c r="AQ170" s="22">
        <v>2</v>
      </c>
      <c r="AR170" s="26">
        <f t="shared" si="30"/>
        <v>651</v>
      </c>
      <c r="AS170" s="37">
        <f t="shared" si="31"/>
        <v>1</v>
      </c>
      <c r="AT170" s="38">
        <f t="shared" si="36"/>
        <v>0.7915151515151515</v>
      </c>
      <c r="AU170" s="38">
        <f t="shared" si="33"/>
        <v>0.99693721286370596</v>
      </c>
      <c r="AV170" s="27">
        <f t="shared" si="34"/>
        <v>0.78909090909090907</v>
      </c>
    </row>
    <row r="171" spans="1:48" s="1" customFormat="1" ht="21" customHeight="1" x14ac:dyDescent="0.25">
      <c r="A171" s="109">
        <v>46035</v>
      </c>
      <c r="B171" s="47" t="s">
        <v>49</v>
      </c>
      <c r="C171" s="90" t="s">
        <v>51</v>
      </c>
      <c r="D171" s="47" t="s">
        <v>52</v>
      </c>
      <c r="E171" s="48">
        <v>98992</v>
      </c>
      <c r="F171" s="48" t="s">
        <v>53</v>
      </c>
      <c r="G171" s="48" t="s">
        <v>87</v>
      </c>
      <c r="H171" s="30">
        <v>15731</v>
      </c>
      <c r="I171" s="30"/>
      <c r="J171" s="30">
        <v>32</v>
      </c>
      <c r="K171" s="28">
        <f t="shared" si="25"/>
        <v>112.5</v>
      </c>
      <c r="L171" s="31">
        <v>0.58333333333333337</v>
      </c>
      <c r="M171" s="31">
        <v>0.9375</v>
      </c>
      <c r="N171" s="32">
        <f t="shared" si="35"/>
        <v>0.35416666666666663</v>
      </c>
      <c r="O171" s="36">
        <v>510</v>
      </c>
      <c r="P171" s="36">
        <f t="shared" si="26"/>
        <v>440</v>
      </c>
      <c r="Q171" s="36">
        <f t="shared" si="27"/>
        <v>440</v>
      </c>
      <c r="R171" s="15">
        <v>0</v>
      </c>
      <c r="S171" s="20">
        <v>0</v>
      </c>
      <c r="T171" s="16">
        <v>0</v>
      </c>
      <c r="U171" s="16">
        <v>0</v>
      </c>
      <c r="V171" s="20">
        <v>0</v>
      </c>
      <c r="W171" s="20">
        <v>0</v>
      </c>
      <c r="X171" s="20">
        <v>0</v>
      </c>
      <c r="Y171" s="20">
        <v>0</v>
      </c>
      <c r="Z171" s="20">
        <v>0</v>
      </c>
      <c r="AA171" s="20">
        <v>0</v>
      </c>
      <c r="AB171" s="20">
        <v>0</v>
      </c>
      <c r="AC171" s="20">
        <v>0</v>
      </c>
      <c r="AD171" s="15">
        <f t="shared" si="24"/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  <c r="AJ171" s="15">
        <v>30</v>
      </c>
      <c r="AK171" s="15">
        <v>10</v>
      </c>
      <c r="AL171" s="15">
        <v>30</v>
      </c>
      <c r="AM171" s="15">
        <f t="shared" si="29"/>
        <v>70</v>
      </c>
      <c r="AN171" s="29">
        <f t="shared" si="28"/>
        <v>825</v>
      </c>
      <c r="AO171" s="19">
        <v>705</v>
      </c>
      <c r="AP171" s="21">
        <v>0</v>
      </c>
      <c r="AQ171" s="22">
        <v>1</v>
      </c>
      <c r="AR171" s="26">
        <f t="shared" si="30"/>
        <v>704</v>
      </c>
      <c r="AS171" s="37">
        <f t="shared" si="31"/>
        <v>1</v>
      </c>
      <c r="AT171" s="38">
        <f t="shared" si="36"/>
        <v>0.8545454545454545</v>
      </c>
      <c r="AU171" s="38">
        <f t="shared" si="33"/>
        <v>0.99858156028368794</v>
      </c>
      <c r="AV171" s="27">
        <f t="shared" si="34"/>
        <v>0.85333333333333328</v>
      </c>
    </row>
    <row r="172" spans="1:48" s="1" customFormat="1" ht="21" customHeight="1" x14ac:dyDescent="0.25">
      <c r="A172" s="109">
        <v>46035</v>
      </c>
      <c r="B172" s="47" t="s">
        <v>49</v>
      </c>
      <c r="C172" s="90" t="s">
        <v>51</v>
      </c>
      <c r="D172" s="47" t="s">
        <v>86</v>
      </c>
      <c r="E172" s="48">
        <v>98992</v>
      </c>
      <c r="F172" s="48" t="s">
        <v>176</v>
      </c>
      <c r="G172" s="48" t="s">
        <v>87</v>
      </c>
      <c r="H172" s="30">
        <v>15688</v>
      </c>
      <c r="I172" s="30"/>
      <c r="J172" s="30">
        <v>20</v>
      </c>
      <c r="K172" s="28">
        <f t="shared" si="25"/>
        <v>180</v>
      </c>
      <c r="L172" s="31">
        <v>0.58333333333333337</v>
      </c>
      <c r="M172" s="31">
        <v>0.9375</v>
      </c>
      <c r="N172" s="32">
        <f t="shared" si="35"/>
        <v>0.35416666666666663</v>
      </c>
      <c r="O172" s="36">
        <v>510</v>
      </c>
      <c r="P172" s="36">
        <f t="shared" si="26"/>
        <v>320</v>
      </c>
      <c r="Q172" s="36">
        <f t="shared" si="27"/>
        <v>320</v>
      </c>
      <c r="R172" s="15">
        <v>0</v>
      </c>
      <c r="S172" s="20">
        <v>0</v>
      </c>
      <c r="T172" s="16">
        <v>0</v>
      </c>
      <c r="U172" s="16">
        <v>0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15">
        <f t="shared" si="24"/>
        <v>0</v>
      </c>
      <c r="AE172" s="15">
        <v>0</v>
      </c>
      <c r="AF172" s="15">
        <v>0</v>
      </c>
      <c r="AG172" s="15">
        <v>0</v>
      </c>
      <c r="AH172" s="15">
        <v>120</v>
      </c>
      <c r="AI172" s="15">
        <v>0</v>
      </c>
      <c r="AJ172" s="15">
        <v>30</v>
      </c>
      <c r="AK172" s="15">
        <v>10</v>
      </c>
      <c r="AL172" s="15">
        <v>30</v>
      </c>
      <c r="AM172" s="15">
        <f t="shared" si="29"/>
        <v>190</v>
      </c>
      <c r="AN172" s="29">
        <f t="shared" si="28"/>
        <v>960</v>
      </c>
      <c r="AO172" s="19">
        <v>630</v>
      </c>
      <c r="AP172" s="21">
        <v>0</v>
      </c>
      <c r="AQ172" s="22">
        <v>1</v>
      </c>
      <c r="AR172" s="26">
        <f t="shared" si="30"/>
        <v>629</v>
      </c>
      <c r="AS172" s="37">
        <f t="shared" si="31"/>
        <v>1</v>
      </c>
      <c r="AT172" s="38">
        <f t="shared" si="36"/>
        <v>0.65625</v>
      </c>
      <c r="AU172" s="38">
        <f t="shared" si="33"/>
        <v>0.99841269841269842</v>
      </c>
      <c r="AV172" s="27">
        <f t="shared" si="34"/>
        <v>0.65520833333333339</v>
      </c>
    </row>
    <row r="173" spans="1:48" s="1" customFormat="1" ht="21" customHeight="1" x14ac:dyDescent="0.25">
      <c r="A173" s="109">
        <v>46035</v>
      </c>
      <c r="B173" s="47" t="s">
        <v>49</v>
      </c>
      <c r="C173" s="90" t="s">
        <v>51</v>
      </c>
      <c r="D173" s="47" t="s">
        <v>172</v>
      </c>
      <c r="E173" s="48">
        <v>98992</v>
      </c>
      <c r="F173" s="48" t="s">
        <v>175</v>
      </c>
      <c r="G173" s="48" t="s">
        <v>87</v>
      </c>
      <c r="H173" s="30">
        <v>13106</v>
      </c>
      <c r="I173" s="30"/>
      <c r="J173" s="30">
        <v>20</v>
      </c>
      <c r="K173" s="28">
        <f t="shared" si="25"/>
        <v>180</v>
      </c>
      <c r="L173" s="31">
        <v>0.58333333333333337</v>
      </c>
      <c r="M173" s="31">
        <v>0.9375</v>
      </c>
      <c r="N173" s="32">
        <f t="shared" si="35"/>
        <v>0.35416666666666663</v>
      </c>
      <c r="O173" s="36">
        <v>510</v>
      </c>
      <c r="P173" s="36">
        <f t="shared" si="26"/>
        <v>200</v>
      </c>
      <c r="Q173" s="36">
        <f t="shared" si="27"/>
        <v>200</v>
      </c>
      <c r="R173" s="15">
        <v>0</v>
      </c>
      <c r="S173" s="20">
        <v>0</v>
      </c>
      <c r="T173" s="16">
        <v>0</v>
      </c>
      <c r="U173" s="16">
        <v>0</v>
      </c>
      <c r="V173" s="20">
        <v>0</v>
      </c>
      <c r="W173" s="20">
        <v>0</v>
      </c>
      <c r="X173" s="20">
        <v>0</v>
      </c>
      <c r="Y173" s="20">
        <v>0</v>
      </c>
      <c r="Z173" s="20">
        <v>0</v>
      </c>
      <c r="AA173" s="20">
        <v>0</v>
      </c>
      <c r="AB173" s="20">
        <v>0</v>
      </c>
      <c r="AC173" s="20">
        <v>0</v>
      </c>
      <c r="AD173" s="15">
        <f t="shared" si="24"/>
        <v>0</v>
      </c>
      <c r="AE173" s="15">
        <v>0</v>
      </c>
      <c r="AF173" s="15">
        <v>0</v>
      </c>
      <c r="AG173" s="15">
        <v>0</v>
      </c>
      <c r="AH173" s="15">
        <v>240</v>
      </c>
      <c r="AI173" s="15">
        <v>0</v>
      </c>
      <c r="AJ173" s="15">
        <v>30</v>
      </c>
      <c r="AK173" s="15">
        <v>10</v>
      </c>
      <c r="AL173" s="15">
        <v>30</v>
      </c>
      <c r="AM173" s="15">
        <f t="shared" si="29"/>
        <v>310</v>
      </c>
      <c r="AN173" s="29">
        <f t="shared" si="28"/>
        <v>600</v>
      </c>
      <c r="AO173" s="19">
        <v>400</v>
      </c>
      <c r="AP173" s="21">
        <v>0</v>
      </c>
      <c r="AQ173" s="22">
        <v>0</v>
      </c>
      <c r="AR173" s="26">
        <f t="shared" si="30"/>
        <v>400</v>
      </c>
      <c r="AS173" s="37">
        <f t="shared" si="31"/>
        <v>1</v>
      </c>
      <c r="AT173" s="38">
        <f t="shared" si="36"/>
        <v>0.66666666666666663</v>
      </c>
      <c r="AU173" s="38">
        <f t="shared" si="33"/>
        <v>1</v>
      </c>
      <c r="AV173" s="27">
        <f t="shared" si="34"/>
        <v>0.66666666666666663</v>
      </c>
    </row>
    <row r="174" spans="1:48" s="1" customFormat="1" ht="21" customHeight="1" x14ac:dyDescent="0.25">
      <c r="A174" s="109">
        <v>46035</v>
      </c>
      <c r="B174" s="47" t="s">
        <v>49</v>
      </c>
      <c r="C174" s="90" t="s">
        <v>51</v>
      </c>
      <c r="D174" s="47" t="s">
        <v>124</v>
      </c>
      <c r="E174" s="48">
        <v>98992</v>
      </c>
      <c r="F174" s="48" t="s">
        <v>215</v>
      </c>
      <c r="G174" s="48" t="s">
        <v>125</v>
      </c>
      <c r="H174" s="30">
        <v>13105</v>
      </c>
      <c r="I174" s="30"/>
      <c r="J174" s="30">
        <v>32</v>
      </c>
      <c r="K174" s="28">
        <f t="shared" si="25"/>
        <v>112.5</v>
      </c>
      <c r="L174" s="31">
        <v>0.58333333333333337</v>
      </c>
      <c r="M174" s="31">
        <v>0.9375</v>
      </c>
      <c r="N174" s="32">
        <f t="shared" si="35"/>
        <v>0.35416666666666663</v>
      </c>
      <c r="O174" s="36">
        <v>510</v>
      </c>
      <c r="P174" s="36">
        <f t="shared" si="26"/>
        <v>440</v>
      </c>
      <c r="Q174" s="36">
        <f t="shared" si="27"/>
        <v>440</v>
      </c>
      <c r="R174" s="15">
        <v>0</v>
      </c>
      <c r="S174" s="20">
        <v>0</v>
      </c>
      <c r="T174" s="16">
        <v>0</v>
      </c>
      <c r="U174" s="16">
        <v>0</v>
      </c>
      <c r="V174" s="20">
        <v>0</v>
      </c>
      <c r="W174" s="20">
        <v>0</v>
      </c>
      <c r="X174" s="20">
        <v>0</v>
      </c>
      <c r="Y174" s="20">
        <v>0</v>
      </c>
      <c r="Z174" s="20">
        <v>0</v>
      </c>
      <c r="AA174" s="20">
        <v>0</v>
      </c>
      <c r="AB174" s="20">
        <v>0</v>
      </c>
      <c r="AC174" s="20">
        <v>0</v>
      </c>
      <c r="AD174" s="15">
        <f t="shared" si="24"/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30</v>
      </c>
      <c r="AK174" s="15">
        <v>10</v>
      </c>
      <c r="AL174" s="15">
        <v>30</v>
      </c>
      <c r="AM174" s="15">
        <f t="shared" si="29"/>
        <v>70</v>
      </c>
      <c r="AN174" s="29">
        <f t="shared" si="28"/>
        <v>825</v>
      </c>
      <c r="AO174" s="19">
        <v>700</v>
      </c>
      <c r="AP174" s="21">
        <v>0</v>
      </c>
      <c r="AQ174" s="22">
        <v>1</v>
      </c>
      <c r="AR174" s="26">
        <f t="shared" si="30"/>
        <v>699</v>
      </c>
      <c r="AS174" s="37">
        <f t="shared" si="31"/>
        <v>1</v>
      </c>
      <c r="AT174" s="38">
        <f t="shared" si="36"/>
        <v>0.84848484848484851</v>
      </c>
      <c r="AU174" s="38">
        <f t="shared" si="33"/>
        <v>0.99857142857142855</v>
      </c>
      <c r="AV174" s="27">
        <f t="shared" si="34"/>
        <v>0.84727272727272729</v>
      </c>
    </row>
    <row r="175" spans="1:48" s="1" customFormat="1" ht="21" customHeight="1" x14ac:dyDescent="0.25">
      <c r="A175" s="109">
        <v>46035</v>
      </c>
      <c r="B175" s="47" t="s">
        <v>49</v>
      </c>
      <c r="C175" s="90" t="s">
        <v>51</v>
      </c>
      <c r="D175" s="47" t="s">
        <v>122</v>
      </c>
      <c r="E175" s="48">
        <v>98992</v>
      </c>
      <c r="F175" s="48" t="s">
        <v>169</v>
      </c>
      <c r="G175" s="48" t="s">
        <v>125</v>
      </c>
      <c r="H175" s="30">
        <v>15689</v>
      </c>
      <c r="I175" s="30"/>
      <c r="J175" s="30">
        <v>32</v>
      </c>
      <c r="K175" s="28">
        <f t="shared" si="25"/>
        <v>112.5</v>
      </c>
      <c r="L175" s="31">
        <v>0.58333333333333337</v>
      </c>
      <c r="M175" s="31">
        <v>0.9375</v>
      </c>
      <c r="N175" s="32">
        <f t="shared" si="35"/>
        <v>0.35416666666666663</v>
      </c>
      <c r="O175" s="36">
        <v>510</v>
      </c>
      <c r="P175" s="36">
        <f t="shared" si="26"/>
        <v>400</v>
      </c>
      <c r="Q175" s="36">
        <f t="shared" si="27"/>
        <v>440</v>
      </c>
      <c r="R175" s="15">
        <v>0</v>
      </c>
      <c r="S175" s="20">
        <v>0</v>
      </c>
      <c r="T175" s="16">
        <v>0</v>
      </c>
      <c r="U175" s="16">
        <v>40</v>
      </c>
      <c r="V175" s="20">
        <v>0</v>
      </c>
      <c r="W175" s="20">
        <v>0</v>
      </c>
      <c r="X175" s="20">
        <v>0</v>
      </c>
      <c r="Y175" s="20">
        <v>0</v>
      </c>
      <c r="Z175" s="20">
        <v>0</v>
      </c>
      <c r="AA175" s="20">
        <v>0</v>
      </c>
      <c r="AB175" s="20">
        <v>0</v>
      </c>
      <c r="AC175" s="20">
        <v>0</v>
      </c>
      <c r="AD175" s="15">
        <f t="shared" si="24"/>
        <v>40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  <c r="AJ175" s="15">
        <v>30</v>
      </c>
      <c r="AK175" s="15">
        <v>10</v>
      </c>
      <c r="AL175" s="15">
        <v>30</v>
      </c>
      <c r="AM175" s="15">
        <f t="shared" si="29"/>
        <v>70</v>
      </c>
      <c r="AN175" s="29">
        <f t="shared" si="28"/>
        <v>825</v>
      </c>
      <c r="AO175" s="19">
        <v>530</v>
      </c>
      <c r="AP175" s="21">
        <v>0</v>
      </c>
      <c r="AQ175" s="22">
        <v>1</v>
      </c>
      <c r="AR175" s="26">
        <f t="shared" si="30"/>
        <v>529</v>
      </c>
      <c r="AS175" s="37">
        <f t="shared" si="31"/>
        <v>0.90909090909090906</v>
      </c>
      <c r="AT175" s="38">
        <f t="shared" si="36"/>
        <v>0.64242424242424245</v>
      </c>
      <c r="AU175" s="38">
        <f t="shared" si="33"/>
        <v>0.99811320754716981</v>
      </c>
      <c r="AV175" s="27">
        <f t="shared" si="34"/>
        <v>0.58292011019283752</v>
      </c>
    </row>
    <row r="176" spans="1:48" s="1" customFormat="1" ht="21" customHeight="1" x14ac:dyDescent="0.25">
      <c r="A176" s="109">
        <v>46035</v>
      </c>
      <c r="B176" s="47" t="s">
        <v>49</v>
      </c>
      <c r="C176" s="90" t="s">
        <v>51</v>
      </c>
      <c r="D176" s="47" t="s">
        <v>128</v>
      </c>
      <c r="E176" s="48">
        <v>98992</v>
      </c>
      <c r="F176" s="48" t="s">
        <v>53</v>
      </c>
      <c r="G176" s="48" t="s">
        <v>125</v>
      </c>
      <c r="H176" s="30">
        <v>15710</v>
      </c>
      <c r="I176" s="30"/>
      <c r="J176" s="30">
        <v>32</v>
      </c>
      <c r="K176" s="28">
        <f t="shared" si="25"/>
        <v>112.5</v>
      </c>
      <c r="L176" s="31">
        <v>0.58333333333333337</v>
      </c>
      <c r="M176" s="31">
        <v>0.9375</v>
      </c>
      <c r="N176" s="32">
        <f t="shared" si="35"/>
        <v>0.35416666666666663</v>
      </c>
      <c r="O176" s="36">
        <v>510</v>
      </c>
      <c r="P176" s="36">
        <f t="shared" si="26"/>
        <v>440</v>
      </c>
      <c r="Q176" s="36">
        <f t="shared" si="27"/>
        <v>440</v>
      </c>
      <c r="R176" s="15">
        <v>0</v>
      </c>
      <c r="S176" s="20">
        <v>0</v>
      </c>
      <c r="T176" s="16">
        <v>0</v>
      </c>
      <c r="U176" s="16">
        <v>0</v>
      </c>
      <c r="V176" s="20">
        <v>0</v>
      </c>
      <c r="W176" s="20">
        <v>0</v>
      </c>
      <c r="X176" s="20">
        <v>0</v>
      </c>
      <c r="Y176" s="20">
        <v>0</v>
      </c>
      <c r="Z176" s="20">
        <v>0</v>
      </c>
      <c r="AA176" s="20">
        <v>0</v>
      </c>
      <c r="AB176" s="20">
        <v>0</v>
      </c>
      <c r="AC176" s="20">
        <v>0</v>
      </c>
      <c r="AD176" s="15">
        <f t="shared" si="24"/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  <c r="AJ176" s="15">
        <v>30</v>
      </c>
      <c r="AK176" s="15">
        <v>10</v>
      </c>
      <c r="AL176" s="15">
        <v>30</v>
      </c>
      <c r="AM176" s="15">
        <f t="shared" si="29"/>
        <v>70</v>
      </c>
      <c r="AN176" s="29">
        <f t="shared" si="28"/>
        <v>825</v>
      </c>
      <c r="AO176" s="19">
        <v>640</v>
      </c>
      <c r="AP176" s="21">
        <v>0</v>
      </c>
      <c r="AQ176" s="22">
        <v>1</v>
      </c>
      <c r="AR176" s="26">
        <f t="shared" si="30"/>
        <v>639</v>
      </c>
      <c r="AS176" s="37">
        <f t="shared" si="31"/>
        <v>1</v>
      </c>
      <c r="AT176" s="38">
        <f t="shared" si="36"/>
        <v>0.77575757575757576</v>
      </c>
      <c r="AU176" s="38">
        <f t="shared" si="33"/>
        <v>0.99843749999999998</v>
      </c>
      <c r="AV176" s="27">
        <f t="shared" si="34"/>
        <v>0.77454545454545454</v>
      </c>
    </row>
    <row r="177" spans="1:48" s="1" customFormat="1" ht="21" customHeight="1" x14ac:dyDescent="0.25">
      <c r="A177" s="109">
        <v>46035</v>
      </c>
      <c r="B177" s="47" t="s">
        <v>49</v>
      </c>
      <c r="C177" s="90" t="s">
        <v>51</v>
      </c>
      <c r="D177" s="47" t="s">
        <v>170</v>
      </c>
      <c r="E177" s="48">
        <v>98992</v>
      </c>
      <c r="F177" s="48" t="s">
        <v>176</v>
      </c>
      <c r="G177" s="48" t="s">
        <v>125</v>
      </c>
      <c r="H177" s="30">
        <v>15859</v>
      </c>
      <c r="I177" s="30"/>
      <c r="J177" s="30">
        <v>20</v>
      </c>
      <c r="K177" s="28">
        <f t="shared" si="25"/>
        <v>180</v>
      </c>
      <c r="L177" s="31">
        <v>0.58333333333333337</v>
      </c>
      <c r="M177" s="31">
        <v>0.9375</v>
      </c>
      <c r="N177" s="32">
        <f t="shared" si="35"/>
        <v>0.35416666666666663</v>
      </c>
      <c r="O177" s="36">
        <v>510</v>
      </c>
      <c r="P177" s="36">
        <f t="shared" si="26"/>
        <v>320</v>
      </c>
      <c r="Q177" s="36">
        <f t="shared" si="27"/>
        <v>320</v>
      </c>
      <c r="R177" s="15">
        <v>0</v>
      </c>
      <c r="S177" s="20">
        <v>0</v>
      </c>
      <c r="T177" s="16">
        <v>0</v>
      </c>
      <c r="U177" s="16">
        <v>0</v>
      </c>
      <c r="V177" s="20">
        <v>0</v>
      </c>
      <c r="W177" s="20">
        <v>0</v>
      </c>
      <c r="X177" s="20">
        <v>0</v>
      </c>
      <c r="Y177" s="20">
        <v>0</v>
      </c>
      <c r="Z177" s="20">
        <v>0</v>
      </c>
      <c r="AA177" s="20">
        <v>0</v>
      </c>
      <c r="AB177" s="20">
        <v>0</v>
      </c>
      <c r="AC177" s="20">
        <v>0</v>
      </c>
      <c r="AD177" s="15">
        <f t="shared" ref="AD177:AD197" si="37">SUM(R177:AC177)</f>
        <v>0</v>
      </c>
      <c r="AE177" s="15">
        <v>0</v>
      </c>
      <c r="AF177" s="15">
        <v>0</v>
      </c>
      <c r="AG177" s="15">
        <v>0</v>
      </c>
      <c r="AH177" s="15">
        <v>120</v>
      </c>
      <c r="AI177" s="15">
        <v>0</v>
      </c>
      <c r="AJ177" s="15">
        <v>30</v>
      </c>
      <c r="AK177" s="15">
        <v>10</v>
      </c>
      <c r="AL177" s="15">
        <v>30</v>
      </c>
      <c r="AM177" s="15">
        <f t="shared" si="29"/>
        <v>190</v>
      </c>
      <c r="AN177" s="29">
        <f t="shared" si="28"/>
        <v>960</v>
      </c>
      <c r="AO177" s="19">
        <v>636</v>
      </c>
      <c r="AP177" s="21">
        <v>0</v>
      </c>
      <c r="AQ177" s="22">
        <v>0</v>
      </c>
      <c r="AR177" s="26">
        <f t="shared" si="30"/>
        <v>636</v>
      </c>
      <c r="AS177" s="37">
        <f t="shared" si="31"/>
        <v>1</v>
      </c>
      <c r="AT177" s="38">
        <f t="shared" si="36"/>
        <v>0.66249999999999998</v>
      </c>
      <c r="AU177" s="38">
        <f t="shared" si="33"/>
        <v>1</v>
      </c>
      <c r="AV177" s="27">
        <f t="shared" si="34"/>
        <v>0.66249999999999998</v>
      </c>
    </row>
    <row r="178" spans="1:48" s="1" customFormat="1" ht="21" customHeight="1" x14ac:dyDescent="0.25">
      <c r="A178" s="109">
        <v>46035</v>
      </c>
      <c r="B178" s="47" t="s">
        <v>49</v>
      </c>
      <c r="C178" s="90" t="s">
        <v>51</v>
      </c>
      <c r="D178" s="47" t="s">
        <v>127</v>
      </c>
      <c r="E178" s="48">
        <v>98992</v>
      </c>
      <c r="F178" s="48" t="s">
        <v>175</v>
      </c>
      <c r="G178" s="48" t="s">
        <v>125</v>
      </c>
      <c r="H178" s="30">
        <v>13669</v>
      </c>
      <c r="I178" s="30"/>
      <c r="J178" s="30">
        <v>20</v>
      </c>
      <c r="K178" s="28">
        <f t="shared" si="25"/>
        <v>180</v>
      </c>
      <c r="L178" s="31">
        <v>0.58333333333333337</v>
      </c>
      <c r="M178" s="31">
        <v>0.9375</v>
      </c>
      <c r="N178" s="32">
        <f t="shared" si="35"/>
        <v>0.35416666666666663</v>
      </c>
      <c r="O178" s="36">
        <v>510</v>
      </c>
      <c r="P178" s="36">
        <f t="shared" si="26"/>
        <v>440</v>
      </c>
      <c r="Q178" s="36">
        <f t="shared" si="27"/>
        <v>440</v>
      </c>
      <c r="R178" s="15">
        <v>0</v>
      </c>
      <c r="S178" s="20">
        <v>0</v>
      </c>
      <c r="T178" s="16">
        <v>0</v>
      </c>
      <c r="U178" s="16">
        <v>0</v>
      </c>
      <c r="V178" s="20">
        <v>0</v>
      </c>
      <c r="W178" s="20">
        <v>0</v>
      </c>
      <c r="X178" s="20">
        <v>0</v>
      </c>
      <c r="Y178" s="20">
        <v>0</v>
      </c>
      <c r="Z178" s="20">
        <v>0</v>
      </c>
      <c r="AA178" s="20">
        <v>0</v>
      </c>
      <c r="AB178" s="20">
        <v>0</v>
      </c>
      <c r="AC178" s="20">
        <v>0</v>
      </c>
      <c r="AD178" s="15">
        <f t="shared" si="37"/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30</v>
      </c>
      <c r="AK178" s="15">
        <v>10</v>
      </c>
      <c r="AL178" s="15">
        <v>30</v>
      </c>
      <c r="AM178" s="15">
        <f t="shared" si="29"/>
        <v>70</v>
      </c>
      <c r="AN178" s="29">
        <f t="shared" si="28"/>
        <v>1320</v>
      </c>
      <c r="AO178" s="19">
        <v>1310</v>
      </c>
      <c r="AP178" s="21">
        <v>0</v>
      </c>
      <c r="AQ178" s="22">
        <v>0</v>
      </c>
      <c r="AR178" s="26">
        <f t="shared" si="30"/>
        <v>1310</v>
      </c>
      <c r="AS178" s="37">
        <f t="shared" si="31"/>
        <v>1</v>
      </c>
      <c r="AT178" s="38">
        <f t="shared" si="36"/>
        <v>0.99242424242424243</v>
      </c>
      <c r="AU178" s="38">
        <f t="shared" si="33"/>
        <v>1</v>
      </c>
      <c r="AV178" s="27">
        <f t="shared" si="34"/>
        <v>0.99242424242424243</v>
      </c>
    </row>
    <row r="179" spans="1:48" s="1" customFormat="1" ht="21" customHeight="1" x14ac:dyDescent="0.25">
      <c r="A179" s="109">
        <v>46036</v>
      </c>
      <c r="B179" s="47" t="s">
        <v>49</v>
      </c>
      <c r="C179" s="89" t="s">
        <v>21</v>
      </c>
      <c r="D179" s="47" t="s">
        <v>124</v>
      </c>
      <c r="E179" s="48">
        <v>98992</v>
      </c>
      <c r="F179" s="48" t="s">
        <v>215</v>
      </c>
      <c r="G179" s="48" t="s">
        <v>125</v>
      </c>
      <c r="H179" s="30">
        <v>15688</v>
      </c>
      <c r="I179" s="30"/>
      <c r="J179" s="30">
        <v>32</v>
      </c>
      <c r="K179" s="28">
        <f t="shared" si="25"/>
        <v>112.5</v>
      </c>
      <c r="L179" s="31">
        <v>0.25</v>
      </c>
      <c r="M179" s="31">
        <v>0.60416666666666663</v>
      </c>
      <c r="N179" s="32">
        <f t="shared" si="35"/>
        <v>0.35416666666666663</v>
      </c>
      <c r="O179" s="36">
        <v>510</v>
      </c>
      <c r="P179" s="36">
        <f t="shared" si="26"/>
        <v>320</v>
      </c>
      <c r="Q179" s="36">
        <f t="shared" si="27"/>
        <v>320</v>
      </c>
      <c r="R179" s="15">
        <v>0</v>
      </c>
      <c r="S179" s="20">
        <v>0</v>
      </c>
      <c r="T179" s="16">
        <v>0</v>
      </c>
      <c r="U179" s="16">
        <v>0</v>
      </c>
      <c r="V179" s="20">
        <v>0</v>
      </c>
      <c r="W179" s="20">
        <v>0</v>
      </c>
      <c r="X179" s="20">
        <v>0</v>
      </c>
      <c r="Y179" s="20">
        <v>0</v>
      </c>
      <c r="Z179" s="20">
        <v>0</v>
      </c>
      <c r="AA179" s="20">
        <v>0</v>
      </c>
      <c r="AB179" s="20">
        <v>0</v>
      </c>
      <c r="AC179" s="20">
        <v>0</v>
      </c>
      <c r="AD179" s="15">
        <f t="shared" si="37"/>
        <v>0</v>
      </c>
      <c r="AE179" s="15">
        <v>0</v>
      </c>
      <c r="AF179" s="15">
        <v>0</v>
      </c>
      <c r="AG179" s="15">
        <v>0</v>
      </c>
      <c r="AH179" s="15">
        <v>120</v>
      </c>
      <c r="AI179" s="15">
        <v>0</v>
      </c>
      <c r="AJ179" s="15">
        <v>30</v>
      </c>
      <c r="AK179" s="15">
        <v>10</v>
      </c>
      <c r="AL179" s="15">
        <v>30</v>
      </c>
      <c r="AM179" s="15">
        <f t="shared" si="29"/>
        <v>190</v>
      </c>
      <c r="AN179" s="29">
        <f t="shared" si="28"/>
        <v>600</v>
      </c>
      <c r="AO179" s="19">
        <v>480</v>
      </c>
      <c r="AP179" s="21">
        <v>0</v>
      </c>
      <c r="AQ179" s="22">
        <v>1</v>
      </c>
      <c r="AR179" s="26">
        <f t="shared" si="30"/>
        <v>479</v>
      </c>
      <c r="AS179" s="37">
        <f t="shared" si="31"/>
        <v>1</v>
      </c>
      <c r="AT179" s="38">
        <f t="shared" si="36"/>
        <v>0.8</v>
      </c>
      <c r="AU179" s="38">
        <f t="shared" si="33"/>
        <v>0.99791666666666667</v>
      </c>
      <c r="AV179" s="27">
        <f t="shared" si="34"/>
        <v>0.79833333333333334</v>
      </c>
    </row>
    <row r="180" spans="1:48" s="1" customFormat="1" ht="21" customHeight="1" x14ac:dyDescent="0.25">
      <c r="A180" s="109">
        <v>46036</v>
      </c>
      <c r="B180" s="47" t="s">
        <v>49</v>
      </c>
      <c r="C180" s="89" t="s">
        <v>21</v>
      </c>
      <c r="D180" s="47" t="s">
        <v>122</v>
      </c>
      <c r="E180" s="48">
        <v>98992</v>
      </c>
      <c r="F180" s="48" t="s">
        <v>169</v>
      </c>
      <c r="G180" s="48" t="s">
        <v>125</v>
      </c>
      <c r="H180" s="30">
        <v>15676</v>
      </c>
      <c r="I180" s="30"/>
      <c r="J180" s="30">
        <v>32</v>
      </c>
      <c r="K180" s="28">
        <f t="shared" si="25"/>
        <v>112.5</v>
      </c>
      <c r="L180" s="31">
        <v>0.25</v>
      </c>
      <c r="M180" s="31">
        <v>0.60416666666666663</v>
      </c>
      <c r="N180" s="32">
        <f t="shared" si="35"/>
        <v>0.35416666666666663</v>
      </c>
      <c r="O180" s="36">
        <v>510</v>
      </c>
      <c r="P180" s="36">
        <f t="shared" si="26"/>
        <v>320</v>
      </c>
      <c r="Q180" s="36">
        <f t="shared" si="27"/>
        <v>320</v>
      </c>
      <c r="R180" s="15">
        <v>0</v>
      </c>
      <c r="S180" s="20">
        <v>0</v>
      </c>
      <c r="T180" s="16">
        <v>0</v>
      </c>
      <c r="U180" s="16">
        <v>0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15">
        <f t="shared" si="37"/>
        <v>0</v>
      </c>
      <c r="AE180" s="15">
        <v>0</v>
      </c>
      <c r="AF180" s="15">
        <v>0</v>
      </c>
      <c r="AG180" s="15">
        <v>0</v>
      </c>
      <c r="AH180" s="15">
        <v>120</v>
      </c>
      <c r="AI180" s="15">
        <v>0</v>
      </c>
      <c r="AJ180" s="15">
        <v>30</v>
      </c>
      <c r="AK180" s="15">
        <v>10</v>
      </c>
      <c r="AL180" s="15">
        <v>30</v>
      </c>
      <c r="AM180" s="15">
        <f t="shared" si="29"/>
        <v>190</v>
      </c>
      <c r="AN180" s="29">
        <f t="shared" si="28"/>
        <v>600</v>
      </c>
      <c r="AO180" s="19">
        <v>551</v>
      </c>
      <c r="AP180" s="21">
        <v>0</v>
      </c>
      <c r="AQ180" s="22">
        <v>1</v>
      </c>
      <c r="AR180" s="26">
        <f t="shared" si="30"/>
        <v>550</v>
      </c>
      <c r="AS180" s="37">
        <f t="shared" si="31"/>
        <v>1</v>
      </c>
      <c r="AT180" s="38">
        <f t="shared" si="36"/>
        <v>0.91833333333333333</v>
      </c>
      <c r="AU180" s="38">
        <f t="shared" si="33"/>
        <v>0.99818511796733211</v>
      </c>
      <c r="AV180" s="27">
        <f t="shared" si="34"/>
        <v>0.91666666666666663</v>
      </c>
    </row>
    <row r="181" spans="1:48" s="1" customFormat="1" ht="21" customHeight="1" x14ac:dyDescent="0.25">
      <c r="A181" s="109">
        <v>46036</v>
      </c>
      <c r="B181" s="47" t="s">
        <v>49</v>
      </c>
      <c r="C181" s="89" t="s">
        <v>21</v>
      </c>
      <c r="D181" s="47" t="s">
        <v>128</v>
      </c>
      <c r="E181" s="48">
        <v>98992</v>
      </c>
      <c r="F181" s="48" t="s">
        <v>53</v>
      </c>
      <c r="G181" s="48" t="s">
        <v>125</v>
      </c>
      <c r="H181" s="30">
        <v>15833</v>
      </c>
      <c r="I181" s="30"/>
      <c r="J181" s="30">
        <v>32</v>
      </c>
      <c r="K181" s="28">
        <f t="shared" si="25"/>
        <v>112.5</v>
      </c>
      <c r="L181" s="31">
        <v>0.25</v>
      </c>
      <c r="M181" s="31">
        <v>0.60416666666666663</v>
      </c>
      <c r="N181" s="32">
        <f t="shared" si="35"/>
        <v>0.35416666666666663</v>
      </c>
      <c r="O181" s="36">
        <v>510</v>
      </c>
      <c r="P181" s="36">
        <f t="shared" si="26"/>
        <v>320</v>
      </c>
      <c r="Q181" s="36">
        <f t="shared" si="27"/>
        <v>320</v>
      </c>
      <c r="R181" s="15">
        <v>0</v>
      </c>
      <c r="S181" s="20">
        <v>0</v>
      </c>
      <c r="T181" s="16">
        <v>0</v>
      </c>
      <c r="U181" s="16">
        <v>0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15">
        <f t="shared" si="37"/>
        <v>0</v>
      </c>
      <c r="AE181" s="15">
        <v>0</v>
      </c>
      <c r="AF181" s="15">
        <v>0</v>
      </c>
      <c r="AG181" s="15">
        <v>0</v>
      </c>
      <c r="AH181" s="15">
        <v>120</v>
      </c>
      <c r="AI181" s="15">
        <v>0</v>
      </c>
      <c r="AJ181" s="15">
        <v>30</v>
      </c>
      <c r="AK181" s="15">
        <v>10</v>
      </c>
      <c r="AL181" s="15">
        <v>30</v>
      </c>
      <c r="AM181" s="15">
        <f t="shared" si="29"/>
        <v>190</v>
      </c>
      <c r="AN181" s="29">
        <f t="shared" si="28"/>
        <v>600</v>
      </c>
      <c r="AO181" s="19">
        <v>453</v>
      </c>
      <c r="AP181" s="21">
        <v>0</v>
      </c>
      <c r="AQ181" s="22">
        <v>0</v>
      </c>
      <c r="AR181" s="26">
        <f t="shared" si="30"/>
        <v>453</v>
      </c>
      <c r="AS181" s="37">
        <f t="shared" si="31"/>
        <v>1</v>
      </c>
      <c r="AT181" s="38">
        <f t="shared" si="36"/>
        <v>0.755</v>
      </c>
      <c r="AU181" s="38">
        <f t="shared" si="33"/>
        <v>1</v>
      </c>
      <c r="AV181" s="27">
        <f t="shared" si="34"/>
        <v>0.755</v>
      </c>
    </row>
    <row r="182" spans="1:48" s="1" customFormat="1" ht="21" customHeight="1" x14ac:dyDescent="0.25">
      <c r="A182" s="109">
        <v>46036</v>
      </c>
      <c r="B182" s="47" t="s">
        <v>49</v>
      </c>
      <c r="C182" s="89" t="s">
        <v>21</v>
      </c>
      <c r="D182" s="47" t="s">
        <v>170</v>
      </c>
      <c r="E182" s="48">
        <v>98992</v>
      </c>
      <c r="F182" s="48" t="s">
        <v>176</v>
      </c>
      <c r="G182" s="48" t="s">
        <v>125</v>
      </c>
      <c r="H182" s="30">
        <v>15632</v>
      </c>
      <c r="I182" s="30"/>
      <c r="J182" s="30">
        <v>20</v>
      </c>
      <c r="K182" s="28">
        <f t="shared" si="25"/>
        <v>180</v>
      </c>
      <c r="L182" s="31">
        <v>0.25</v>
      </c>
      <c r="M182" s="31">
        <v>0.60416666666666663</v>
      </c>
      <c r="N182" s="32">
        <f t="shared" si="35"/>
        <v>0.35416666666666663</v>
      </c>
      <c r="O182" s="36">
        <v>510</v>
      </c>
      <c r="P182" s="36">
        <f t="shared" si="26"/>
        <v>140</v>
      </c>
      <c r="Q182" s="36">
        <f t="shared" si="27"/>
        <v>140</v>
      </c>
      <c r="R182" s="15">
        <v>0</v>
      </c>
      <c r="S182" s="20">
        <v>0</v>
      </c>
      <c r="T182" s="16">
        <v>0</v>
      </c>
      <c r="U182" s="16">
        <v>0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15">
        <f t="shared" si="37"/>
        <v>0</v>
      </c>
      <c r="AE182" s="15">
        <v>0</v>
      </c>
      <c r="AF182" s="15">
        <v>0</v>
      </c>
      <c r="AG182" s="15">
        <v>0</v>
      </c>
      <c r="AH182" s="15">
        <v>300</v>
      </c>
      <c r="AI182" s="15">
        <v>0</v>
      </c>
      <c r="AJ182" s="15">
        <v>30</v>
      </c>
      <c r="AK182" s="15">
        <v>10</v>
      </c>
      <c r="AL182" s="15">
        <v>30</v>
      </c>
      <c r="AM182" s="15">
        <f t="shared" si="29"/>
        <v>370</v>
      </c>
      <c r="AN182" s="29">
        <f t="shared" si="28"/>
        <v>420</v>
      </c>
      <c r="AO182" s="19">
        <v>392</v>
      </c>
      <c r="AP182" s="21">
        <v>0</v>
      </c>
      <c r="AQ182" s="22">
        <v>0</v>
      </c>
      <c r="AR182" s="26">
        <f t="shared" si="30"/>
        <v>392</v>
      </c>
      <c r="AS182" s="37">
        <f t="shared" si="31"/>
        <v>1</v>
      </c>
      <c r="AT182" s="38">
        <f t="shared" si="36"/>
        <v>0.93333333333333335</v>
      </c>
      <c r="AU182" s="38">
        <f t="shared" si="33"/>
        <v>1</v>
      </c>
      <c r="AV182" s="27">
        <f t="shared" si="34"/>
        <v>0.93333333333333335</v>
      </c>
    </row>
    <row r="183" spans="1:48" s="1" customFormat="1" ht="21" customHeight="1" x14ac:dyDescent="0.25">
      <c r="A183" s="109">
        <v>46037</v>
      </c>
      <c r="B183" s="47" t="s">
        <v>49</v>
      </c>
      <c r="C183" s="89" t="s">
        <v>21</v>
      </c>
      <c r="D183" s="47" t="s">
        <v>94</v>
      </c>
      <c r="E183" s="48">
        <v>98992</v>
      </c>
      <c r="F183" s="48" t="s">
        <v>67</v>
      </c>
      <c r="G183" s="48" t="s">
        <v>174</v>
      </c>
      <c r="H183" s="30">
        <v>15833</v>
      </c>
      <c r="I183" s="30"/>
      <c r="J183" s="30">
        <v>24</v>
      </c>
      <c r="K183" s="28">
        <f t="shared" si="25"/>
        <v>150</v>
      </c>
      <c r="L183" s="31">
        <v>0.25</v>
      </c>
      <c r="M183" s="31">
        <v>0.60416666666666663</v>
      </c>
      <c r="N183" s="32">
        <f t="shared" si="35"/>
        <v>0.35416666666666663</v>
      </c>
      <c r="O183" s="36">
        <v>510</v>
      </c>
      <c r="P183" s="36">
        <f t="shared" si="26"/>
        <v>240</v>
      </c>
      <c r="Q183" s="36">
        <f t="shared" si="27"/>
        <v>240</v>
      </c>
      <c r="R183" s="15">
        <v>0</v>
      </c>
      <c r="S183" s="20">
        <v>0</v>
      </c>
      <c r="T183" s="16">
        <v>0</v>
      </c>
      <c r="U183" s="16">
        <v>0</v>
      </c>
      <c r="V183" s="20">
        <v>0</v>
      </c>
      <c r="W183" s="20">
        <v>0</v>
      </c>
      <c r="X183" s="20">
        <v>0</v>
      </c>
      <c r="Y183" s="20">
        <v>0</v>
      </c>
      <c r="Z183" s="20">
        <v>0</v>
      </c>
      <c r="AA183" s="20">
        <v>0</v>
      </c>
      <c r="AB183" s="20">
        <v>0</v>
      </c>
      <c r="AC183" s="20">
        <v>0</v>
      </c>
      <c r="AD183" s="15">
        <f t="shared" si="37"/>
        <v>0</v>
      </c>
      <c r="AE183" s="15">
        <v>0</v>
      </c>
      <c r="AF183" s="15">
        <v>0</v>
      </c>
      <c r="AG183" s="15">
        <v>0</v>
      </c>
      <c r="AH183" s="15">
        <v>200</v>
      </c>
      <c r="AI183" s="15">
        <v>0</v>
      </c>
      <c r="AJ183" s="15">
        <v>30</v>
      </c>
      <c r="AK183" s="15">
        <v>10</v>
      </c>
      <c r="AL183" s="15">
        <v>30</v>
      </c>
      <c r="AM183" s="15">
        <f t="shared" si="29"/>
        <v>270</v>
      </c>
      <c r="AN183" s="29">
        <f t="shared" si="28"/>
        <v>600</v>
      </c>
      <c r="AO183" s="19">
        <v>370</v>
      </c>
      <c r="AP183" s="21">
        <v>0</v>
      </c>
      <c r="AQ183" s="22">
        <v>2</v>
      </c>
      <c r="AR183" s="26">
        <f t="shared" si="30"/>
        <v>368</v>
      </c>
      <c r="AS183" s="37">
        <f t="shared" si="31"/>
        <v>1</v>
      </c>
      <c r="AT183" s="38">
        <f t="shared" si="36"/>
        <v>0.6166666666666667</v>
      </c>
      <c r="AU183" s="38">
        <f t="shared" si="33"/>
        <v>0.99459459459459465</v>
      </c>
      <c r="AV183" s="27">
        <f t="shared" si="34"/>
        <v>0.6133333333333334</v>
      </c>
    </row>
    <row r="184" spans="1:48" s="1" customFormat="1" ht="21" customHeight="1" x14ac:dyDescent="0.25">
      <c r="A184" s="109">
        <v>46036</v>
      </c>
      <c r="B184" s="47" t="s">
        <v>49</v>
      </c>
      <c r="C184" s="89" t="s">
        <v>51</v>
      </c>
      <c r="D184" s="47" t="s">
        <v>88</v>
      </c>
      <c r="E184" s="48">
        <v>98992</v>
      </c>
      <c r="F184" s="48" t="s">
        <v>126</v>
      </c>
      <c r="G184" s="48" t="s">
        <v>87</v>
      </c>
      <c r="H184" s="30">
        <v>13106</v>
      </c>
      <c r="I184" s="30"/>
      <c r="J184" s="30">
        <v>32</v>
      </c>
      <c r="K184" s="28">
        <f t="shared" si="25"/>
        <v>112.5</v>
      </c>
      <c r="L184" s="31">
        <v>0.58333333333333337</v>
      </c>
      <c r="M184" s="31">
        <v>0.9375</v>
      </c>
      <c r="N184" s="32">
        <f t="shared" si="35"/>
        <v>0.35416666666666663</v>
      </c>
      <c r="O184" s="36">
        <v>510</v>
      </c>
      <c r="P184" s="36">
        <f t="shared" si="26"/>
        <v>320</v>
      </c>
      <c r="Q184" s="36">
        <f t="shared" si="27"/>
        <v>320</v>
      </c>
      <c r="R184" s="15">
        <v>0</v>
      </c>
      <c r="S184" s="20">
        <v>0</v>
      </c>
      <c r="T184" s="16">
        <v>0</v>
      </c>
      <c r="U184" s="16">
        <v>0</v>
      </c>
      <c r="V184" s="20">
        <v>0</v>
      </c>
      <c r="W184" s="20">
        <v>0</v>
      </c>
      <c r="X184" s="20">
        <v>0</v>
      </c>
      <c r="Y184" s="20">
        <v>0</v>
      </c>
      <c r="Z184" s="20">
        <v>0</v>
      </c>
      <c r="AA184" s="20">
        <v>0</v>
      </c>
      <c r="AB184" s="20">
        <v>0</v>
      </c>
      <c r="AC184" s="20">
        <v>0</v>
      </c>
      <c r="AD184" s="15">
        <f t="shared" si="37"/>
        <v>0</v>
      </c>
      <c r="AE184" s="15">
        <v>0</v>
      </c>
      <c r="AF184" s="15">
        <v>0</v>
      </c>
      <c r="AG184" s="15">
        <v>0</v>
      </c>
      <c r="AH184" s="15">
        <v>120</v>
      </c>
      <c r="AI184" s="15">
        <v>0</v>
      </c>
      <c r="AJ184" s="15">
        <v>30</v>
      </c>
      <c r="AK184" s="15">
        <v>10</v>
      </c>
      <c r="AL184" s="15">
        <v>30</v>
      </c>
      <c r="AM184" s="15">
        <f t="shared" si="29"/>
        <v>190</v>
      </c>
      <c r="AN184" s="29">
        <f t="shared" si="28"/>
        <v>600</v>
      </c>
      <c r="AO184" s="19">
        <v>423</v>
      </c>
      <c r="AP184" s="21">
        <v>0</v>
      </c>
      <c r="AQ184" s="22">
        <v>1</v>
      </c>
      <c r="AR184" s="26">
        <f t="shared" si="30"/>
        <v>422</v>
      </c>
      <c r="AS184" s="37">
        <f t="shared" si="31"/>
        <v>1</v>
      </c>
      <c r="AT184" s="38">
        <f t="shared" si="36"/>
        <v>0.70499999999999996</v>
      </c>
      <c r="AU184" s="38">
        <f t="shared" si="33"/>
        <v>0.99763593380614657</v>
      </c>
      <c r="AV184" s="27">
        <f t="shared" si="34"/>
        <v>0.70333333333333325</v>
      </c>
    </row>
    <row r="185" spans="1:48" s="1" customFormat="1" ht="21" customHeight="1" x14ac:dyDescent="0.25">
      <c r="A185" s="109">
        <v>46036</v>
      </c>
      <c r="B185" s="47" t="s">
        <v>49</v>
      </c>
      <c r="C185" s="89" t="s">
        <v>51</v>
      </c>
      <c r="D185" s="47" t="s">
        <v>89</v>
      </c>
      <c r="E185" s="48">
        <v>98992</v>
      </c>
      <c r="F185" s="48" t="s">
        <v>169</v>
      </c>
      <c r="G185" s="48" t="s">
        <v>87</v>
      </c>
      <c r="H185" s="30">
        <v>16219</v>
      </c>
      <c r="I185" s="30"/>
      <c r="J185" s="30">
        <v>32</v>
      </c>
      <c r="K185" s="28">
        <f t="shared" si="25"/>
        <v>112.5</v>
      </c>
      <c r="L185" s="31">
        <v>0.58333333333333337</v>
      </c>
      <c r="M185" s="31">
        <v>0.9375</v>
      </c>
      <c r="N185" s="32">
        <f t="shared" si="35"/>
        <v>0.35416666666666663</v>
      </c>
      <c r="O185" s="36">
        <v>510</v>
      </c>
      <c r="P185" s="36">
        <f t="shared" si="26"/>
        <v>440</v>
      </c>
      <c r="Q185" s="36">
        <f t="shared" si="27"/>
        <v>440</v>
      </c>
      <c r="R185" s="15">
        <v>0</v>
      </c>
      <c r="S185" s="20">
        <v>0</v>
      </c>
      <c r="T185" s="16">
        <v>0</v>
      </c>
      <c r="U185" s="16">
        <v>0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15">
        <f t="shared" si="37"/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  <c r="AJ185" s="15">
        <v>30</v>
      </c>
      <c r="AK185" s="15">
        <v>10</v>
      </c>
      <c r="AL185" s="15">
        <v>30</v>
      </c>
      <c r="AM185" s="15">
        <f t="shared" si="29"/>
        <v>70</v>
      </c>
      <c r="AN185" s="29">
        <f t="shared" si="28"/>
        <v>825</v>
      </c>
      <c r="AO185" s="19">
        <v>614</v>
      </c>
      <c r="AP185" s="21">
        <v>0</v>
      </c>
      <c r="AQ185" s="22">
        <v>0</v>
      </c>
      <c r="AR185" s="26">
        <f t="shared" si="30"/>
        <v>614</v>
      </c>
      <c r="AS185" s="37">
        <f t="shared" si="31"/>
        <v>1</v>
      </c>
      <c r="AT185" s="38">
        <f t="shared" si="36"/>
        <v>0.74424242424242426</v>
      </c>
      <c r="AU185" s="38">
        <f t="shared" si="33"/>
        <v>1</v>
      </c>
      <c r="AV185" s="27">
        <f t="shared" si="34"/>
        <v>0.74424242424242426</v>
      </c>
    </row>
    <row r="186" spans="1:48" s="1" customFormat="1" ht="21" customHeight="1" x14ac:dyDescent="0.25">
      <c r="A186" s="109">
        <v>46036</v>
      </c>
      <c r="B186" s="47" t="s">
        <v>49</v>
      </c>
      <c r="C186" s="89" t="s">
        <v>51</v>
      </c>
      <c r="D186" s="47" t="s">
        <v>52</v>
      </c>
      <c r="E186" s="48">
        <v>98992</v>
      </c>
      <c r="F186" s="48" t="s">
        <v>53</v>
      </c>
      <c r="G186" s="48" t="s">
        <v>87</v>
      </c>
      <c r="H186" s="30">
        <v>15731</v>
      </c>
      <c r="I186" s="30"/>
      <c r="J186" s="30">
        <v>32</v>
      </c>
      <c r="K186" s="28">
        <f t="shared" si="25"/>
        <v>112.5</v>
      </c>
      <c r="L186" s="31">
        <v>0.58333333333333337</v>
      </c>
      <c r="M186" s="31">
        <v>0.9375</v>
      </c>
      <c r="N186" s="32">
        <f t="shared" si="35"/>
        <v>0.35416666666666663</v>
      </c>
      <c r="O186" s="36">
        <v>510</v>
      </c>
      <c r="P186" s="36">
        <f t="shared" si="26"/>
        <v>440</v>
      </c>
      <c r="Q186" s="36">
        <f t="shared" si="27"/>
        <v>440</v>
      </c>
      <c r="R186" s="15">
        <v>0</v>
      </c>
      <c r="S186" s="20">
        <v>0</v>
      </c>
      <c r="T186" s="16">
        <v>0</v>
      </c>
      <c r="U186" s="16">
        <v>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15">
        <f t="shared" si="37"/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  <c r="AJ186" s="15">
        <v>30</v>
      </c>
      <c r="AK186" s="15">
        <v>10</v>
      </c>
      <c r="AL186" s="15">
        <v>30</v>
      </c>
      <c r="AM186" s="15">
        <f t="shared" si="29"/>
        <v>70</v>
      </c>
      <c r="AN186" s="29">
        <f t="shared" si="28"/>
        <v>825</v>
      </c>
      <c r="AO186" s="19">
        <v>672</v>
      </c>
      <c r="AP186" s="21">
        <v>0</v>
      </c>
      <c r="AQ186" s="22">
        <v>1</v>
      </c>
      <c r="AR186" s="26">
        <f t="shared" si="30"/>
        <v>671</v>
      </c>
      <c r="AS186" s="37">
        <f t="shared" si="31"/>
        <v>1</v>
      </c>
      <c r="AT186" s="38">
        <f t="shared" si="36"/>
        <v>0.81454545454545457</v>
      </c>
      <c r="AU186" s="38">
        <f t="shared" si="33"/>
        <v>0.99851190476190477</v>
      </c>
      <c r="AV186" s="27">
        <f t="shared" si="34"/>
        <v>0.81333333333333335</v>
      </c>
    </row>
    <row r="187" spans="1:48" s="1" customFormat="1" ht="21" customHeight="1" x14ac:dyDescent="0.25">
      <c r="A187" s="109">
        <v>46036</v>
      </c>
      <c r="B187" s="47" t="s">
        <v>49</v>
      </c>
      <c r="C187" s="89" t="s">
        <v>51</v>
      </c>
      <c r="D187" s="47" t="s">
        <v>86</v>
      </c>
      <c r="E187" s="48">
        <v>98992</v>
      </c>
      <c r="F187" s="48" t="s">
        <v>176</v>
      </c>
      <c r="G187" s="48" t="s">
        <v>87</v>
      </c>
      <c r="H187" s="30">
        <v>15688</v>
      </c>
      <c r="I187" s="30"/>
      <c r="J187" s="30">
        <v>20</v>
      </c>
      <c r="K187" s="28">
        <f t="shared" si="25"/>
        <v>180</v>
      </c>
      <c r="L187" s="31">
        <v>0.58333333333333337</v>
      </c>
      <c r="M187" s="31">
        <v>0.9375</v>
      </c>
      <c r="N187" s="32">
        <f t="shared" si="35"/>
        <v>0.35416666666666663</v>
      </c>
      <c r="O187" s="36">
        <v>510</v>
      </c>
      <c r="P187" s="36">
        <f t="shared" si="26"/>
        <v>440</v>
      </c>
      <c r="Q187" s="36">
        <f t="shared" si="27"/>
        <v>440</v>
      </c>
      <c r="R187" s="15">
        <v>0</v>
      </c>
      <c r="S187" s="20">
        <v>0</v>
      </c>
      <c r="T187" s="16">
        <v>0</v>
      </c>
      <c r="U187" s="16">
        <v>0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15">
        <f t="shared" si="37"/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  <c r="AJ187" s="15">
        <v>30</v>
      </c>
      <c r="AK187" s="15">
        <v>10</v>
      </c>
      <c r="AL187" s="15">
        <v>30</v>
      </c>
      <c r="AM187" s="15">
        <f t="shared" si="29"/>
        <v>70</v>
      </c>
      <c r="AN187" s="29">
        <f t="shared" si="28"/>
        <v>1320</v>
      </c>
      <c r="AO187" s="19">
        <v>712</v>
      </c>
      <c r="AP187" s="21">
        <v>0</v>
      </c>
      <c r="AQ187" s="22">
        <v>0</v>
      </c>
      <c r="AR187" s="26">
        <f t="shared" si="30"/>
        <v>712</v>
      </c>
      <c r="AS187" s="37">
        <f t="shared" si="31"/>
        <v>1</v>
      </c>
      <c r="AT187" s="38">
        <f t="shared" si="36"/>
        <v>0.53939393939393943</v>
      </c>
      <c r="AU187" s="38">
        <f t="shared" si="33"/>
        <v>1</v>
      </c>
      <c r="AV187" s="27">
        <f t="shared" si="34"/>
        <v>0.53939393939393943</v>
      </c>
    </row>
    <row r="188" spans="1:48" s="1" customFormat="1" ht="21" customHeight="1" x14ac:dyDescent="0.25">
      <c r="A188" s="109">
        <v>46036</v>
      </c>
      <c r="B188" s="47" t="s">
        <v>49</v>
      </c>
      <c r="C188" s="89" t="s">
        <v>51</v>
      </c>
      <c r="D188" s="47" t="s">
        <v>124</v>
      </c>
      <c r="E188" s="48">
        <v>98992</v>
      </c>
      <c r="F188" s="48" t="s">
        <v>215</v>
      </c>
      <c r="G188" s="48" t="s">
        <v>125</v>
      </c>
      <c r="H188" s="30">
        <v>13105</v>
      </c>
      <c r="I188" s="30"/>
      <c r="J188" s="30">
        <v>32</v>
      </c>
      <c r="K188" s="28">
        <f t="shared" si="25"/>
        <v>112.5</v>
      </c>
      <c r="L188" s="31">
        <v>0.58333333333333337</v>
      </c>
      <c r="M188" s="31">
        <v>0.9375</v>
      </c>
      <c r="N188" s="32">
        <f t="shared" si="35"/>
        <v>0.35416666666666663</v>
      </c>
      <c r="O188" s="36">
        <v>510</v>
      </c>
      <c r="P188" s="36">
        <f t="shared" si="26"/>
        <v>440</v>
      </c>
      <c r="Q188" s="36">
        <f t="shared" si="27"/>
        <v>440</v>
      </c>
      <c r="R188" s="15">
        <v>0</v>
      </c>
      <c r="S188" s="20">
        <v>0</v>
      </c>
      <c r="T188" s="16">
        <v>0</v>
      </c>
      <c r="U188" s="16">
        <v>0</v>
      </c>
      <c r="V188" s="20">
        <v>0</v>
      </c>
      <c r="W188" s="20">
        <v>0</v>
      </c>
      <c r="X188" s="20">
        <v>0</v>
      </c>
      <c r="Y188" s="20">
        <v>0</v>
      </c>
      <c r="Z188" s="20">
        <v>0</v>
      </c>
      <c r="AA188" s="20">
        <v>0</v>
      </c>
      <c r="AB188" s="20">
        <v>0</v>
      </c>
      <c r="AC188" s="20">
        <v>0</v>
      </c>
      <c r="AD188" s="15">
        <f t="shared" si="37"/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  <c r="AJ188" s="15">
        <v>30</v>
      </c>
      <c r="AK188" s="15">
        <v>10</v>
      </c>
      <c r="AL188" s="15">
        <v>30</v>
      </c>
      <c r="AM188" s="15">
        <f t="shared" si="29"/>
        <v>70</v>
      </c>
      <c r="AN188" s="29">
        <f t="shared" si="28"/>
        <v>825</v>
      </c>
      <c r="AO188" s="19">
        <v>679</v>
      </c>
      <c r="AP188" s="21">
        <v>0</v>
      </c>
      <c r="AQ188" s="22">
        <v>1</v>
      </c>
      <c r="AR188" s="26">
        <f t="shared" si="30"/>
        <v>678</v>
      </c>
      <c r="AS188" s="37">
        <f t="shared" si="31"/>
        <v>1</v>
      </c>
      <c r="AT188" s="38">
        <f t="shared" si="36"/>
        <v>0.823030303030303</v>
      </c>
      <c r="AU188" s="38">
        <f t="shared" si="33"/>
        <v>0.99852724594992637</v>
      </c>
      <c r="AV188" s="27">
        <f t="shared" si="34"/>
        <v>0.82181818181818178</v>
      </c>
    </row>
    <row r="189" spans="1:48" s="1" customFormat="1" ht="21" customHeight="1" x14ac:dyDescent="0.25">
      <c r="A189" s="109">
        <v>46036</v>
      </c>
      <c r="B189" s="47" t="s">
        <v>49</v>
      </c>
      <c r="C189" s="89" t="s">
        <v>51</v>
      </c>
      <c r="D189" s="47" t="s">
        <v>122</v>
      </c>
      <c r="E189" s="48">
        <v>98992</v>
      </c>
      <c r="F189" s="48" t="s">
        <v>169</v>
      </c>
      <c r="G189" s="48" t="s">
        <v>125</v>
      </c>
      <c r="H189" s="30">
        <v>15689</v>
      </c>
      <c r="I189" s="30"/>
      <c r="J189" s="30">
        <v>32</v>
      </c>
      <c r="K189" s="28">
        <f t="shared" si="25"/>
        <v>112.5</v>
      </c>
      <c r="L189" s="31">
        <v>0.58333333333333337</v>
      </c>
      <c r="M189" s="31">
        <v>0.9375</v>
      </c>
      <c r="N189" s="32">
        <f t="shared" si="35"/>
        <v>0.35416666666666663</v>
      </c>
      <c r="O189" s="36">
        <v>510</v>
      </c>
      <c r="P189" s="36">
        <f t="shared" si="26"/>
        <v>380</v>
      </c>
      <c r="Q189" s="36">
        <f t="shared" si="27"/>
        <v>380</v>
      </c>
      <c r="R189" s="15">
        <v>0</v>
      </c>
      <c r="S189" s="20">
        <v>0</v>
      </c>
      <c r="T189" s="16">
        <v>0</v>
      </c>
      <c r="U189" s="16">
        <v>0</v>
      </c>
      <c r="V189" s="20">
        <v>0</v>
      </c>
      <c r="W189" s="20">
        <v>0</v>
      </c>
      <c r="X189" s="20">
        <v>0</v>
      </c>
      <c r="Y189" s="20">
        <v>0</v>
      </c>
      <c r="Z189" s="20">
        <v>0</v>
      </c>
      <c r="AA189" s="20">
        <v>0</v>
      </c>
      <c r="AB189" s="20">
        <v>0</v>
      </c>
      <c r="AC189" s="20">
        <v>0</v>
      </c>
      <c r="AD189" s="15">
        <f t="shared" si="37"/>
        <v>0</v>
      </c>
      <c r="AE189" s="15">
        <v>0</v>
      </c>
      <c r="AF189" s="15">
        <v>0</v>
      </c>
      <c r="AG189" s="15">
        <v>0</v>
      </c>
      <c r="AH189" s="15">
        <v>60</v>
      </c>
      <c r="AI189" s="15">
        <v>0</v>
      </c>
      <c r="AJ189" s="15">
        <v>30</v>
      </c>
      <c r="AK189" s="15">
        <v>10</v>
      </c>
      <c r="AL189" s="15">
        <v>30</v>
      </c>
      <c r="AM189" s="15">
        <f t="shared" ref="AM189:AM197" si="38">SUM(AE189:AL189)</f>
        <v>130</v>
      </c>
      <c r="AN189" s="29">
        <f t="shared" si="28"/>
        <v>712.5</v>
      </c>
      <c r="AO189" s="19">
        <v>501</v>
      </c>
      <c r="AP189" s="21">
        <v>0</v>
      </c>
      <c r="AQ189" s="22">
        <v>0</v>
      </c>
      <c r="AR189" s="26">
        <f t="shared" si="30"/>
        <v>501</v>
      </c>
      <c r="AS189" s="37">
        <f t="shared" si="31"/>
        <v>1</v>
      </c>
      <c r="AT189" s="38">
        <f t="shared" si="36"/>
        <v>0.70315789473684209</v>
      </c>
      <c r="AU189" s="38">
        <f t="shared" si="33"/>
        <v>1</v>
      </c>
      <c r="AV189" s="27">
        <f t="shared" si="34"/>
        <v>0.70315789473684209</v>
      </c>
    </row>
    <row r="190" spans="1:48" s="1" customFormat="1" ht="21" customHeight="1" x14ac:dyDescent="0.25">
      <c r="A190" s="109">
        <v>46036</v>
      </c>
      <c r="B190" s="47" t="s">
        <v>49</v>
      </c>
      <c r="C190" s="89" t="s">
        <v>51</v>
      </c>
      <c r="D190" s="47" t="s">
        <v>128</v>
      </c>
      <c r="E190" s="48">
        <v>98992</v>
      </c>
      <c r="F190" s="48" t="s">
        <v>53</v>
      </c>
      <c r="G190" s="48" t="s">
        <v>125</v>
      </c>
      <c r="H190" s="30">
        <v>15710</v>
      </c>
      <c r="I190" s="30"/>
      <c r="J190" s="30">
        <v>32</v>
      </c>
      <c r="K190" s="28">
        <f t="shared" si="25"/>
        <v>112.5</v>
      </c>
      <c r="L190" s="31">
        <v>0.58333333333333337</v>
      </c>
      <c r="M190" s="31">
        <v>0.9375</v>
      </c>
      <c r="N190" s="32">
        <f t="shared" si="35"/>
        <v>0.35416666666666663</v>
      </c>
      <c r="O190" s="36">
        <v>510</v>
      </c>
      <c r="P190" s="36">
        <f t="shared" si="26"/>
        <v>260</v>
      </c>
      <c r="Q190" s="36">
        <f t="shared" si="27"/>
        <v>260</v>
      </c>
      <c r="R190" s="15">
        <v>0</v>
      </c>
      <c r="S190" s="20">
        <v>0</v>
      </c>
      <c r="T190" s="16">
        <v>0</v>
      </c>
      <c r="U190" s="16">
        <v>0</v>
      </c>
      <c r="V190" s="20">
        <v>0</v>
      </c>
      <c r="W190" s="20">
        <v>0</v>
      </c>
      <c r="X190" s="20">
        <v>0</v>
      </c>
      <c r="Y190" s="20">
        <v>0</v>
      </c>
      <c r="Z190" s="20">
        <v>0</v>
      </c>
      <c r="AA190" s="20">
        <v>0</v>
      </c>
      <c r="AB190" s="20">
        <v>0</v>
      </c>
      <c r="AC190" s="20">
        <v>0</v>
      </c>
      <c r="AD190" s="15">
        <f t="shared" si="37"/>
        <v>0</v>
      </c>
      <c r="AE190" s="15">
        <v>0</v>
      </c>
      <c r="AF190" s="15">
        <v>0</v>
      </c>
      <c r="AG190" s="15">
        <v>0</v>
      </c>
      <c r="AH190" s="15">
        <v>180</v>
      </c>
      <c r="AI190" s="15">
        <v>0</v>
      </c>
      <c r="AJ190" s="15">
        <v>30</v>
      </c>
      <c r="AK190" s="15">
        <v>10</v>
      </c>
      <c r="AL190" s="15">
        <v>30</v>
      </c>
      <c r="AM190" s="15">
        <f t="shared" si="38"/>
        <v>250</v>
      </c>
      <c r="AN190" s="29">
        <f t="shared" si="28"/>
        <v>487.5</v>
      </c>
      <c r="AO190" s="19">
        <v>280</v>
      </c>
      <c r="AP190" s="21">
        <v>0</v>
      </c>
      <c r="AQ190" s="22">
        <v>1</v>
      </c>
      <c r="AR190" s="26">
        <f t="shared" si="30"/>
        <v>279</v>
      </c>
      <c r="AS190" s="37">
        <f t="shared" si="31"/>
        <v>1</v>
      </c>
      <c r="AT190" s="38">
        <f t="shared" si="36"/>
        <v>0.57435897435897432</v>
      </c>
      <c r="AU190" s="38">
        <f t="shared" si="33"/>
        <v>0.99642857142857144</v>
      </c>
      <c r="AV190" s="27">
        <f t="shared" si="34"/>
        <v>0.5723076923076923</v>
      </c>
    </row>
    <row r="191" spans="1:48" s="1" customFormat="1" ht="21" customHeight="1" x14ac:dyDescent="0.25">
      <c r="A191" s="109">
        <v>46036</v>
      </c>
      <c r="B191" s="47" t="s">
        <v>49</v>
      </c>
      <c r="C191" s="89" t="s">
        <v>51</v>
      </c>
      <c r="D191" s="47" t="s">
        <v>170</v>
      </c>
      <c r="E191" s="48">
        <v>98992</v>
      </c>
      <c r="F191" s="48" t="s">
        <v>176</v>
      </c>
      <c r="G191" s="48" t="s">
        <v>125</v>
      </c>
      <c r="H191" s="30">
        <v>15859</v>
      </c>
      <c r="I191" s="30"/>
      <c r="J191" s="30">
        <v>20</v>
      </c>
      <c r="K191" s="28">
        <f t="shared" si="25"/>
        <v>180</v>
      </c>
      <c r="L191" s="31">
        <v>0.58333333333333337</v>
      </c>
      <c r="M191" s="31">
        <v>0.9375</v>
      </c>
      <c r="N191" s="32">
        <f t="shared" si="35"/>
        <v>0.35416666666666663</v>
      </c>
      <c r="O191" s="36">
        <v>510</v>
      </c>
      <c r="P191" s="36">
        <f t="shared" si="26"/>
        <v>140</v>
      </c>
      <c r="Q191" s="36">
        <f t="shared" si="27"/>
        <v>140</v>
      </c>
      <c r="R191" s="15">
        <v>0</v>
      </c>
      <c r="S191" s="20">
        <v>0</v>
      </c>
      <c r="T191" s="16">
        <v>0</v>
      </c>
      <c r="U191" s="16">
        <v>0</v>
      </c>
      <c r="V191" s="20">
        <v>0</v>
      </c>
      <c r="W191" s="20">
        <v>0</v>
      </c>
      <c r="X191" s="20">
        <v>0</v>
      </c>
      <c r="Y191" s="20">
        <v>0</v>
      </c>
      <c r="Z191" s="20">
        <v>0</v>
      </c>
      <c r="AA191" s="20">
        <v>0</v>
      </c>
      <c r="AB191" s="20">
        <v>0</v>
      </c>
      <c r="AC191" s="20">
        <v>0</v>
      </c>
      <c r="AD191" s="15">
        <f t="shared" si="37"/>
        <v>0</v>
      </c>
      <c r="AE191" s="15">
        <v>0</v>
      </c>
      <c r="AF191" s="15">
        <v>0</v>
      </c>
      <c r="AG191" s="15">
        <v>0</v>
      </c>
      <c r="AH191" s="15">
        <v>300</v>
      </c>
      <c r="AI191" s="15">
        <v>0</v>
      </c>
      <c r="AJ191" s="15">
        <v>30</v>
      </c>
      <c r="AK191" s="15">
        <v>10</v>
      </c>
      <c r="AL191" s="15">
        <v>30</v>
      </c>
      <c r="AM191" s="15">
        <f t="shared" si="38"/>
        <v>370</v>
      </c>
      <c r="AN191" s="29">
        <f t="shared" si="28"/>
        <v>420</v>
      </c>
      <c r="AO191" s="19">
        <v>300</v>
      </c>
      <c r="AP191" s="21">
        <v>0</v>
      </c>
      <c r="AQ191" s="22">
        <v>1</v>
      </c>
      <c r="AR191" s="26">
        <f t="shared" si="30"/>
        <v>299</v>
      </c>
      <c r="AS191" s="37">
        <f t="shared" si="31"/>
        <v>1</v>
      </c>
      <c r="AT191" s="38">
        <f t="shared" si="36"/>
        <v>0.7142857142857143</v>
      </c>
      <c r="AU191" s="38">
        <f t="shared" si="33"/>
        <v>0.9966666666666667</v>
      </c>
      <c r="AV191" s="27">
        <f t="shared" si="34"/>
        <v>0.71190476190476193</v>
      </c>
    </row>
    <row r="192" spans="1:48" s="1" customFormat="1" ht="21" customHeight="1" x14ac:dyDescent="0.25">
      <c r="A192" s="109">
        <v>46036</v>
      </c>
      <c r="B192" s="47" t="s">
        <v>49</v>
      </c>
      <c r="C192" s="89" t="s">
        <v>51</v>
      </c>
      <c r="D192" s="47" t="s">
        <v>94</v>
      </c>
      <c r="E192" s="48">
        <v>98992</v>
      </c>
      <c r="F192" s="48" t="s">
        <v>67</v>
      </c>
      <c r="G192" s="48" t="s">
        <v>174</v>
      </c>
      <c r="H192" s="30">
        <v>15833</v>
      </c>
      <c r="I192" s="30"/>
      <c r="J192" s="30">
        <v>24</v>
      </c>
      <c r="K192" s="28">
        <f t="shared" si="25"/>
        <v>150</v>
      </c>
      <c r="L192" s="31">
        <v>0.58333333333333337</v>
      </c>
      <c r="M192" s="31">
        <v>0.9375</v>
      </c>
      <c r="N192" s="32">
        <f t="shared" si="35"/>
        <v>0.35416666666666663</v>
      </c>
      <c r="O192" s="36">
        <v>510</v>
      </c>
      <c r="P192" s="36">
        <f t="shared" si="26"/>
        <v>440</v>
      </c>
      <c r="Q192" s="36">
        <f t="shared" si="27"/>
        <v>440</v>
      </c>
      <c r="R192" s="15">
        <v>0</v>
      </c>
      <c r="S192" s="20">
        <v>0</v>
      </c>
      <c r="T192" s="16">
        <v>0</v>
      </c>
      <c r="U192" s="16">
        <v>0</v>
      </c>
      <c r="V192" s="20">
        <v>0</v>
      </c>
      <c r="W192" s="20">
        <v>0</v>
      </c>
      <c r="X192" s="20">
        <v>0</v>
      </c>
      <c r="Y192" s="20">
        <v>0</v>
      </c>
      <c r="Z192" s="20">
        <v>0</v>
      </c>
      <c r="AA192" s="20">
        <v>0</v>
      </c>
      <c r="AB192" s="20">
        <v>0</v>
      </c>
      <c r="AC192" s="20">
        <v>0</v>
      </c>
      <c r="AD192" s="15">
        <f t="shared" si="37"/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  <c r="AJ192" s="15">
        <v>30</v>
      </c>
      <c r="AK192" s="15">
        <v>10</v>
      </c>
      <c r="AL192" s="15">
        <v>30</v>
      </c>
      <c r="AM192" s="15">
        <f t="shared" si="38"/>
        <v>70</v>
      </c>
      <c r="AN192" s="29">
        <f t="shared" si="28"/>
        <v>1100</v>
      </c>
      <c r="AO192" s="19">
        <v>1016</v>
      </c>
      <c r="AP192" s="21">
        <v>0</v>
      </c>
      <c r="AQ192" s="22">
        <v>16</v>
      </c>
      <c r="AR192" s="26">
        <f t="shared" si="30"/>
        <v>1000</v>
      </c>
      <c r="AS192" s="37">
        <f t="shared" si="31"/>
        <v>1</v>
      </c>
      <c r="AT192" s="38">
        <f t="shared" si="36"/>
        <v>0.92363636363636359</v>
      </c>
      <c r="AU192" s="38">
        <f t="shared" si="33"/>
        <v>0.98425196850393704</v>
      </c>
      <c r="AV192" s="27">
        <f t="shared" si="34"/>
        <v>0.90909090909090906</v>
      </c>
    </row>
    <row r="193" spans="1:48" s="1" customFormat="1" ht="23.1" customHeight="1" x14ac:dyDescent="0.25">
      <c r="A193" s="109">
        <v>46037</v>
      </c>
      <c r="B193" s="47" t="s">
        <v>49</v>
      </c>
      <c r="C193" s="89" t="s">
        <v>51</v>
      </c>
      <c r="D193" s="47" t="s">
        <v>94</v>
      </c>
      <c r="E193" s="48">
        <v>98992</v>
      </c>
      <c r="F193" s="48" t="s">
        <v>67</v>
      </c>
      <c r="G193" s="48" t="s">
        <v>174</v>
      </c>
      <c r="H193" s="30">
        <v>14957</v>
      </c>
      <c r="I193" s="30"/>
      <c r="J193" s="30">
        <v>24</v>
      </c>
      <c r="K193" s="28">
        <f t="shared" si="25"/>
        <v>150</v>
      </c>
      <c r="L193" s="31">
        <v>0.58333333333333337</v>
      </c>
      <c r="M193" s="31">
        <v>0.9375</v>
      </c>
      <c r="N193" s="32">
        <f t="shared" si="35"/>
        <v>0.35416666666666663</v>
      </c>
      <c r="O193" s="36">
        <v>510</v>
      </c>
      <c r="P193" s="36">
        <f t="shared" si="26"/>
        <v>440</v>
      </c>
      <c r="Q193" s="36">
        <f t="shared" si="27"/>
        <v>440</v>
      </c>
      <c r="R193" s="15">
        <v>0</v>
      </c>
      <c r="S193" s="20">
        <v>0</v>
      </c>
      <c r="T193" s="16">
        <v>0</v>
      </c>
      <c r="U193" s="16">
        <v>0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15">
        <f t="shared" si="37"/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  <c r="AJ193" s="15">
        <v>30</v>
      </c>
      <c r="AK193" s="15">
        <v>10</v>
      </c>
      <c r="AL193" s="15">
        <v>30</v>
      </c>
      <c r="AM193" s="15">
        <f t="shared" si="38"/>
        <v>70</v>
      </c>
      <c r="AN193" s="29">
        <f t="shared" si="28"/>
        <v>1100</v>
      </c>
      <c r="AO193" s="19">
        <v>1016</v>
      </c>
      <c r="AP193" s="21">
        <v>0</v>
      </c>
      <c r="AQ193" s="22">
        <v>15</v>
      </c>
      <c r="AR193" s="26">
        <f t="shared" si="30"/>
        <v>1001</v>
      </c>
      <c r="AS193" s="37">
        <f t="shared" si="31"/>
        <v>1</v>
      </c>
      <c r="AT193" s="38">
        <f t="shared" si="36"/>
        <v>0.92363636363636359</v>
      </c>
      <c r="AU193" s="38">
        <f t="shared" si="33"/>
        <v>0.98523622047244097</v>
      </c>
      <c r="AV193" s="27">
        <f t="shared" si="34"/>
        <v>0.91</v>
      </c>
    </row>
    <row r="194" spans="1:48" s="1" customFormat="1" ht="23.1" customHeight="1" x14ac:dyDescent="0.25">
      <c r="A194" s="109">
        <v>46037</v>
      </c>
      <c r="B194" s="47" t="s">
        <v>49</v>
      </c>
      <c r="C194" s="89" t="s">
        <v>51</v>
      </c>
      <c r="D194" s="47" t="s">
        <v>88</v>
      </c>
      <c r="E194" s="48">
        <v>98992</v>
      </c>
      <c r="F194" s="48" t="s">
        <v>126</v>
      </c>
      <c r="G194" s="48" t="s">
        <v>87</v>
      </c>
      <c r="H194" s="30">
        <v>13106</v>
      </c>
      <c r="I194" s="30"/>
      <c r="J194" s="30">
        <v>32</v>
      </c>
      <c r="K194" s="28">
        <f t="shared" si="25"/>
        <v>112.5</v>
      </c>
      <c r="L194" s="31">
        <v>0.58333333333333337</v>
      </c>
      <c r="M194" s="31">
        <v>0.9375</v>
      </c>
      <c r="N194" s="32">
        <f t="shared" si="35"/>
        <v>0.35416666666666663</v>
      </c>
      <c r="O194" s="36">
        <v>510</v>
      </c>
      <c r="P194" s="36">
        <f t="shared" si="26"/>
        <v>320</v>
      </c>
      <c r="Q194" s="36">
        <f t="shared" si="27"/>
        <v>320</v>
      </c>
      <c r="R194" s="15">
        <v>0</v>
      </c>
      <c r="S194" s="20">
        <v>0</v>
      </c>
      <c r="T194" s="16">
        <v>0</v>
      </c>
      <c r="U194" s="16">
        <v>0</v>
      </c>
      <c r="V194" s="20">
        <v>0</v>
      </c>
      <c r="W194" s="20">
        <v>0</v>
      </c>
      <c r="X194" s="20">
        <v>0</v>
      </c>
      <c r="Y194" s="20">
        <v>0</v>
      </c>
      <c r="Z194" s="20">
        <v>0</v>
      </c>
      <c r="AA194" s="20">
        <v>0</v>
      </c>
      <c r="AB194" s="20">
        <v>0</v>
      </c>
      <c r="AC194" s="20">
        <v>0</v>
      </c>
      <c r="AD194" s="15">
        <f t="shared" si="37"/>
        <v>0</v>
      </c>
      <c r="AE194" s="15">
        <v>0</v>
      </c>
      <c r="AF194" s="15">
        <v>0</v>
      </c>
      <c r="AG194" s="15">
        <v>0</v>
      </c>
      <c r="AH194" s="15">
        <v>120</v>
      </c>
      <c r="AI194" s="15">
        <v>0</v>
      </c>
      <c r="AJ194" s="15">
        <v>30</v>
      </c>
      <c r="AK194" s="15">
        <v>10</v>
      </c>
      <c r="AL194" s="15">
        <v>30</v>
      </c>
      <c r="AM194" s="15">
        <f t="shared" si="38"/>
        <v>190</v>
      </c>
      <c r="AN194" s="29">
        <f t="shared" si="28"/>
        <v>600</v>
      </c>
      <c r="AO194" s="19">
        <v>423</v>
      </c>
      <c r="AP194" s="21">
        <v>0</v>
      </c>
      <c r="AQ194" s="22">
        <v>1</v>
      </c>
      <c r="AR194" s="26">
        <f t="shared" si="30"/>
        <v>422</v>
      </c>
      <c r="AS194" s="37">
        <f t="shared" si="31"/>
        <v>1</v>
      </c>
      <c r="AT194" s="38">
        <f t="shared" si="36"/>
        <v>0.70499999999999996</v>
      </c>
      <c r="AU194" s="38">
        <f t="shared" si="33"/>
        <v>0.99763593380614657</v>
      </c>
      <c r="AV194" s="27">
        <f t="shared" si="34"/>
        <v>0.70333333333333325</v>
      </c>
    </row>
    <row r="195" spans="1:48" s="1" customFormat="1" ht="23.1" customHeight="1" x14ac:dyDescent="0.25">
      <c r="A195" s="109">
        <v>46037</v>
      </c>
      <c r="B195" s="47" t="s">
        <v>49</v>
      </c>
      <c r="C195" s="89" t="s">
        <v>51</v>
      </c>
      <c r="D195" s="47" t="s">
        <v>89</v>
      </c>
      <c r="E195" s="48">
        <v>98992</v>
      </c>
      <c r="F195" s="48" t="s">
        <v>169</v>
      </c>
      <c r="G195" s="48" t="s">
        <v>87</v>
      </c>
      <c r="H195" s="30">
        <v>16219</v>
      </c>
      <c r="I195" s="30"/>
      <c r="J195" s="30">
        <v>32</v>
      </c>
      <c r="K195" s="28">
        <f t="shared" si="25"/>
        <v>112.5</v>
      </c>
      <c r="L195" s="31">
        <v>0.58333333333333337</v>
      </c>
      <c r="M195" s="31">
        <v>0.9375</v>
      </c>
      <c r="N195" s="32">
        <f t="shared" si="35"/>
        <v>0.35416666666666663</v>
      </c>
      <c r="O195" s="36">
        <v>510</v>
      </c>
      <c r="P195" s="36">
        <f t="shared" si="26"/>
        <v>440</v>
      </c>
      <c r="Q195" s="36">
        <f t="shared" si="27"/>
        <v>440</v>
      </c>
      <c r="R195" s="15">
        <v>0</v>
      </c>
      <c r="S195" s="20">
        <v>0</v>
      </c>
      <c r="T195" s="16">
        <v>0</v>
      </c>
      <c r="U195" s="16">
        <v>0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D195" s="15">
        <f t="shared" si="37"/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  <c r="AJ195" s="15">
        <v>30</v>
      </c>
      <c r="AK195" s="15">
        <v>10</v>
      </c>
      <c r="AL195" s="15">
        <v>30</v>
      </c>
      <c r="AM195" s="15">
        <f t="shared" si="38"/>
        <v>70</v>
      </c>
      <c r="AN195" s="29">
        <f t="shared" si="28"/>
        <v>825</v>
      </c>
      <c r="AO195" s="19">
        <v>614</v>
      </c>
      <c r="AP195" s="21">
        <v>0</v>
      </c>
      <c r="AQ195" s="22">
        <v>1</v>
      </c>
      <c r="AR195" s="26">
        <f t="shared" si="30"/>
        <v>613</v>
      </c>
      <c r="AS195" s="37">
        <f t="shared" si="31"/>
        <v>1</v>
      </c>
      <c r="AT195" s="38">
        <f t="shared" si="36"/>
        <v>0.74424242424242426</v>
      </c>
      <c r="AU195" s="38">
        <f t="shared" si="33"/>
        <v>0.99837133550488599</v>
      </c>
      <c r="AV195" s="27">
        <f t="shared" si="34"/>
        <v>0.74303030303030304</v>
      </c>
    </row>
    <row r="196" spans="1:48" s="1" customFormat="1" ht="23.1" customHeight="1" x14ac:dyDescent="0.25">
      <c r="A196" s="109">
        <v>46037</v>
      </c>
      <c r="B196" s="47" t="s">
        <v>49</v>
      </c>
      <c r="C196" s="89" t="s">
        <v>51</v>
      </c>
      <c r="D196" s="47" t="s">
        <v>52</v>
      </c>
      <c r="E196" s="48">
        <v>98992</v>
      </c>
      <c r="F196" s="48" t="s">
        <v>53</v>
      </c>
      <c r="G196" s="48" t="s">
        <v>87</v>
      </c>
      <c r="H196" s="30">
        <v>15721</v>
      </c>
      <c r="I196" s="30"/>
      <c r="J196" s="30">
        <v>32</v>
      </c>
      <c r="K196" s="28">
        <f t="shared" si="25"/>
        <v>112.5</v>
      </c>
      <c r="L196" s="31">
        <v>0.58333333333333337</v>
      </c>
      <c r="M196" s="31">
        <v>0.9375</v>
      </c>
      <c r="N196" s="32">
        <f t="shared" si="35"/>
        <v>0.35416666666666663</v>
      </c>
      <c r="O196" s="36">
        <v>510</v>
      </c>
      <c r="P196" s="36">
        <f t="shared" si="26"/>
        <v>440</v>
      </c>
      <c r="Q196" s="36">
        <f t="shared" si="27"/>
        <v>440</v>
      </c>
      <c r="R196" s="15">
        <v>0</v>
      </c>
      <c r="S196" s="20">
        <v>0</v>
      </c>
      <c r="T196" s="16">
        <v>0</v>
      </c>
      <c r="U196" s="16">
        <v>0</v>
      </c>
      <c r="V196" s="20">
        <v>0</v>
      </c>
      <c r="W196" s="20">
        <v>0</v>
      </c>
      <c r="X196" s="20">
        <v>0</v>
      </c>
      <c r="Y196" s="20">
        <v>0</v>
      </c>
      <c r="Z196" s="20">
        <v>0</v>
      </c>
      <c r="AA196" s="20">
        <v>0</v>
      </c>
      <c r="AB196" s="20">
        <v>0</v>
      </c>
      <c r="AC196" s="20">
        <v>0</v>
      </c>
      <c r="AD196" s="15">
        <f t="shared" si="37"/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  <c r="AJ196" s="15">
        <v>30</v>
      </c>
      <c r="AK196" s="15">
        <v>10</v>
      </c>
      <c r="AL196" s="15">
        <v>30</v>
      </c>
      <c r="AM196" s="15">
        <f t="shared" si="38"/>
        <v>70</v>
      </c>
      <c r="AN196" s="29">
        <f t="shared" si="28"/>
        <v>825</v>
      </c>
      <c r="AO196" s="19">
        <v>672</v>
      </c>
      <c r="AP196" s="21">
        <v>0</v>
      </c>
      <c r="AQ196" s="22">
        <v>2</v>
      </c>
      <c r="AR196" s="26">
        <f t="shared" si="30"/>
        <v>670</v>
      </c>
      <c r="AS196" s="37">
        <f t="shared" si="31"/>
        <v>1</v>
      </c>
      <c r="AT196" s="38">
        <f t="shared" si="36"/>
        <v>0.81454545454545457</v>
      </c>
      <c r="AU196" s="38">
        <f t="shared" si="33"/>
        <v>0.99702380952380953</v>
      </c>
      <c r="AV196" s="27">
        <f t="shared" si="34"/>
        <v>0.81212121212121213</v>
      </c>
    </row>
    <row r="197" spans="1:48" s="1" customFormat="1" ht="23.1" customHeight="1" x14ac:dyDescent="0.25">
      <c r="A197" s="109">
        <v>46037</v>
      </c>
      <c r="B197" s="47" t="s">
        <v>49</v>
      </c>
      <c r="C197" s="89" t="s">
        <v>51</v>
      </c>
      <c r="D197" s="47" t="s">
        <v>86</v>
      </c>
      <c r="E197" s="48">
        <v>98992</v>
      </c>
      <c r="F197" s="48" t="s">
        <v>176</v>
      </c>
      <c r="G197" s="48" t="s">
        <v>87</v>
      </c>
      <c r="H197" s="30">
        <v>15589</v>
      </c>
      <c r="I197" s="30"/>
      <c r="J197" s="30">
        <v>20</v>
      </c>
      <c r="K197" s="28">
        <f t="shared" si="25"/>
        <v>180</v>
      </c>
      <c r="L197" s="31">
        <v>0.58333333333333337</v>
      </c>
      <c r="M197" s="31">
        <v>0.9375</v>
      </c>
      <c r="N197" s="32">
        <f t="shared" si="35"/>
        <v>0.35416666666666663</v>
      </c>
      <c r="O197" s="36">
        <v>510</v>
      </c>
      <c r="P197" s="36">
        <f t="shared" si="26"/>
        <v>320</v>
      </c>
      <c r="Q197" s="36">
        <f t="shared" si="27"/>
        <v>320</v>
      </c>
      <c r="R197" s="15">
        <v>0</v>
      </c>
      <c r="S197" s="20">
        <v>0</v>
      </c>
      <c r="T197" s="16">
        <v>0</v>
      </c>
      <c r="U197" s="16">
        <v>0</v>
      </c>
      <c r="V197" s="20">
        <v>0</v>
      </c>
      <c r="W197" s="20">
        <v>0</v>
      </c>
      <c r="X197" s="20">
        <v>0</v>
      </c>
      <c r="Y197" s="20">
        <v>0</v>
      </c>
      <c r="Z197" s="20">
        <v>0</v>
      </c>
      <c r="AA197" s="20">
        <v>0</v>
      </c>
      <c r="AB197" s="20">
        <v>0</v>
      </c>
      <c r="AC197" s="20">
        <v>0</v>
      </c>
      <c r="AD197" s="15">
        <f t="shared" si="37"/>
        <v>0</v>
      </c>
      <c r="AE197" s="15">
        <v>0</v>
      </c>
      <c r="AF197" s="15">
        <v>0</v>
      </c>
      <c r="AG197" s="15">
        <v>0</v>
      </c>
      <c r="AH197" s="15">
        <v>120</v>
      </c>
      <c r="AI197" s="15">
        <v>0</v>
      </c>
      <c r="AJ197" s="15">
        <v>30</v>
      </c>
      <c r="AK197" s="15">
        <v>10</v>
      </c>
      <c r="AL197" s="15">
        <v>30</v>
      </c>
      <c r="AM197" s="15">
        <f t="shared" si="38"/>
        <v>190</v>
      </c>
      <c r="AN197" s="29">
        <f t="shared" si="28"/>
        <v>960</v>
      </c>
      <c r="AO197" s="19">
        <v>712</v>
      </c>
      <c r="AP197" s="21">
        <v>0</v>
      </c>
      <c r="AQ197" s="22">
        <v>0</v>
      </c>
      <c r="AR197" s="26">
        <f t="shared" si="30"/>
        <v>712</v>
      </c>
      <c r="AS197" s="37">
        <f t="shared" si="31"/>
        <v>1</v>
      </c>
      <c r="AT197" s="38">
        <f t="shared" si="36"/>
        <v>0.7416666666666667</v>
      </c>
      <c r="AU197" s="38">
        <f t="shared" si="33"/>
        <v>1</v>
      </c>
      <c r="AV197" s="27">
        <f t="shared" si="34"/>
        <v>0.7416666666666667</v>
      </c>
    </row>
    <row r="198" spans="1:48" s="1" customFormat="1" ht="23.1" customHeight="1" x14ac:dyDescent="0.25">
      <c r="A198" s="109">
        <v>46037</v>
      </c>
      <c r="B198" s="47" t="s">
        <v>49</v>
      </c>
      <c r="C198" s="89" t="s">
        <v>51</v>
      </c>
      <c r="D198" s="47" t="s">
        <v>172</v>
      </c>
      <c r="E198" s="48">
        <v>98992</v>
      </c>
      <c r="F198" s="48" t="s">
        <v>175</v>
      </c>
      <c r="G198" s="48" t="s">
        <v>87</v>
      </c>
      <c r="H198" s="30">
        <v>15710</v>
      </c>
      <c r="I198" s="30"/>
      <c r="J198" s="30">
        <v>20</v>
      </c>
      <c r="K198" s="28">
        <f t="shared" si="25"/>
        <v>180</v>
      </c>
      <c r="L198" s="31">
        <v>0.58333333333333337</v>
      </c>
      <c r="M198" s="31">
        <v>0.9375</v>
      </c>
      <c r="N198" s="32">
        <f t="shared" si="35"/>
        <v>0.35416666666666663</v>
      </c>
      <c r="O198" s="36">
        <v>510</v>
      </c>
      <c r="P198" s="36">
        <f t="shared" si="26"/>
        <v>220</v>
      </c>
      <c r="Q198" s="36">
        <f t="shared" si="27"/>
        <v>220</v>
      </c>
      <c r="R198" s="15">
        <v>0</v>
      </c>
      <c r="S198" s="20">
        <v>0</v>
      </c>
      <c r="T198" s="16">
        <v>0</v>
      </c>
      <c r="U198" s="16">
        <v>0</v>
      </c>
      <c r="V198" s="20">
        <v>0</v>
      </c>
      <c r="W198" s="20">
        <v>0</v>
      </c>
      <c r="X198" s="20">
        <v>0</v>
      </c>
      <c r="Y198" s="20">
        <v>0</v>
      </c>
      <c r="Z198" s="20">
        <v>0</v>
      </c>
      <c r="AA198" s="20">
        <v>0</v>
      </c>
      <c r="AB198" s="20">
        <v>0</v>
      </c>
      <c r="AC198" s="20">
        <v>0</v>
      </c>
      <c r="AD198" s="15">
        <f t="shared" ref="AD198:AD215" si="39">SUM(R198:AC198)</f>
        <v>0</v>
      </c>
      <c r="AE198" s="15">
        <v>0</v>
      </c>
      <c r="AF198" s="15">
        <v>0</v>
      </c>
      <c r="AG198" s="15">
        <v>0</v>
      </c>
      <c r="AH198" s="15">
        <v>220</v>
      </c>
      <c r="AI198" s="15">
        <v>0</v>
      </c>
      <c r="AJ198" s="15">
        <v>30</v>
      </c>
      <c r="AK198" s="15">
        <v>10</v>
      </c>
      <c r="AL198" s="15">
        <v>30</v>
      </c>
      <c r="AM198" s="15">
        <f t="shared" ref="AM198:AM214" si="40">SUM(AE198:AL198)</f>
        <v>290</v>
      </c>
      <c r="AN198" s="29">
        <f t="shared" si="28"/>
        <v>660</v>
      </c>
      <c r="AO198" s="19">
        <v>504</v>
      </c>
      <c r="AP198" s="21">
        <v>0</v>
      </c>
      <c r="AQ198" s="22">
        <v>0</v>
      </c>
      <c r="AR198" s="26">
        <f t="shared" si="30"/>
        <v>504</v>
      </c>
      <c r="AS198" s="37">
        <f t="shared" si="31"/>
        <v>1</v>
      </c>
      <c r="AT198" s="38">
        <f t="shared" si="36"/>
        <v>0.76363636363636367</v>
      </c>
      <c r="AU198" s="38">
        <f t="shared" si="33"/>
        <v>1</v>
      </c>
      <c r="AV198" s="27">
        <f t="shared" si="34"/>
        <v>0.76363636363636367</v>
      </c>
    </row>
    <row r="199" spans="1:48" s="1" customFormat="1" ht="23.1" customHeight="1" x14ac:dyDescent="0.25">
      <c r="A199" s="109">
        <v>46037</v>
      </c>
      <c r="B199" s="47" t="s">
        <v>49</v>
      </c>
      <c r="C199" s="89" t="s">
        <v>51</v>
      </c>
      <c r="D199" s="47" t="s">
        <v>124</v>
      </c>
      <c r="E199" s="48">
        <v>98992</v>
      </c>
      <c r="F199" s="48" t="s">
        <v>215</v>
      </c>
      <c r="G199" s="48" t="s">
        <v>125</v>
      </c>
      <c r="H199" s="30">
        <v>13105</v>
      </c>
      <c r="I199" s="30"/>
      <c r="J199" s="30">
        <v>32</v>
      </c>
      <c r="K199" s="28">
        <f t="shared" si="25"/>
        <v>112.5</v>
      </c>
      <c r="L199" s="31">
        <v>0.58333333333333337</v>
      </c>
      <c r="M199" s="31">
        <v>0.9375</v>
      </c>
      <c r="N199" s="32">
        <f t="shared" si="35"/>
        <v>0.35416666666666663</v>
      </c>
      <c r="O199" s="36">
        <v>510</v>
      </c>
      <c r="P199" s="36">
        <f t="shared" si="26"/>
        <v>440</v>
      </c>
      <c r="Q199" s="36">
        <f t="shared" si="27"/>
        <v>440</v>
      </c>
      <c r="R199" s="15">
        <v>0</v>
      </c>
      <c r="S199" s="20">
        <v>0</v>
      </c>
      <c r="T199" s="16">
        <v>0</v>
      </c>
      <c r="U199" s="16">
        <v>0</v>
      </c>
      <c r="V199" s="20">
        <v>0</v>
      </c>
      <c r="W199" s="20">
        <v>0</v>
      </c>
      <c r="X199" s="20">
        <v>0</v>
      </c>
      <c r="Y199" s="20">
        <v>0</v>
      </c>
      <c r="Z199" s="20">
        <v>0</v>
      </c>
      <c r="AA199" s="20">
        <v>0</v>
      </c>
      <c r="AB199" s="20">
        <v>0</v>
      </c>
      <c r="AC199" s="20">
        <v>0</v>
      </c>
      <c r="AD199" s="15">
        <f t="shared" si="39"/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  <c r="AJ199" s="15">
        <v>30</v>
      </c>
      <c r="AK199" s="15">
        <v>10</v>
      </c>
      <c r="AL199" s="15">
        <v>30</v>
      </c>
      <c r="AM199" s="15">
        <f t="shared" si="40"/>
        <v>70</v>
      </c>
      <c r="AN199" s="29">
        <f t="shared" si="28"/>
        <v>825</v>
      </c>
      <c r="AO199" s="19">
        <v>679</v>
      </c>
      <c r="AP199" s="21">
        <v>0</v>
      </c>
      <c r="AQ199" s="22">
        <v>1</v>
      </c>
      <c r="AR199" s="26">
        <f t="shared" si="30"/>
        <v>678</v>
      </c>
      <c r="AS199" s="37">
        <f t="shared" si="31"/>
        <v>1</v>
      </c>
      <c r="AT199" s="38">
        <f t="shared" si="36"/>
        <v>0.823030303030303</v>
      </c>
      <c r="AU199" s="38">
        <f t="shared" si="33"/>
        <v>0.99852724594992637</v>
      </c>
      <c r="AV199" s="27">
        <f t="shared" si="34"/>
        <v>0.82181818181818178</v>
      </c>
    </row>
    <row r="200" spans="1:48" s="1" customFormat="1" ht="23.1" customHeight="1" x14ac:dyDescent="0.25">
      <c r="A200" s="109">
        <v>46037</v>
      </c>
      <c r="B200" s="47" t="s">
        <v>49</v>
      </c>
      <c r="C200" s="89" t="s">
        <v>51</v>
      </c>
      <c r="D200" s="47" t="s">
        <v>122</v>
      </c>
      <c r="E200" s="48">
        <v>98992</v>
      </c>
      <c r="F200" s="48" t="s">
        <v>169</v>
      </c>
      <c r="G200" s="48" t="s">
        <v>125</v>
      </c>
      <c r="H200" s="30">
        <v>14972</v>
      </c>
      <c r="I200" s="30"/>
      <c r="J200" s="30">
        <v>32</v>
      </c>
      <c r="K200" s="28">
        <f t="shared" si="25"/>
        <v>112.5</v>
      </c>
      <c r="L200" s="31">
        <v>0.58333333333333337</v>
      </c>
      <c r="M200" s="31">
        <v>0.9375</v>
      </c>
      <c r="N200" s="32">
        <f t="shared" si="35"/>
        <v>0.35416666666666663</v>
      </c>
      <c r="O200" s="36">
        <v>510</v>
      </c>
      <c r="P200" s="36">
        <f t="shared" si="26"/>
        <v>320</v>
      </c>
      <c r="Q200" s="36">
        <f t="shared" si="27"/>
        <v>320</v>
      </c>
      <c r="R200" s="15">
        <v>0</v>
      </c>
      <c r="S200" s="20">
        <v>0</v>
      </c>
      <c r="T200" s="16">
        <v>0</v>
      </c>
      <c r="U200" s="16">
        <v>0</v>
      </c>
      <c r="V200" s="20">
        <v>0</v>
      </c>
      <c r="W200" s="20">
        <v>0</v>
      </c>
      <c r="X200" s="20">
        <v>0</v>
      </c>
      <c r="Y200" s="20">
        <v>0</v>
      </c>
      <c r="Z200" s="20">
        <v>0</v>
      </c>
      <c r="AA200" s="20">
        <v>0</v>
      </c>
      <c r="AB200" s="20">
        <v>0</v>
      </c>
      <c r="AC200" s="20">
        <v>0</v>
      </c>
      <c r="AD200" s="15">
        <f t="shared" si="39"/>
        <v>0</v>
      </c>
      <c r="AE200" s="15">
        <v>0</v>
      </c>
      <c r="AF200" s="15">
        <v>0</v>
      </c>
      <c r="AG200" s="15">
        <v>0</v>
      </c>
      <c r="AH200" s="15">
        <v>120</v>
      </c>
      <c r="AI200" s="15">
        <v>0</v>
      </c>
      <c r="AJ200" s="15">
        <v>30</v>
      </c>
      <c r="AK200" s="15">
        <v>10</v>
      </c>
      <c r="AL200" s="15">
        <v>30</v>
      </c>
      <c r="AM200" s="15">
        <f t="shared" si="40"/>
        <v>190</v>
      </c>
      <c r="AN200" s="29">
        <f t="shared" si="28"/>
        <v>600</v>
      </c>
      <c r="AO200" s="19">
        <v>501</v>
      </c>
      <c r="AP200" s="21">
        <v>0</v>
      </c>
      <c r="AQ200" s="22">
        <v>1</v>
      </c>
      <c r="AR200" s="26">
        <f t="shared" si="30"/>
        <v>500</v>
      </c>
      <c r="AS200" s="37">
        <f t="shared" si="31"/>
        <v>1</v>
      </c>
      <c r="AT200" s="38">
        <f t="shared" si="36"/>
        <v>0.83499999999999996</v>
      </c>
      <c r="AU200" s="38">
        <f t="shared" si="33"/>
        <v>0.99800399201596801</v>
      </c>
      <c r="AV200" s="27">
        <f t="shared" si="34"/>
        <v>0.83333333333333326</v>
      </c>
    </row>
    <row r="201" spans="1:48" s="1" customFormat="1" ht="23.1" customHeight="1" x14ac:dyDescent="0.25">
      <c r="A201" s="109">
        <v>46037</v>
      </c>
      <c r="B201" s="47" t="s">
        <v>49</v>
      </c>
      <c r="C201" s="89" t="s">
        <v>51</v>
      </c>
      <c r="D201" s="47" t="s">
        <v>128</v>
      </c>
      <c r="E201" s="48">
        <v>98992</v>
      </c>
      <c r="F201" s="48" t="s">
        <v>53</v>
      </c>
      <c r="G201" s="48" t="s">
        <v>125</v>
      </c>
      <c r="H201" s="30">
        <v>15618</v>
      </c>
      <c r="I201" s="30"/>
      <c r="J201" s="30">
        <v>32</v>
      </c>
      <c r="K201" s="28">
        <f t="shared" si="25"/>
        <v>112.5</v>
      </c>
      <c r="L201" s="31">
        <v>0.58333333333333337</v>
      </c>
      <c r="M201" s="31">
        <v>0.9375</v>
      </c>
      <c r="N201" s="32">
        <f t="shared" si="35"/>
        <v>0.35416666666666663</v>
      </c>
      <c r="O201" s="36">
        <v>510</v>
      </c>
      <c r="P201" s="36">
        <f t="shared" si="26"/>
        <v>240</v>
      </c>
      <c r="Q201" s="36">
        <f t="shared" si="27"/>
        <v>240</v>
      </c>
      <c r="R201" s="15">
        <v>0</v>
      </c>
      <c r="S201" s="20">
        <v>0</v>
      </c>
      <c r="T201" s="16">
        <v>0</v>
      </c>
      <c r="U201" s="16">
        <v>0</v>
      </c>
      <c r="V201" s="20">
        <v>0</v>
      </c>
      <c r="W201" s="20">
        <v>0</v>
      </c>
      <c r="X201" s="20">
        <v>0</v>
      </c>
      <c r="Y201" s="20">
        <v>0</v>
      </c>
      <c r="Z201" s="20">
        <v>0</v>
      </c>
      <c r="AA201" s="20">
        <v>0</v>
      </c>
      <c r="AB201" s="20">
        <v>0</v>
      </c>
      <c r="AC201" s="20">
        <v>0</v>
      </c>
      <c r="AD201" s="15">
        <f t="shared" si="39"/>
        <v>0</v>
      </c>
      <c r="AE201" s="15">
        <v>0</v>
      </c>
      <c r="AF201" s="15">
        <v>0</v>
      </c>
      <c r="AG201" s="15">
        <v>0</v>
      </c>
      <c r="AH201" s="15">
        <v>200</v>
      </c>
      <c r="AI201" s="15">
        <v>0</v>
      </c>
      <c r="AJ201" s="15">
        <v>30</v>
      </c>
      <c r="AK201" s="15">
        <v>10</v>
      </c>
      <c r="AL201" s="15">
        <v>30</v>
      </c>
      <c r="AM201" s="15">
        <f t="shared" si="40"/>
        <v>270</v>
      </c>
      <c r="AN201" s="29">
        <f t="shared" si="28"/>
        <v>450</v>
      </c>
      <c r="AO201" s="19">
        <v>280</v>
      </c>
      <c r="AP201" s="21">
        <v>0</v>
      </c>
      <c r="AQ201" s="22">
        <v>1</v>
      </c>
      <c r="AR201" s="26">
        <f t="shared" si="30"/>
        <v>279</v>
      </c>
      <c r="AS201" s="37">
        <f t="shared" si="31"/>
        <v>1</v>
      </c>
      <c r="AT201" s="38">
        <f t="shared" si="36"/>
        <v>0.62222222222222223</v>
      </c>
      <c r="AU201" s="38">
        <f t="shared" si="33"/>
        <v>0.99642857142857144</v>
      </c>
      <c r="AV201" s="27">
        <f t="shared" si="34"/>
        <v>0.62</v>
      </c>
    </row>
    <row r="202" spans="1:48" s="1" customFormat="1" ht="23.1" customHeight="1" x14ac:dyDescent="0.25">
      <c r="A202" s="109">
        <v>46037</v>
      </c>
      <c r="B202" s="47" t="s">
        <v>49</v>
      </c>
      <c r="C202" s="89" t="s">
        <v>51</v>
      </c>
      <c r="D202" s="47" t="s">
        <v>170</v>
      </c>
      <c r="E202" s="48">
        <v>98992</v>
      </c>
      <c r="F202" s="48" t="s">
        <v>176</v>
      </c>
      <c r="G202" s="48" t="s">
        <v>125</v>
      </c>
      <c r="H202" s="30">
        <v>15859</v>
      </c>
      <c r="I202" s="30"/>
      <c r="J202" s="30">
        <v>20</v>
      </c>
      <c r="K202" s="28">
        <f t="shared" si="25"/>
        <v>180</v>
      </c>
      <c r="L202" s="31">
        <v>0.58333333333333337</v>
      </c>
      <c r="M202" s="31">
        <v>0.9375</v>
      </c>
      <c r="N202" s="32">
        <f t="shared" si="35"/>
        <v>0.35416666666666663</v>
      </c>
      <c r="O202" s="36">
        <v>510</v>
      </c>
      <c r="P202" s="36">
        <f t="shared" si="26"/>
        <v>190</v>
      </c>
      <c r="Q202" s="36">
        <f t="shared" si="27"/>
        <v>190</v>
      </c>
      <c r="R202" s="15">
        <v>0</v>
      </c>
      <c r="S202" s="20">
        <v>0</v>
      </c>
      <c r="T202" s="16">
        <v>0</v>
      </c>
      <c r="U202" s="16">
        <v>0</v>
      </c>
      <c r="V202" s="20">
        <v>0</v>
      </c>
      <c r="W202" s="20">
        <v>0</v>
      </c>
      <c r="X202" s="20">
        <v>0</v>
      </c>
      <c r="Y202" s="20">
        <v>0</v>
      </c>
      <c r="Z202" s="20">
        <v>0</v>
      </c>
      <c r="AA202" s="20">
        <v>0</v>
      </c>
      <c r="AB202" s="20">
        <v>0</v>
      </c>
      <c r="AC202" s="20">
        <v>0</v>
      </c>
      <c r="AD202" s="15">
        <f t="shared" si="39"/>
        <v>0</v>
      </c>
      <c r="AE202" s="15">
        <v>0</v>
      </c>
      <c r="AF202" s="15">
        <v>0</v>
      </c>
      <c r="AG202" s="15">
        <v>0</v>
      </c>
      <c r="AH202" s="15">
        <v>250</v>
      </c>
      <c r="AI202" s="15">
        <v>0</v>
      </c>
      <c r="AJ202" s="15">
        <v>30</v>
      </c>
      <c r="AK202" s="15">
        <v>10</v>
      </c>
      <c r="AL202" s="15">
        <v>30</v>
      </c>
      <c r="AM202" s="15">
        <f t="shared" si="40"/>
        <v>320</v>
      </c>
      <c r="AN202" s="29">
        <f t="shared" si="28"/>
        <v>570</v>
      </c>
      <c r="AO202" s="19">
        <v>300</v>
      </c>
      <c r="AP202" s="21">
        <v>0</v>
      </c>
      <c r="AQ202" s="22">
        <v>0</v>
      </c>
      <c r="AR202" s="26">
        <f t="shared" si="30"/>
        <v>300</v>
      </c>
      <c r="AS202" s="37">
        <f t="shared" si="31"/>
        <v>1</v>
      </c>
      <c r="AT202" s="38">
        <f t="shared" si="36"/>
        <v>0.52631578947368418</v>
      </c>
      <c r="AU202" s="38">
        <f t="shared" si="33"/>
        <v>1</v>
      </c>
      <c r="AV202" s="27">
        <f t="shared" si="34"/>
        <v>0.52631578947368418</v>
      </c>
    </row>
    <row r="203" spans="1:48" s="1" customFormat="1" ht="23.1" customHeight="1" x14ac:dyDescent="0.25">
      <c r="A203" s="109">
        <v>46037</v>
      </c>
      <c r="B203" s="47" t="s">
        <v>49</v>
      </c>
      <c r="C203" s="89" t="s">
        <v>51</v>
      </c>
      <c r="D203" s="47" t="s">
        <v>127</v>
      </c>
      <c r="E203" s="48">
        <v>98992</v>
      </c>
      <c r="F203" s="48" t="s">
        <v>175</v>
      </c>
      <c r="G203" s="48" t="s">
        <v>125</v>
      </c>
      <c r="H203" s="30">
        <v>13106</v>
      </c>
      <c r="I203" s="30"/>
      <c r="J203" s="30">
        <v>20</v>
      </c>
      <c r="K203" s="28">
        <f t="shared" si="25"/>
        <v>180</v>
      </c>
      <c r="L203" s="31">
        <v>0.58333333333333337</v>
      </c>
      <c r="M203" s="31">
        <v>0.9375</v>
      </c>
      <c r="N203" s="32">
        <f t="shared" si="35"/>
        <v>0.35416666666666663</v>
      </c>
      <c r="O203" s="36">
        <v>510</v>
      </c>
      <c r="P203" s="36">
        <f t="shared" si="26"/>
        <v>220</v>
      </c>
      <c r="Q203" s="36">
        <f t="shared" si="27"/>
        <v>220</v>
      </c>
      <c r="R203" s="15">
        <v>0</v>
      </c>
      <c r="S203" s="20">
        <v>0</v>
      </c>
      <c r="T203" s="16">
        <v>0</v>
      </c>
      <c r="U203" s="16">
        <v>0</v>
      </c>
      <c r="V203" s="20">
        <v>0</v>
      </c>
      <c r="W203" s="20">
        <v>0</v>
      </c>
      <c r="X203" s="20">
        <v>0</v>
      </c>
      <c r="Y203" s="20">
        <v>0</v>
      </c>
      <c r="Z203" s="20">
        <v>0</v>
      </c>
      <c r="AA203" s="20">
        <v>0</v>
      </c>
      <c r="AB203" s="20">
        <v>0</v>
      </c>
      <c r="AC203" s="20">
        <v>0</v>
      </c>
      <c r="AD203" s="15">
        <f t="shared" si="39"/>
        <v>0</v>
      </c>
      <c r="AE203" s="15">
        <v>0</v>
      </c>
      <c r="AF203" s="15">
        <v>0</v>
      </c>
      <c r="AG203" s="15">
        <v>0</v>
      </c>
      <c r="AH203" s="15">
        <v>220</v>
      </c>
      <c r="AI203" s="15">
        <v>0</v>
      </c>
      <c r="AJ203" s="15">
        <v>30</v>
      </c>
      <c r="AK203" s="15">
        <v>10</v>
      </c>
      <c r="AL203" s="15">
        <v>30</v>
      </c>
      <c r="AM203" s="15">
        <f t="shared" si="40"/>
        <v>290</v>
      </c>
      <c r="AN203" s="29">
        <f t="shared" si="28"/>
        <v>660</v>
      </c>
      <c r="AO203" s="19">
        <v>450</v>
      </c>
      <c r="AP203" s="21">
        <v>0</v>
      </c>
      <c r="AQ203" s="22">
        <v>2</v>
      </c>
      <c r="AR203" s="26">
        <f t="shared" si="30"/>
        <v>448</v>
      </c>
      <c r="AS203" s="37">
        <f t="shared" si="31"/>
        <v>1</v>
      </c>
      <c r="AT203" s="38">
        <f t="shared" si="36"/>
        <v>0.68181818181818177</v>
      </c>
      <c r="AU203" s="38">
        <f t="shared" si="33"/>
        <v>0.99555555555555553</v>
      </c>
      <c r="AV203" s="27">
        <f t="shared" si="34"/>
        <v>0.67878787878787872</v>
      </c>
    </row>
    <row r="204" spans="1:48" s="1" customFormat="1" ht="23.1" customHeight="1" x14ac:dyDescent="0.25">
      <c r="A204" s="109">
        <v>46038</v>
      </c>
      <c r="B204" s="47" t="s">
        <v>49</v>
      </c>
      <c r="C204" s="80" t="s">
        <v>21</v>
      </c>
      <c r="D204" s="47" t="s">
        <v>94</v>
      </c>
      <c r="E204" s="48">
        <v>98992</v>
      </c>
      <c r="F204" s="48" t="s">
        <v>67</v>
      </c>
      <c r="G204" s="48" t="s">
        <v>174</v>
      </c>
      <c r="H204" s="30">
        <v>15736</v>
      </c>
      <c r="I204" s="30"/>
      <c r="J204" s="30">
        <v>24</v>
      </c>
      <c r="K204" s="28">
        <f t="shared" ref="K204:K267" si="41">3600/J204</f>
        <v>150</v>
      </c>
      <c r="L204" s="31">
        <v>0.25</v>
      </c>
      <c r="M204" s="31">
        <v>0.60416666666666663</v>
      </c>
      <c r="N204" s="32">
        <f t="shared" si="35"/>
        <v>0.35416666666666663</v>
      </c>
      <c r="O204" s="36">
        <v>510</v>
      </c>
      <c r="P204" s="36">
        <f t="shared" ref="P204:P267" si="42">Q204-AD204</f>
        <v>440</v>
      </c>
      <c r="Q204" s="36">
        <f t="shared" ref="Q204:Q267" si="43">O204-AM204</f>
        <v>440</v>
      </c>
      <c r="R204" s="15">
        <v>0</v>
      </c>
      <c r="S204" s="20">
        <v>0</v>
      </c>
      <c r="T204" s="16">
        <v>0</v>
      </c>
      <c r="U204" s="16">
        <v>0</v>
      </c>
      <c r="V204" s="20">
        <v>0</v>
      </c>
      <c r="W204" s="20">
        <v>0</v>
      </c>
      <c r="X204" s="20">
        <v>0</v>
      </c>
      <c r="Y204" s="20">
        <v>0</v>
      </c>
      <c r="Z204" s="20">
        <v>0</v>
      </c>
      <c r="AA204" s="20">
        <v>0</v>
      </c>
      <c r="AB204" s="20">
        <v>0</v>
      </c>
      <c r="AC204" s="20">
        <v>0</v>
      </c>
      <c r="AD204" s="15">
        <f t="shared" si="39"/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  <c r="AJ204" s="15">
        <v>30</v>
      </c>
      <c r="AK204" s="15">
        <v>10</v>
      </c>
      <c r="AL204" s="15">
        <v>30</v>
      </c>
      <c r="AM204" s="15">
        <f t="shared" si="40"/>
        <v>70</v>
      </c>
      <c r="AN204" s="29">
        <f t="shared" ref="AN204:AN267" si="44">Q204*(K204/60)</f>
        <v>1100</v>
      </c>
      <c r="AO204" s="19">
        <v>780</v>
      </c>
      <c r="AP204" s="21">
        <v>0</v>
      </c>
      <c r="AQ204" s="22">
        <v>9</v>
      </c>
      <c r="AR204" s="26">
        <f t="shared" si="30"/>
        <v>771</v>
      </c>
      <c r="AS204" s="37">
        <f t="shared" si="31"/>
        <v>1</v>
      </c>
      <c r="AT204" s="38">
        <f t="shared" si="36"/>
        <v>0.70909090909090911</v>
      </c>
      <c r="AU204" s="38">
        <f t="shared" si="33"/>
        <v>0.9884615384615385</v>
      </c>
      <c r="AV204" s="27">
        <f t="shared" si="34"/>
        <v>0.70090909090909093</v>
      </c>
    </row>
    <row r="205" spans="1:48" s="1" customFormat="1" ht="23.1" customHeight="1" x14ac:dyDescent="0.25">
      <c r="A205" s="109">
        <v>46038</v>
      </c>
      <c r="B205" s="47" t="s">
        <v>49</v>
      </c>
      <c r="C205" s="80" t="s">
        <v>21</v>
      </c>
      <c r="D205" s="47" t="s">
        <v>88</v>
      </c>
      <c r="E205" s="48">
        <v>98992</v>
      </c>
      <c r="F205" s="48" t="s">
        <v>126</v>
      </c>
      <c r="G205" s="48" t="s">
        <v>87</v>
      </c>
      <c r="H205" s="30">
        <v>13106</v>
      </c>
      <c r="I205" s="30"/>
      <c r="J205" s="30">
        <v>32</v>
      </c>
      <c r="K205" s="28">
        <f t="shared" si="41"/>
        <v>112.5</v>
      </c>
      <c r="L205" s="31">
        <v>0.25</v>
      </c>
      <c r="M205" s="31">
        <v>0.60416666666666663</v>
      </c>
      <c r="N205" s="32">
        <f t="shared" si="35"/>
        <v>0.35416666666666663</v>
      </c>
      <c r="O205" s="36">
        <v>510</v>
      </c>
      <c r="P205" s="36">
        <f t="shared" si="42"/>
        <v>440</v>
      </c>
      <c r="Q205" s="36">
        <f t="shared" si="43"/>
        <v>440</v>
      </c>
      <c r="R205" s="15">
        <v>0</v>
      </c>
      <c r="S205" s="20">
        <v>0</v>
      </c>
      <c r="T205" s="16">
        <v>0</v>
      </c>
      <c r="U205" s="16">
        <v>0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15">
        <f t="shared" si="39"/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  <c r="AJ205" s="15">
        <v>30</v>
      </c>
      <c r="AK205" s="15">
        <v>10</v>
      </c>
      <c r="AL205" s="15">
        <v>30</v>
      </c>
      <c r="AM205" s="15">
        <f t="shared" si="40"/>
        <v>70</v>
      </c>
      <c r="AN205" s="29">
        <f t="shared" si="44"/>
        <v>825</v>
      </c>
      <c r="AO205" s="19">
        <v>624</v>
      </c>
      <c r="AP205" s="21">
        <v>0</v>
      </c>
      <c r="AQ205" s="22">
        <v>2</v>
      </c>
      <c r="AR205" s="26">
        <f t="shared" si="30"/>
        <v>622</v>
      </c>
      <c r="AS205" s="37">
        <f t="shared" si="31"/>
        <v>1</v>
      </c>
      <c r="AT205" s="38">
        <f t="shared" si="36"/>
        <v>0.75636363636363635</v>
      </c>
      <c r="AU205" s="38">
        <f t="shared" si="33"/>
        <v>0.99679487179487181</v>
      </c>
      <c r="AV205" s="27">
        <f t="shared" si="34"/>
        <v>0.75393939393939391</v>
      </c>
    </row>
    <row r="206" spans="1:48" s="1" customFormat="1" ht="23.1" customHeight="1" x14ac:dyDescent="0.25">
      <c r="A206" s="109">
        <v>46038</v>
      </c>
      <c r="B206" s="47" t="s">
        <v>49</v>
      </c>
      <c r="C206" s="80" t="s">
        <v>21</v>
      </c>
      <c r="D206" s="47" t="s">
        <v>89</v>
      </c>
      <c r="E206" s="48">
        <v>98992</v>
      </c>
      <c r="F206" s="48" t="s">
        <v>169</v>
      </c>
      <c r="G206" s="48" t="s">
        <v>87</v>
      </c>
      <c r="H206" s="30">
        <v>15851</v>
      </c>
      <c r="I206" s="30"/>
      <c r="J206" s="30">
        <v>32</v>
      </c>
      <c r="K206" s="28">
        <f t="shared" si="41"/>
        <v>112.5</v>
      </c>
      <c r="L206" s="31">
        <v>0.25</v>
      </c>
      <c r="M206" s="31">
        <v>0.60416666666666663</v>
      </c>
      <c r="N206" s="32">
        <f t="shared" si="35"/>
        <v>0.35416666666666663</v>
      </c>
      <c r="O206" s="36">
        <v>510</v>
      </c>
      <c r="P206" s="36">
        <f t="shared" si="42"/>
        <v>440</v>
      </c>
      <c r="Q206" s="36">
        <f t="shared" si="43"/>
        <v>440</v>
      </c>
      <c r="R206" s="15">
        <v>0</v>
      </c>
      <c r="S206" s="20">
        <v>0</v>
      </c>
      <c r="T206" s="16">
        <v>0</v>
      </c>
      <c r="U206" s="16">
        <v>0</v>
      </c>
      <c r="V206" s="20">
        <v>0</v>
      </c>
      <c r="W206" s="20">
        <v>0</v>
      </c>
      <c r="X206" s="20">
        <v>0</v>
      </c>
      <c r="Y206" s="20">
        <v>0</v>
      </c>
      <c r="Z206" s="20">
        <v>0</v>
      </c>
      <c r="AA206" s="20">
        <v>0</v>
      </c>
      <c r="AB206" s="20">
        <v>0</v>
      </c>
      <c r="AC206" s="20">
        <v>0</v>
      </c>
      <c r="AD206" s="15">
        <f t="shared" si="39"/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  <c r="AJ206" s="15">
        <v>30</v>
      </c>
      <c r="AK206" s="15">
        <v>10</v>
      </c>
      <c r="AL206" s="15">
        <v>30</v>
      </c>
      <c r="AM206" s="15">
        <f t="shared" si="40"/>
        <v>70</v>
      </c>
      <c r="AN206" s="29">
        <f t="shared" si="44"/>
        <v>825</v>
      </c>
      <c r="AO206" s="19">
        <v>540</v>
      </c>
      <c r="AP206" s="21">
        <v>0</v>
      </c>
      <c r="AQ206" s="22">
        <v>0</v>
      </c>
      <c r="AR206" s="26">
        <f t="shared" si="30"/>
        <v>540</v>
      </c>
      <c r="AS206" s="37">
        <f t="shared" si="31"/>
        <v>1</v>
      </c>
      <c r="AT206" s="38">
        <f t="shared" si="36"/>
        <v>0.65454545454545454</v>
      </c>
      <c r="AU206" s="38">
        <f t="shared" si="33"/>
        <v>1</v>
      </c>
      <c r="AV206" s="27">
        <f t="shared" si="34"/>
        <v>0.65454545454545454</v>
      </c>
    </row>
    <row r="207" spans="1:48" s="1" customFormat="1" ht="23.1" customHeight="1" x14ac:dyDescent="0.25">
      <c r="A207" s="109">
        <v>46038</v>
      </c>
      <c r="B207" s="47" t="s">
        <v>49</v>
      </c>
      <c r="C207" s="80" t="s">
        <v>21</v>
      </c>
      <c r="D207" s="47" t="s">
        <v>52</v>
      </c>
      <c r="E207" s="48">
        <v>98992</v>
      </c>
      <c r="F207" s="48" t="s">
        <v>53</v>
      </c>
      <c r="G207" s="48" t="s">
        <v>87</v>
      </c>
      <c r="H207" s="30">
        <v>15618</v>
      </c>
      <c r="I207" s="30"/>
      <c r="J207" s="30">
        <v>32</v>
      </c>
      <c r="K207" s="28">
        <f t="shared" si="41"/>
        <v>112.5</v>
      </c>
      <c r="L207" s="31">
        <v>0.25</v>
      </c>
      <c r="M207" s="31">
        <v>0.60416666666666663</v>
      </c>
      <c r="N207" s="32">
        <f t="shared" si="35"/>
        <v>0.35416666666666663</v>
      </c>
      <c r="O207" s="36">
        <v>510</v>
      </c>
      <c r="P207" s="36">
        <f t="shared" si="42"/>
        <v>440</v>
      </c>
      <c r="Q207" s="36">
        <f t="shared" si="43"/>
        <v>440</v>
      </c>
      <c r="R207" s="15">
        <v>0</v>
      </c>
      <c r="S207" s="20">
        <v>0</v>
      </c>
      <c r="T207" s="16">
        <v>0</v>
      </c>
      <c r="U207" s="16">
        <v>0</v>
      </c>
      <c r="V207" s="20">
        <v>0</v>
      </c>
      <c r="W207" s="20">
        <v>0</v>
      </c>
      <c r="X207" s="20">
        <v>0</v>
      </c>
      <c r="Y207" s="20">
        <v>0</v>
      </c>
      <c r="Z207" s="20">
        <v>0</v>
      </c>
      <c r="AA207" s="20">
        <v>0</v>
      </c>
      <c r="AB207" s="20">
        <v>0</v>
      </c>
      <c r="AC207" s="20">
        <v>0</v>
      </c>
      <c r="AD207" s="15">
        <f t="shared" si="39"/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  <c r="AJ207" s="15">
        <v>30</v>
      </c>
      <c r="AK207" s="15">
        <v>10</v>
      </c>
      <c r="AL207" s="15">
        <v>30</v>
      </c>
      <c r="AM207" s="15">
        <f t="shared" si="40"/>
        <v>70</v>
      </c>
      <c r="AN207" s="29">
        <f t="shared" si="44"/>
        <v>825</v>
      </c>
      <c r="AO207" s="19">
        <v>640</v>
      </c>
      <c r="AP207" s="21">
        <v>0</v>
      </c>
      <c r="AQ207" s="22">
        <v>0</v>
      </c>
      <c r="AR207" s="26">
        <f t="shared" si="30"/>
        <v>640</v>
      </c>
      <c r="AS207" s="37">
        <f t="shared" ref="AS207:AS270" si="45">P207/Q207</f>
        <v>1</v>
      </c>
      <c r="AT207" s="38">
        <f t="shared" si="36"/>
        <v>0.77575757575757576</v>
      </c>
      <c r="AU207" s="38">
        <f t="shared" ref="AU207:AU270" si="46">AR207/AO207</f>
        <v>1</v>
      </c>
      <c r="AV207" s="27">
        <f t="shared" ref="AV207:AV270" si="47">AS207*AT207*AU207</f>
        <v>0.77575757575757576</v>
      </c>
    </row>
    <row r="208" spans="1:48" s="1" customFormat="1" ht="23.1" customHeight="1" x14ac:dyDescent="0.25">
      <c r="A208" s="109">
        <v>46038</v>
      </c>
      <c r="B208" s="47" t="s">
        <v>49</v>
      </c>
      <c r="C208" s="80" t="s">
        <v>21</v>
      </c>
      <c r="D208" s="47" t="s">
        <v>86</v>
      </c>
      <c r="E208" s="48">
        <v>98992</v>
      </c>
      <c r="F208" s="48" t="s">
        <v>176</v>
      </c>
      <c r="G208" s="48" t="s">
        <v>87</v>
      </c>
      <c r="H208" s="30">
        <v>15859</v>
      </c>
      <c r="I208" s="30"/>
      <c r="J208" s="30">
        <v>20</v>
      </c>
      <c r="K208" s="28">
        <f t="shared" si="41"/>
        <v>180</v>
      </c>
      <c r="L208" s="31">
        <v>0.25</v>
      </c>
      <c r="M208" s="31">
        <v>0.60416666666666663</v>
      </c>
      <c r="N208" s="32">
        <f t="shared" si="35"/>
        <v>0.35416666666666663</v>
      </c>
      <c r="O208" s="36">
        <v>510</v>
      </c>
      <c r="P208" s="36">
        <f t="shared" si="42"/>
        <v>320</v>
      </c>
      <c r="Q208" s="36">
        <f t="shared" si="43"/>
        <v>320</v>
      </c>
      <c r="R208" s="15">
        <v>0</v>
      </c>
      <c r="S208" s="20">
        <v>0</v>
      </c>
      <c r="T208" s="16">
        <v>0</v>
      </c>
      <c r="U208" s="16">
        <v>0</v>
      </c>
      <c r="V208" s="20">
        <v>0</v>
      </c>
      <c r="W208" s="20">
        <v>0</v>
      </c>
      <c r="X208" s="20">
        <v>0</v>
      </c>
      <c r="Y208" s="20">
        <v>0</v>
      </c>
      <c r="Z208" s="20">
        <v>0</v>
      </c>
      <c r="AA208" s="20">
        <v>0</v>
      </c>
      <c r="AB208" s="20">
        <v>0</v>
      </c>
      <c r="AC208" s="20">
        <v>0</v>
      </c>
      <c r="AD208" s="15">
        <f t="shared" si="39"/>
        <v>0</v>
      </c>
      <c r="AE208" s="15">
        <v>0</v>
      </c>
      <c r="AF208" s="15">
        <v>0</v>
      </c>
      <c r="AG208" s="15">
        <v>0</v>
      </c>
      <c r="AH208" s="15">
        <v>120</v>
      </c>
      <c r="AI208" s="15">
        <v>0</v>
      </c>
      <c r="AJ208" s="15">
        <v>30</v>
      </c>
      <c r="AK208" s="15">
        <v>10</v>
      </c>
      <c r="AL208" s="15">
        <v>30</v>
      </c>
      <c r="AM208" s="15">
        <f t="shared" si="40"/>
        <v>190</v>
      </c>
      <c r="AN208" s="29">
        <f t="shared" si="44"/>
        <v>960</v>
      </c>
      <c r="AO208" s="19">
        <v>595</v>
      </c>
      <c r="AP208" s="21">
        <v>0</v>
      </c>
      <c r="AQ208" s="22">
        <v>0</v>
      </c>
      <c r="AR208" s="26">
        <f t="shared" si="30"/>
        <v>595</v>
      </c>
      <c r="AS208" s="37">
        <f t="shared" si="45"/>
        <v>1</v>
      </c>
      <c r="AT208" s="38">
        <f t="shared" si="36"/>
        <v>0.61979166666666663</v>
      </c>
      <c r="AU208" s="38">
        <f t="shared" si="46"/>
        <v>1</v>
      </c>
      <c r="AV208" s="27">
        <f t="shared" si="47"/>
        <v>0.61979166666666663</v>
      </c>
    </row>
    <row r="209" spans="1:48" s="1" customFormat="1" ht="23.1" customHeight="1" x14ac:dyDescent="0.25">
      <c r="A209" s="109">
        <v>46038</v>
      </c>
      <c r="B209" s="47" t="s">
        <v>49</v>
      </c>
      <c r="C209" s="80" t="s">
        <v>21</v>
      </c>
      <c r="D209" s="47" t="s">
        <v>172</v>
      </c>
      <c r="E209" s="48">
        <v>98992</v>
      </c>
      <c r="F209" s="48" t="s">
        <v>175</v>
      </c>
      <c r="G209" s="48" t="s">
        <v>87</v>
      </c>
      <c r="H209" s="30">
        <v>15882</v>
      </c>
      <c r="I209" s="30"/>
      <c r="J209" s="30">
        <v>20</v>
      </c>
      <c r="K209" s="28">
        <f t="shared" si="41"/>
        <v>180</v>
      </c>
      <c r="L209" s="31">
        <v>0.25</v>
      </c>
      <c r="M209" s="31">
        <v>0.60416666666666663</v>
      </c>
      <c r="N209" s="32">
        <f t="shared" si="35"/>
        <v>0.35416666666666663</v>
      </c>
      <c r="O209" s="36">
        <v>510</v>
      </c>
      <c r="P209" s="36">
        <f t="shared" si="42"/>
        <v>320</v>
      </c>
      <c r="Q209" s="36">
        <f t="shared" si="43"/>
        <v>320</v>
      </c>
      <c r="R209" s="15">
        <v>0</v>
      </c>
      <c r="S209" s="20">
        <v>0</v>
      </c>
      <c r="T209" s="16">
        <v>0</v>
      </c>
      <c r="U209" s="16">
        <v>0</v>
      </c>
      <c r="V209" s="20">
        <v>0</v>
      </c>
      <c r="W209" s="20">
        <v>0</v>
      </c>
      <c r="X209" s="20">
        <v>0</v>
      </c>
      <c r="Y209" s="20">
        <v>0</v>
      </c>
      <c r="Z209" s="20">
        <v>0</v>
      </c>
      <c r="AA209" s="20">
        <v>0</v>
      </c>
      <c r="AB209" s="20">
        <v>0</v>
      </c>
      <c r="AC209" s="20">
        <v>0</v>
      </c>
      <c r="AD209" s="15">
        <f t="shared" si="39"/>
        <v>0</v>
      </c>
      <c r="AE209" s="15">
        <v>0</v>
      </c>
      <c r="AF209" s="15">
        <v>0</v>
      </c>
      <c r="AG209" s="15">
        <v>0</v>
      </c>
      <c r="AH209" s="15">
        <v>120</v>
      </c>
      <c r="AI209" s="15">
        <v>0</v>
      </c>
      <c r="AJ209" s="15">
        <v>30</v>
      </c>
      <c r="AK209" s="15">
        <v>10</v>
      </c>
      <c r="AL209" s="15">
        <v>30</v>
      </c>
      <c r="AM209" s="15">
        <f t="shared" si="40"/>
        <v>190</v>
      </c>
      <c r="AN209" s="29">
        <f t="shared" si="44"/>
        <v>960</v>
      </c>
      <c r="AO209" s="19">
        <v>864</v>
      </c>
      <c r="AP209" s="21">
        <v>0</v>
      </c>
      <c r="AQ209" s="22">
        <v>0</v>
      </c>
      <c r="AR209" s="26">
        <f t="shared" si="30"/>
        <v>864</v>
      </c>
      <c r="AS209" s="37">
        <f t="shared" si="45"/>
        <v>1</v>
      </c>
      <c r="AT209" s="38">
        <f t="shared" si="36"/>
        <v>0.9</v>
      </c>
      <c r="AU209" s="38">
        <f t="shared" si="46"/>
        <v>1</v>
      </c>
      <c r="AV209" s="27">
        <f t="shared" si="47"/>
        <v>0.9</v>
      </c>
    </row>
    <row r="210" spans="1:48" s="1" customFormat="1" ht="23.1" customHeight="1" x14ac:dyDescent="0.25">
      <c r="A210" s="109">
        <v>46038</v>
      </c>
      <c r="B210" s="47" t="s">
        <v>49</v>
      </c>
      <c r="C210" s="80" t="s">
        <v>21</v>
      </c>
      <c r="D210" s="47" t="s">
        <v>122</v>
      </c>
      <c r="E210" s="48">
        <v>98992</v>
      </c>
      <c r="F210" s="48" t="s">
        <v>169</v>
      </c>
      <c r="G210" s="48" t="s">
        <v>125</v>
      </c>
      <c r="H210" s="30">
        <v>13105</v>
      </c>
      <c r="I210" s="30"/>
      <c r="J210" s="30">
        <v>32</v>
      </c>
      <c r="K210" s="28">
        <f t="shared" si="41"/>
        <v>112.5</v>
      </c>
      <c r="L210" s="31">
        <v>0.25</v>
      </c>
      <c r="M210" s="31">
        <v>0.60416666666666663</v>
      </c>
      <c r="N210" s="32">
        <f t="shared" si="35"/>
        <v>0.35416666666666663</v>
      </c>
      <c r="O210" s="36">
        <v>510</v>
      </c>
      <c r="P210" s="36">
        <f t="shared" si="42"/>
        <v>440</v>
      </c>
      <c r="Q210" s="36">
        <f t="shared" si="43"/>
        <v>440</v>
      </c>
      <c r="R210" s="15">
        <v>0</v>
      </c>
      <c r="S210" s="20">
        <v>0</v>
      </c>
      <c r="T210" s="16">
        <v>0</v>
      </c>
      <c r="U210" s="16">
        <v>0</v>
      </c>
      <c r="V210" s="20">
        <v>0</v>
      </c>
      <c r="W210" s="20">
        <v>0</v>
      </c>
      <c r="X210" s="20">
        <v>0</v>
      </c>
      <c r="Y210" s="20">
        <v>0</v>
      </c>
      <c r="Z210" s="20">
        <v>0</v>
      </c>
      <c r="AA210" s="20">
        <v>0</v>
      </c>
      <c r="AB210" s="20">
        <v>0</v>
      </c>
      <c r="AC210" s="20">
        <v>0</v>
      </c>
      <c r="AD210" s="15">
        <f t="shared" si="39"/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  <c r="AJ210" s="15">
        <v>30</v>
      </c>
      <c r="AK210" s="15">
        <v>10</v>
      </c>
      <c r="AL210" s="15">
        <v>30</v>
      </c>
      <c r="AM210" s="15">
        <f t="shared" si="40"/>
        <v>70</v>
      </c>
      <c r="AN210" s="29">
        <f t="shared" si="44"/>
        <v>825</v>
      </c>
      <c r="AO210" s="19">
        <v>570</v>
      </c>
      <c r="AP210" s="21">
        <v>0</v>
      </c>
      <c r="AQ210" s="22">
        <v>2</v>
      </c>
      <c r="AR210" s="26">
        <f t="shared" si="30"/>
        <v>568</v>
      </c>
      <c r="AS210" s="37">
        <f t="shared" si="45"/>
        <v>1</v>
      </c>
      <c r="AT210" s="38">
        <f t="shared" si="36"/>
        <v>0.69090909090909092</v>
      </c>
      <c r="AU210" s="38">
        <f t="shared" si="46"/>
        <v>0.99649122807017543</v>
      </c>
      <c r="AV210" s="27">
        <f t="shared" si="47"/>
        <v>0.68848484848484848</v>
      </c>
    </row>
    <row r="211" spans="1:48" s="1" customFormat="1" ht="23.1" customHeight="1" x14ac:dyDescent="0.25">
      <c r="A211" s="109">
        <v>46038</v>
      </c>
      <c r="B211" s="47" t="s">
        <v>49</v>
      </c>
      <c r="C211" s="80" t="s">
        <v>51</v>
      </c>
      <c r="D211" s="47" t="s">
        <v>94</v>
      </c>
      <c r="E211" s="48">
        <v>98992</v>
      </c>
      <c r="F211" s="48" t="s">
        <v>67</v>
      </c>
      <c r="G211" s="48" t="s">
        <v>174</v>
      </c>
      <c r="H211" s="30">
        <v>15833</v>
      </c>
      <c r="I211" s="30"/>
      <c r="J211" s="30">
        <v>24</v>
      </c>
      <c r="K211" s="28">
        <f t="shared" si="41"/>
        <v>150</v>
      </c>
      <c r="L211" s="31">
        <v>0.58333333333333337</v>
      </c>
      <c r="M211" s="31">
        <v>0.9375</v>
      </c>
      <c r="N211" s="32">
        <f t="shared" si="35"/>
        <v>0.35416666666666663</v>
      </c>
      <c r="O211" s="36">
        <v>510</v>
      </c>
      <c r="P211" s="36">
        <f t="shared" si="42"/>
        <v>440</v>
      </c>
      <c r="Q211" s="36">
        <f t="shared" si="43"/>
        <v>440</v>
      </c>
      <c r="R211" s="15">
        <v>0</v>
      </c>
      <c r="S211" s="20">
        <v>0</v>
      </c>
      <c r="T211" s="16">
        <v>0</v>
      </c>
      <c r="U211" s="16">
        <v>0</v>
      </c>
      <c r="V211" s="20">
        <v>0</v>
      </c>
      <c r="W211" s="20">
        <v>0</v>
      </c>
      <c r="X211" s="20">
        <v>0</v>
      </c>
      <c r="Y211" s="20">
        <v>0</v>
      </c>
      <c r="Z211" s="20">
        <v>0</v>
      </c>
      <c r="AA211" s="20">
        <v>0</v>
      </c>
      <c r="AB211" s="20">
        <v>0</v>
      </c>
      <c r="AC211" s="20">
        <v>0</v>
      </c>
      <c r="AD211" s="15">
        <f t="shared" si="39"/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  <c r="AJ211" s="15">
        <v>30</v>
      </c>
      <c r="AK211" s="15">
        <v>10</v>
      </c>
      <c r="AL211" s="15">
        <v>30</v>
      </c>
      <c r="AM211" s="15">
        <f t="shared" si="40"/>
        <v>70</v>
      </c>
      <c r="AN211" s="29">
        <f t="shared" si="44"/>
        <v>1100</v>
      </c>
      <c r="AO211" s="19">
        <v>845</v>
      </c>
      <c r="AP211" s="21">
        <v>0</v>
      </c>
      <c r="AQ211" s="22">
        <v>25</v>
      </c>
      <c r="AR211" s="26">
        <f t="shared" si="30"/>
        <v>820</v>
      </c>
      <c r="AS211" s="37">
        <f t="shared" si="45"/>
        <v>1</v>
      </c>
      <c r="AT211" s="38">
        <f t="shared" si="36"/>
        <v>0.76818181818181819</v>
      </c>
      <c r="AU211" s="38">
        <f t="shared" si="46"/>
        <v>0.97041420118343191</v>
      </c>
      <c r="AV211" s="27">
        <f t="shared" si="47"/>
        <v>0.74545454545454548</v>
      </c>
    </row>
    <row r="212" spans="1:48" s="1" customFormat="1" ht="23.1" customHeight="1" x14ac:dyDescent="0.25">
      <c r="A212" s="109">
        <v>46038</v>
      </c>
      <c r="B212" s="47" t="s">
        <v>49</v>
      </c>
      <c r="C212" s="80" t="s">
        <v>51</v>
      </c>
      <c r="D212" s="47" t="s">
        <v>88</v>
      </c>
      <c r="E212" s="48">
        <v>98992</v>
      </c>
      <c r="F212" s="48" t="s">
        <v>126</v>
      </c>
      <c r="G212" s="48" t="s">
        <v>87</v>
      </c>
      <c r="H212" s="30">
        <v>15036</v>
      </c>
      <c r="I212" s="30"/>
      <c r="J212" s="30">
        <v>32</v>
      </c>
      <c r="K212" s="28">
        <f t="shared" si="41"/>
        <v>112.5</v>
      </c>
      <c r="L212" s="31">
        <v>0.58333333333333337</v>
      </c>
      <c r="M212" s="31">
        <v>0.9375</v>
      </c>
      <c r="N212" s="32">
        <f t="shared" si="35"/>
        <v>0.35416666666666663</v>
      </c>
      <c r="O212" s="36">
        <v>510</v>
      </c>
      <c r="P212" s="36">
        <f t="shared" si="42"/>
        <v>440</v>
      </c>
      <c r="Q212" s="36">
        <f t="shared" si="43"/>
        <v>440</v>
      </c>
      <c r="R212" s="15">
        <v>0</v>
      </c>
      <c r="S212" s="20">
        <v>0</v>
      </c>
      <c r="T212" s="16">
        <v>0</v>
      </c>
      <c r="U212" s="16">
        <v>0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15">
        <f t="shared" si="39"/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  <c r="AJ212" s="15">
        <v>30</v>
      </c>
      <c r="AK212" s="15">
        <v>10</v>
      </c>
      <c r="AL212" s="15">
        <v>30</v>
      </c>
      <c r="AM212" s="15">
        <f t="shared" si="40"/>
        <v>70</v>
      </c>
      <c r="AN212" s="29">
        <f t="shared" si="44"/>
        <v>825</v>
      </c>
      <c r="AO212" s="19">
        <v>674</v>
      </c>
      <c r="AP212" s="21">
        <v>0</v>
      </c>
      <c r="AQ212" s="22">
        <v>1</v>
      </c>
      <c r="AR212" s="26">
        <f t="shared" si="30"/>
        <v>673</v>
      </c>
      <c r="AS212" s="37">
        <f t="shared" si="45"/>
        <v>1</v>
      </c>
      <c r="AT212" s="38">
        <f t="shared" si="36"/>
        <v>0.81696969696969701</v>
      </c>
      <c r="AU212" s="38">
        <f t="shared" si="46"/>
        <v>0.99851632047477745</v>
      </c>
      <c r="AV212" s="27">
        <f t="shared" si="47"/>
        <v>0.81575757575757579</v>
      </c>
    </row>
    <row r="213" spans="1:48" s="1" customFormat="1" ht="23.1" customHeight="1" x14ac:dyDescent="0.25">
      <c r="A213" s="109">
        <v>46038</v>
      </c>
      <c r="B213" s="47" t="s">
        <v>49</v>
      </c>
      <c r="C213" s="80" t="s">
        <v>51</v>
      </c>
      <c r="D213" s="47" t="s">
        <v>89</v>
      </c>
      <c r="E213" s="48">
        <v>98992</v>
      </c>
      <c r="F213" s="48" t="s">
        <v>169</v>
      </c>
      <c r="G213" s="48" t="s">
        <v>87</v>
      </c>
      <c r="H213" s="30">
        <v>11682</v>
      </c>
      <c r="I213" s="30"/>
      <c r="J213" s="30">
        <v>32</v>
      </c>
      <c r="K213" s="28">
        <f t="shared" si="41"/>
        <v>112.5</v>
      </c>
      <c r="L213" s="31">
        <v>0.58333333333333337</v>
      </c>
      <c r="M213" s="31">
        <v>0.9375</v>
      </c>
      <c r="N213" s="32">
        <f t="shared" si="35"/>
        <v>0.35416666666666663</v>
      </c>
      <c r="O213" s="36">
        <v>510</v>
      </c>
      <c r="P213" s="36">
        <f t="shared" si="42"/>
        <v>440</v>
      </c>
      <c r="Q213" s="36">
        <f t="shared" si="43"/>
        <v>440</v>
      </c>
      <c r="R213" s="15">
        <v>0</v>
      </c>
      <c r="S213" s="20">
        <v>0</v>
      </c>
      <c r="T213" s="16">
        <v>0</v>
      </c>
      <c r="U213" s="16">
        <v>0</v>
      </c>
      <c r="V213" s="20">
        <v>0</v>
      </c>
      <c r="W213" s="20">
        <v>0</v>
      </c>
      <c r="X213" s="20">
        <v>0</v>
      </c>
      <c r="Y213" s="20">
        <v>0</v>
      </c>
      <c r="Z213" s="20">
        <v>0</v>
      </c>
      <c r="AA213" s="20">
        <v>0</v>
      </c>
      <c r="AB213" s="20">
        <v>0</v>
      </c>
      <c r="AC213" s="20">
        <v>0</v>
      </c>
      <c r="AD213" s="15">
        <f t="shared" si="39"/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  <c r="AJ213" s="15">
        <v>30</v>
      </c>
      <c r="AK213" s="15">
        <v>10</v>
      </c>
      <c r="AL213" s="15">
        <v>30</v>
      </c>
      <c r="AM213" s="15">
        <f t="shared" si="40"/>
        <v>70</v>
      </c>
      <c r="AN213" s="29">
        <f t="shared" si="44"/>
        <v>825</v>
      </c>
      <c r="AO213" s="19">
        <v>666</v>
      </c>
      <c r="AP213" s="21">
        <v>0</v>
      </c>
      <c r="AQ213" s="22">
        <v>0</v>
      </c>
      <c r="AR213" s="26">
        <f t="shared" si="30"/>
        <v>666</v>
      </c>
      <c r="AS213" s="37">
        <f t="shared" si="45"/>
        <v>1</v>
      </c>
      <c r="AT213" s="38">
        <f t="shared" si="36"/>
        <v>0.80727272727272725</v>
      </c>
      <c r="AU213" s="38">
        <f t="shared" si="46"/>
        <v>1</v>
      </c>
      <c r="AV213" s="27">
        <f t="shared" si="47"/>
        <v>0.80727272727272725</v>
      </c>
    </row>
    <row r="214" spans="1:48" s="1" customFormat="1" ht="23.1" customHeight="1" x14ac:dyDescent="0.25">
      <c r="A214" s="109">
        <v>46038</v>
      </c>
      <c r="B214" s="47" t="s">
        <v>49</v>
      </c>
      <c r="C214" s="80" t="s">
        <v>51</v>
      </c>
      <c r="D214" s="47" t="s">
        <v>52</v>
      </c>
      <c r="E214" s="48">
        <v>98992</v>
      </c>
      <c r="F214" s="48" t="s">
        <v>53</v>
      </c>
      <c r="G214" s="48" t="s">
        <v>87</v>
      </c>
      <c r="H214" s="30">
        <v>15126</v>
      </c>
      <c r="I214" s="30"/>
      <c r="J214" s="30">
        <v>32</v>
      </c>
      <c r="K214" s="28">
        <f t="shared" si="41"/>
        <v>112.5</v>
      </c>
      <c r="L214" s="31">
        <v>0.58333333333333337</v>
      </c>
      <c r="M214" s="31">
        <v>0.9375</v>
      </c>
      <c r="N214" s="32">
        <f t="shared" si="35"/>
        <v>0.35416666666666663</v>
      </c>
      <c r="O214" s="36">
        <v>510</v>
      </c>
      <c r="P214" s="36">
        <f t="shared" si="42"/>
        <v>440</v>
      </c>
      <c r="Q214" s="36">
        <f t="shared" si="43"/>
        <v>440</v>
      </c>
      <c r="R214" s="15">
        <v>0</v>
      </c>
      <c r="S214" s="20">
        <v>0</v>
      </c>
      <c r="T214" s="16">
        <v>0</v>
      </c>
      <c r="U214" s="16">
        <v>0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15">
        <f t="shared" si="39"/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  <c r="AJ214" s="15">
        <v>30</v>
      </c>
      <c r="AK214" s="15">
        <v>10</v>
      </c>
      <c r="AL214" s="15">
        <v>30</v>
      </c>
      <c r="AM214" s="15">
        <f t="shared" si="40"/>
        <v>70</v>
      </c>
      <c r="AN214" s="29">
        <f t="shared" si="44"/>
        <v>825</v>
      </c>
      <c r="AO214" s="19">
        <v>604</v>
      </c>
      <c r="AP214" s="21">
        <v>0</v>
      </c>
      <c r="AQ214" s="22">
        <v>1</v>
      </c>
      <c r="AR214" s="26">
        <f t="shared" si="30"/>
        <v>603</v>
      </c>
      <c r="AS214" s="37">
        <f t="shared" si="45"/>
        <v>1</v>
      </c>
      <c r="AT214" s="38">
        <f t="shared" si="36"/>
        <v>0.73212121212121217</v>
      </c>
      <c r="AU214" s="38">
        <f t="shared" si="46"/>
        <v>0.9983443708609272</v>
      </c>
      <c r="AV214" s="27">
        <f t="shared" si="47"/>
        <v>0.73090909090909095</v>
      </c>
    </row>
    <row r="215" spans="1:48" s="1" customFormat="1" ht="23.1" customHeight="1" x14ac:dyDescent="0.25">
      <c r="A215" s="109">
        <v>46038</v>
      </c>
      <c r="B215" s="47" t="s">
        <v>49</v>
      </c>
      <c r="C215" s="80" t="s">
        <v>51</v>
      </c>
      <c r="D215" s="47" t="s">
        <v>86</v>
      </c>
      <c r="E215" s="48">
        <v>98992</v>
      </c>
      <c r="F215" s="48" t="s">
        <v>176</v>
      </c>
      <c r="G215" s="48" t="s">
        <v>87</v>
      </c>
      <c r="H215" s="30">
        <v>15688</v>
      </c>
      <c r="I215" s="30"/>
      <c r="J215" s="30">
        <v>20</v>
      </c>
      <c r="K215" s="28">
        <f t="shared" si="41"/>
        <v>180</v>
      </c>
      <c r="L215" s="31">
        <v>0.58333333333333337</v>
      </c>
      <c r="M215" s="31">
        <v>0.9375</v>
      </c>
      <c r="N215" s="32">
        <f t="shared" si="35"/>
        <v>0.35416666666666663</v>
      </c>
      <c r="O215" s="36">
        <v>510</v>
      </c>
      <c r="P215" s="36">
        <f t="shared" si="42"/>
        <v>320</v>
      </c>
      <c r="Q215" s="36">
        <f t="shared" si="43"/>
        <v>320</v>
      </c>
      <c r="R215" s="15">
        <v>0</v>
      </c>
      <c r="S215" s="20">
        <v>0</v>
      </c>
      <c r="T215" s="16">
        <v>0</v>
      </c>
      <c r="U215" s="16">
        <v>0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15">
        <f t="shared" si="39"/>
        <v>0</v>
      </c>
      <c r="AE215" s="15">
        <v>0</v>
      </c>
      <c r="AF215" s="15">
        <v>0</v>
      </c>
      <c r="AG215" s="15">
        <v>0</v>
      </c>
      <c r="AH215" s="15">
        <v>120</v>
      </c>
      <c r="AI215" s="15">
        <v>0</v>
      </c>
      <c r="AJ215" s="15">
        <v>30</v>
      </c>
      <c r="AK215" s="15">
        <v>10</v>
      </c>
      <c r="AL215" s="15">
        <v>30</v>
      </c>
      <c r="AM215" s="15">
        <f t="shared" ref="AM215:AM278" si="48">SUM(AE215:AL215)</f>
        <v>190</v>
      </c>
      <c r="AN215" s="29">
        <f t="shared" si="44"/>
        <v>960</v>
      </c>
      <c r="AO215" s="19">
        <v>664</v>
      </c>
      <c r="AP215" s="21">
        <v>0</v>
      </c>
      <c r="AQ215" s="22">
        <v>0</v>
      </c>
      <c r="AR215" s="26">
        <f t="shared" si="30"/>
        <v>664</v>
      </c>
      <c r="AS215" s="37">
        <f t="shared" si="45"/>
        <v>1</v>
      </c>
      <c r="AT215" s="38">
        <f t="shared" si="36"/>
        <v>0.69166666666666665</v>
      </c>
      <c r="AU215" s="38">
        <f t="shared" si="46"/>
        <v>1</v>
      </c>
      <c r="AV215" s="27">
        <f t="shared" si="47"/>
        <v>0.69166666666666665</v>
      </c>
    </row>
    <row r="216" spans="1:48" s="1" customFormat="1" ht="23.1" customHeight="1" x14ac:dyDescent="0.25">
      <c r="A216" s="109">
        <v>46038</v>
      </c>
      <c r="B216" s="47" t="s">
        <v>49</v>
      </c>
      <c r="C216" s="80" t="s">
        <v>51</v>
      </c>
      <c r="D216" s="47" t="s">
        <v>172</v>
      </c>
      <c r="E216" s="48">
        <v>98992</v>
      </c>
      <c r="F216" s="48" t="s">
        <v>175</v>
      </c>
      <c r="G216" s="48" t="s">
        <v>87</v>
      </c>
      <c r="H216" s="30">
        <v>15672</v>
      </c>
      <c r="I216" s="30"/>
      <c r="J216" s="30">
        <v>20</v>
      </c>
      <c r="K216" s="28">
        <f t="shared" si="41"/>
        <v>180</v>
      </c>
      <c r="L216" s="31">
        <v>0.58333333333333337</v>
      </c>
      <c r="M216" s="31">
        <v>0.9375</v>
      </c>
      <c r="N216" s="32">
        <f t="shared" si="35"/>
        <v>0.35416666666666663</v>
      </c>
      <c r="O216" s="36">
        <v>510</v>
      </c>
      <c r="P216" s="36">
        <f t="shared" si="42"/>
        <v>220</v>
      </c>
      <c r="Q216" s="36">
        <f t="shared" si="43"/>
        <v>220</v>
      </c>
      <c r="R216" s="15">
        <v>0</v>
      </c>
      <c r="S216" s="20">
        <v>0</v>
      </c>
      <c r="T216" s="16">
        <v>0</v>
      </c>
      <c r="U216" s="16">
        <v>0</v>
      </c>
      <c r="V216" s="20">
        <v>0</v>
      </c>
      <c r="W216" s="20">
        <v>0</v>
      </c>
      <c r="X216" s="20">
        <v>0</v>
      </c>
      <c r="Y216" s="20">
        <v>0</v>
      </c>
      <c r="Z216" s="20">
        <v>0</v>
      </c>
      <c r="AA216" s="20">
        <v>0</v>
      </c>
      <c r="AB216" s="20">
        <v>0</v>
      </c>
      <c r="AC216" s="20">
        <v>0</v>
      </c>
      <c r="AD216" s="15">
        <f t="shared" ref="AD216:AD279" si="49">SUM(R216:AC216)</f>
        <v>0</v>
      </c>
      <c r="AE216" s="15">
        <v>0</v>
      </c>
      <c r="AF216" s="15">
        <v>0</v>
      </c>
      <c r="AG216" s="15">
        <v>0</v>
      </c>
      <c r="AH216" s="15">
        <v>220</v>
      </c>
      <c r="AI216" s="15">
        <v>0</v>
      </c>
      <c r="AJ216" s="15">
        <v>30</v>
      </c>
      <c r="AK216" s="15">
        <v>10</v>
      </c>
      <c r="AL216" s="15">
        <v>30</v>
      </c>
      <c r="AM216" s="15">
        <f t="shared" si="48"/>
        <v>290</v>
      </c>
      <c r="AN216" s="29">
        <f t="shared" si="44"/>
        <v>660</v>
      </c>
      <c r="AO216" s="19">
        <v>450</v>
      </c>
      <c r="AP216" s="21">
        <v>0</v>
      </c>
      <c r="AQ216" s="22">
        <v>0</v>
      </c>
      <c r="AR216" s="26">
        <f t="shared" si="30"/>
        <v>450</v>
      </c>
      <c r="AS216" s="37">
        <f t="shared" si="45"/>
        <v>1</v>
      </c>
      <c r="AT216" s="38">
        <f t="shared" si="36"/>
        <v>0.68181818181818177</v>
      </c>
      <c r="AU216" s="38">
        <f t="shared" si="46"/>
        <v>1</v>
      </c>
      <c r="AV216" s="27">
        <f t="shared" si="47"/>
        <v>0.68181818181818177</v>
      </c>
    </row>
    <row r="217" spans="1:48" s="1" customFormat="1" ht="23.1" customHeight="1" x14ac:dyDescent="0.25">
      <c r="A217" s="109">
        <v>46038</v>
      </c>
      <c r="B217" s="47" t="s">
        <v>49</v>
      </c>
      <c r="C217" s="80" t="s">
        <v>51</v>
      </c>
      <c r="D217" s="47" t="s">
        <v>124</v>
      </c>
      <c r="E217" s="48">
        <v>98992</v>
      </c>
      <c r="F217" s="48" t="s">
        <v>215</v>
      </c>
      <c r="G217" s="48" t="s">
        <v>125</v>
      </c>
      <c r="H217" s="30">
        <v>14972</v>
      </c>
      <c r="I217" s="30"/>
      <c r="J217" s="30">
        <v>32</v>
      </c>
      <c r="K217" s="28">
        <f t="shared" si="41"/>
        <v>112.5</v>
      </c>
      <c r="L217" s="31">
        <v>0.58333333333333337</v>
      </c>
      <c r="M217" s="31">
        <v>0.9375</v>
      </c>
      <c r="N217" s="32">
        <f t="shared" si="35"/>
        <v>0.35416666666666663</v>
      </c>
      <c r="O217" s="36">
        <v>510</v>
      </c>
      <c r="P217" s="36">
        <f t="shared" si="42"/>
        <v>320</v>
      </c>
      <c r="Q217" s="36">
        <f t="shared" si="43"/>
        <v>320</v>
      </c>
      <c r="R217" s="15">
        <v>0</v>
      </c>
      <c r="S217" s="20">
        <v>0</v>
      </c>
      <c r="T217" s="16">
        <v>0</v>
      </c>
      <c r="U217" s="16">
        <v>0</v>
      </c>
      <c r="V217" s="20">
        <v>0</v>
      </c>
      <c r="W217" s="20">
        <v>0</v>
      </c>
      <c r="X217" s="20">
        <v>0</v>
      </c>
      <c r="Y217" s="20">
        <v>0</v>
      </c>
      <c r="Z217" s="20">
        <v>0</v>
      </c>
      <c r="AA217" s="20">
        <v>0</v>
      </c>
      <c r="AB217" s="20">
        <v>0</v>
      </c>
      <c r="AC217" s="20">
        <v>0</v>
      </c>
      <c r="AD217" s="15">
        <f t="shared" si="49"/>
        <v>0</v>
      </c>
      <c r="AE217" s="15">
        <v>0</v>
      </c>
      <c r="AF217" s="15">
        <v>0</v>
      </c>
      <c r="AG217" s="15">
        <v>0</v>
      </c>
      <c r="AH217" s="15">
        <v>120</v>
      </c>
      <c r="AI217" s="15">
        <v>0</v>
      </c>
      <c r="AJ217" s="15">
        <v>30</v>
      </c>
      <c r="AK217" s="15">
        <v>10</v>
      </c>
      <c r="AL217" s="15">
        <v>30</v>
      </c>
      <c r="AM217" s="15">
        <f t="shared" si="48"/>
        <v>190</v>
      </c>
      <c r="AN217" s="29">
        <f t="shared" si="44"/>
        <v>600</v>
      </c>
      <c r="AO217" s="19">
        <v>488</v>
      </c>
      <c r="AP217" s="21">
        <v>0</v>
      </c>
      <c r="AQ217" s="22">
        <v>0</v>
      </c>
      <c r="AR217" s="26">
        <f t="shared" si="30"/>
        <v>488</v>
      </c>
      <c r="AS217" s="37">
        <f t="shared" si="45"/>
        <v>1</v>
      </c>
      <c r="AT217" s="38">
        <f t="shared" si="36"/>
        <v>0.81333333333333335</v>
      </c>
      <c r="AU217" s="38">
        <f t="shared" si="46"/>
        <v>1</v>
      </c>
      <c r="AV217" s="27">
        <f t="shared" si="47"/>
        <v>0.81333333333333335</v>
      </c>
    </row>
    <row r="218" spans="1:48" s="1" customFormat="1" ht="23.1" customHeight="1" x14ac:dyDescent="0.25">
      <c r="A218" s="109">
        <v>46038</v>
      </c>
      <c r="B218" s="47" t="s">
        <v>49</v>
      </c>
      <c r="C218" s="80" t="s">
        <v>51</v>
      </c>
      <c r="D218" s="47" t="s">
        <v>122</v>
      </c>
      <c r="E218" s="48">
        <v>98992</v>
      </c>
      <c r="F218" s="48" t="s">
        <v>169</v>
      </c>
      <c r="G218" s="48" t="s">
        <v>125</v>
      </c>
      <c r="H218" s="30">
        <v>15676</v>
      </c>
      <c r="I218" s="30"/>
      <c r="J218" s="30">
        <v>32</v>
      </c>
      <c r="K218" s="28">
        <f t="shared" si="41"/>
        <v>112.5</v>
      </c>
      <c r="L218" s="31">
        <v>0.58333333333333337</v>
      </c>
      <c r="M218" s="31">
        <v>0.9375</v>
      </c>
      <c r="N218" s="32">
        <f t="shared" si="35"/>
        <v>0.35416666666666663</v>
      </c>
      <c r="O218" s="36">
        <v>510</v>
      </c>
      <c r="P218" s="36">
        <f t="shared" si="42"/>
        <v>440</v>
      </c>
      <c r="Q218" s="36">
        <f t="shared" si="43"/>
        <v>440</v>
      </c>
      <c r="R218" s="15">
        <v>0</v>
      </c>
      <c r="S218" s="20">
        <v>0</v>
      </c>
      <c r="T218" s="16">
        <v>0</v>
      </c>
      <c r="U218" s="16">
        <v>0</v>
      </c>
      <c r="V218" s="20">
        <v>0</v>
      </c>
      <c r="W218" s="20">
        <v>0</v>
      </c>
      <c r="X218" s="20">
        <v>0</v>
      </c>
      <c r="Y218" s="20">
        <v>0</v>
      </c>
      <c r="Z218" s="20">
        <v>0</v>
      </c>
      <c r="AA218" s="20">
        <v>0</v>
      </c>
      <c r="AB218" s="20">
        <v>0</v>
      </c>
      <c r="AC218" s="20">
        <v>0</v>
      </c>
      <c r="AD218" s="15">
        <f t="shared" si="49"/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  <c r="AJ218" s="15">
        <v>30</v>
      </c>
      <c r="AK218" s="15">
        <v>10</v>
      </c>
      <c r="AL218" s="15">
        <v>30</v>
      </c>
      <c r="AM218" s="15">
        <f t="shared" si="48"/>
        <v>70</v>
      </c>
      <c r="AN218" s="29">
        <f t="shared" si="44"/>
        <v>825</v>
      </c>
      <c r="AO218" s="19">
        <v>601</v>
      </c>
      <c r="AP218" s="21">
        <v>0</v>
      </c>
      <c r="AQ218" s="22">
        <v>0</v>
      </c>
      <c r="AR218" s="26">
        <f t="shared" si="30"/>
        <v>601</v>
      </c>
      <c r="AS218" s="37">
        <f t="shared" si="45"/>
        <v>1</v>
      </c>
      <c r="AT218" s="38">
        <f t="shared" si="36"/>
        <v>0.72848484848484851</v>
      </c>
      <c r="AU218" s="38">
        <f t="shared" si="46"/>
        <v>1</v>
      </c>
      <c r="AV218" s="27">
        <f t="shared" si="47"/>
        <v>0.72848484848484851</v>
      </c>
    </row>
    <row r="219" spans="1:48" s="1" customFormat="1" ht="23.1" customHeight="1" x14ac:dyDescent="0.25">
      <c r="A219" s="109">
        <v>46038</v>
      </c>
      <c r="B219" s="47" t="s">
        <v>49</v>
      </c>
      <c r="C219" s="80" t="s">
        <v>51</v>
      </c>
      <c r="D219" s="47" t="s">
        <v>128</v>
      </c>
      <c r="E219" s="48">
        <v>98992</v>
      </c>
      <c r="F219" s="48" t="s">
        <v>53</v>
      </c>
      <c r="G219" s="48" t="s">
        <v>125</v>
      </c>
      <c r="H219" s="30">
        <v>16000</v>
      </c>
      <c r="I219" s="30"/>
      <c r="J219" s="30">
        <v>32</v>
      </c>
      <c r="K219" s="28">
        <f t="shared" si="41"/>
        <v>112.5</v>
      </c>
      <c r="L219" s="31">
        <v>0.58333333333333337</v>
      </c>
      <c r="M219" s="31">
        <v>0.9375</v>
      </c>
      <c r="N219" s="32">
        <f t="shared" si="35"/>
        <v>0.35416666666666663</v>
      </c>
      <c r="O219" s="36">
        <v>510</v>
      </c>
      <c r="P219" s="36">
        <f t="shared" si="42"/>
        <v>440</v>
      </c>
      <c r="Q219" s="36">
        <f t="shared" si="43"/>
        <v>440</v>
      </c>
      <c r="R219" s="15">
        <v>0</v>
      </c>
      <c r="S219" s="20">
        <v>0</v>
      </c>
      <c r="T219" s="16">
        <v>0</v>
      </c>
      <c r="U219" s="16">
        <v>0</v>
      </c>
      <c r="V219" s="20">
        <v>0</v>
      </c>
      <c r="W219" s="20">
        <v>0</v>
      </c>
      <c r="X219" s="20">
        <v>0</v>
      </c>
      <c r="Y219" s="20">
        <v>0</v>
      </c>
      <c r="Z219" s="20">
        <v>0</v>
      </c>
      <c r="AA219" s="20">
        <v>0</v>
      </c>
      <c r="AB219" s="20">
        <v>0</v>
      </c>
      <c r="AC219" s="20">
        <v>0</v>
      </c>
      <c r="AD219" s="15">
        <f t="shared" si="49"/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  <c r="AJ219" s="15">
        <v>30</v>
      </c>
      <c r="AK219" s="15">
        <v>10</v>
      </c>
      <c r="AL219" s="15">
        <v>30</v>
      </c>
      <c r="AM219" s="15">
        <f t="shared" si="48"/>
        <v>70</v>
      </c>
      <c r="AN219" s="29">
        <f t="shared" si="44"/>
        <v>825</v>
      </c>
      <c r="AO219" s="19">
        <v>650</v>
      </c>
      <c r="AP219" s="21">
        <v>0</v>
      </c>
      <c r="AQ219" s="22">
        <v>1</v>
      </c>
      <c r="AR219" s="26">
        <f t="shared" si="30"/>
        <v>649</v>
      </c>
      <c r="AS219" s="37">
        <f t="shared" si="45"/>
        <v>1</v>
      </c>
      <c r="AT219" s="38">
        <f t="shared" si="36"/>
        <v>0.78787878787878785</v>
      </c>
      <c r="AU219" s="38">
        <f t="shared" si="46"/>
        <v>0.99846153846153851</v>
      </c>
      <c r="AV219" s="27">
        <f t="shared" si="47"/>
        <v>0.78666666666666663</v>
      </c>
    </row>
    <row r="220" spans="1:48" s="1" customFormat="1" ht="23.1" customHeight="1" x14ac:dyDescent="0.25">
      <c r="A220" s="109">
        <v>46038</v>
      </c>
      <c r="B220" s="47" t="s">
        <v>49</v>
      </c>
      <c r="C220" s="80" t="s">
        <v>51</v>
      </c>
      <c r="D220" s="47" t="s">
        <v>170</v>
      </c>
      <c r="E220" s="48">
        <v>98992</v>
      </c>
      <c r="F220" s="48" t="s">
        <v>176</v>
      </c>
      <c r="G220" s="48" t="s">
        <v>125</v>
      </c>
      <c r="H220" s="30">
        <v>15859</v>
      </c>
      <c r="I220" s="30"/>
      <c r="J220" s="30">
        <v>20</v>
      </c>
      <c r="K220" s="28">
        <f t="shared" si="41"/>
        <v>180</v>
      </c>
      <c r="L220" s="31">
        <v>0.58333333333333337</v>
      </c>
      <c r="M220" s="31">
        <v>0.9375</v>
      </c>
      <c r="N220" s="32">
        <f t="shared" si="35"/>
        <v>0.35416666666666663</v>
      </c>
      <c r="O220" s="36">
        <v>510</v>
      </c>
      <c r="P220" s="36">
        <f t="shared" si="42"/>
        <v>320</v>
      </c>
      <c r="Q220" s="36">
        <f t="shared" si="43"/>
        <v>320</v>
      </c>
      <c r="R220" s="15">
        <v>0</v>
      </c>
      <c r="S220" s="20">
        <v>0</v>
      </c>
      <c r="T220" s="16">
        <v>0</v>
      </c>
      <c r="U220" s="16">
        <v>0</v>
      </c>
      <c r="V220" s="20">
        <v>0</v>
      </c>
      <c r="W220" s="20">
        <v>0</v>
      </c>
      <c r="X220" s="20">
        <v>0</v>
      </c>
      <c r="Y220" s="20">
        <v>0</v>
      </c>
      <c r="Z220" s="20">
        <v>0</v>
      </c>
      <c r="AA220" s="20">
        <v>0</v>
      </c>
      <c r="AB220" s="20">
        <v>0</v>
      </c>
      <c r="AC220" s="20">
        <v>0</v>
      </c>
      <c r="AD220" s="15">
        <f t="shared" si="49"/>
        <v>0</v>
      </c>
      <c r="AE220" s="15">
        <v>0</v>
      </c>
      <c r="AF220" s="15">
        <v>0</v>
      </c>
      <c r="AG220" s="15">
        <v>0</v>
      </c>
      <c r="AH220" s="15">
        <v>120</v>
      </c>
      <c r="AI220" s="15">
        <v>0</v>
      </c>
      <c r="AJ220" s="15">
        <v>30</v>
      </c>
      <c r="AK220" s="15">
        <v>10</v>
      </c>
      <c r="AL220" s="15">
        <v>30</v>
      </c>
      <c r="AM220" s="15">
        <f t="shared" si="48"/>
        <v>190</v>
      </c>
      <c r="AN220" s="29">
        <f t="shared" si="44"/>
        <v>960</v>
      </c>
      <c r="AO220" s="19">
        <v>876</v>
      </c>
      <c r="AP220" s="21">
        <v>0</v>
      </c>
      <c r="AQ220" s="22">
        <v>1</v>
      </c>
      <c r="AR220" s="26">
        <f t="shared" si="30"/>
        <v>875</v>
      </c>
      <c r="AS220" s="37">
        <f t="shared" si="45"/>
        <v>1</v>
      </c>
      <c r="AT220" s="38">
        <f t="shared" si="36"/>
        <v>0.91249999999999998</v>
      </c>
      <c r="AU220" s="38">
        <f t="shared" si="46"/>
        <v>0.99885844748858443</v>
      </c>
      <c r="AV220" s="27">
        <f t="shared" si="47"/>
        <v>0.91145833333333326</v>
      </c>
    </row>
    <row r="221" spans="1:48" s="1" customFormat="1" ht="23.1" customHeight="1" x14ac:dyDescent="0.25">
      <c r="A221" s="109">
        <v>46038</v>
      </c>
      <c r="B221" s="47" t="s">
        <v>49</v>
      </c>
      <c r="C221" s="90" t="s">
        <v>51</v>
      </c>
      <c r="D221" s="47" t="s">
        <v>127</v>
      </c>
      <c r="E221" s="48">
        <v>98992</v>
      </c>
      <c r="F221" s="48" t="s">
        <v>175</v>
      </c>
      <c r="G221" s="48" t="s">
        <v>125</v>
      </c>
      <c r="H221" s="30">
        <v>15882</v>
      </c>
      <c r="I221" s="30"/>
      <c r="J221" s="30">
        <v>20</v>
      </c>
      <c r="K221" s="28">
        <f t="shared" si="41"/>
        <v>180</v>
      </c>
      <c r="L221" s="31">
        <v>0.58333333333333337</v>
      </c>
      <c r="M221" s="31">
        <v>0.9375</v>
      </c>
      <c r="N221" s="32">
        <f t="shared" si="35"/>
        <v>0.35416666666666663</v>
      </c>
      <c r="O221" s="36">
        <v>510</v>
      </c>
      <c r="P221" s="36">
        <f t="shared" si="42"/>
        <v>160</v>
      </c>
      <c r="Q221" s="36">
        <f t="shared" si="43"/>
        <v>160</v>
      </c>
      <c r="R221" s="15">
        <v>0</v>
      </c>
      <c r="S221" s="20">
        <v>0</v>
      </c>
      <c r="T221" s="16">
        <v>0</v>
      </c>
      <c r="U221" s="16">
        <v>0</v>
      </c>
      <c r="V221" s="20">
        <v>0</v>
      </c>
      <c r="W221" s="20">
        <v>0</v>
      </c>
      <c r="X221" s="20">
        <v>0</v>
      </c>
      <c r="Y221" s="20">
        <v>0</v>
      </c>
      <c r="Z221" s="20">
        <v>0</v>
      </c>
      <c r="AA221" s="20">
        <v>0</v>
      </c>
      <c r="AB221" s="20">
        <v>0</v>
      </c>
      <c r="AC221" s="20">
        <v>0</v>
      </c>
      <c r="AD221" s="15">
        <f t="shared" si="49"/>
        <v>0</v>
      </c>
      <c r="AE221" s="15">
        <v>0</v>
      </c>
      <c r="AF221" s="15">
        <v>0</v>
      </c>
      <c r="AG221" s="15">
        <v>0</v>
      </c>
      <c r="AH221" s="15">
        <v>280</v>
      </c>
      <c r="AI221" s="15">
        <v>0</v>
      </c>
      <c r="AJ221" s="15">
        <v>30</v>
      </c>
      <c r="AK221" s="15">
        <v>10</v>
      </c>
      <c r="AL221" s="15">
        <v>30</v>
      </c>
      <c r="AM221" s="15">
        <f t="shared" si="48"/>
        <v>350</v>
      </c>
      <c r="AN221" s="29">
        <f t="shared" si="44"/>
        <v>480</v>
      </c>
      <c r="AO221" s="19">
        <v>372</v>
      </c>
      <c r="AP221" s="21">
        <v>0</v>
      </c>
      <c r="AQ221" s="22">
        <v>0</v>
      </c>
      <c r="AR221" s="26">
        <f t="shared" si="30"/>
        <v>372</v>
      </c>
      <c r="AS221" s="37">
        <f t="shared" si="45"/>
        <v>1</v>
      </c>
      <c r="AT221" s="38">
        <f t="shared" si="36"/>
        <v>0.77500000000000002</v>
      </c>
      <c r="AU221" s="38">
        <f t="shared" si="46"/>
        <v>1</v>
      </c>
      <c r="AV221" s="27">
        <f t="shared" si="47"/>
        <v>0.77500000000000002</v>
      </c>
    </row>
    <row r="222" spans="1:48" s="1" customFormat="1" ht="23.1" customHeight="1" x14ac:dyDescent="0.25">
      <c r="A222" s="109">
        <v>46039</v>
      </c>
      <c r="B222" s="47" t="s">
        <v>49</v>
      </c>
      <c r="C222" s="90" t="s">
        <v>21</v>
      </c>
      <c r="D222" s="47" t="s">
        <v>94</v>
      </c>
      <c r="E222" s="48">
        <v>98992</v>
      </c>
      <c r="F222" s="48" t="s">
        <v>67</v>
      </c>
      <c r="G222" s="48" t="s">
        <v>174</v>
      </c>
      <c r="H222" s="30">
        <v>13562</v>
      </c>
      <c r="I222" s="30"/>
      <c r="J222" s="30">
        <v>24</v>
      </c>
      <c r="K222" s="28">
        <f t="shared" si="41"/>
        <v>150</v>
      </c>
      <c r="L222" s="31">
        <v>0.25</v>
      </c>
      <c r="M222" s="31">
        <v>0.60416666666666696</v>
      </c>
      <c r="N222" s="32">
        <f t="shared" si="35"/>
        <v>0.35416666666666696</v>
      </c>
      <c r="O222" s="36">
        <v>510</v>
      </c>
      <c r="P222" s="36">
        <f t="shared" si="42"/>
        <v>440</v>
      </c>
      <c r="Q222" s="36">
        <f t="shared" si="43"/>
        <v>440</v>
      </c>
      <c r="R222" s="15">
        <v>0</v>
      </c>
      <c r="S222" s="20">
        <v>0</v>
      </c>
      <c r="T222" s="16">
        <v>0</v>
      </c>
      <c r="U222" s="16">
        <v>0</v>
      </c>
      <c r="V222" s="20">
        <v>0</v>
      </c>
      <c r="W222" s="20">
        <v>0</v>
      </c>
      <c r="X222" s="20">
        <v>0</v>
      </c>
      <c r="Y222" s="20">
        <v>0</v>
      </c>
      <c r="Z222" s="20">
        <v>0</v>
      </c>
      <c r="AA222" s="20">
        <v>0</v>
      </c>
      <c r="AB222" s="20">
        <v>0</v>
      </c>
      <c r="AC222" s="20">
        <v>0</v>
      </c>
      <c r="AD222" s="15">
        <f t="shared" si="49"/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  <c r="AJ222" s="15">
        <v>30</v>
      </c>
      <c r="AK222" s="15">
        <v>10</v>
      </c>
      <c r="AL222" s="15">
        <v>30</v>
      </c>
      <c r="AM222" s="15">
        <f t="shared" si="48"/>
        <v>70</v>
      </c>
      <c r="AN222" s="29">
        <f t="shared" si="44"/>
        <v>1100</v>
      </c>
      <c r="AO222" s="19">
        <v>972</v>
      </c>
      <c r="AP222" s="21">
        <v>0</v>
      </c>
      <c r="AQ222" s="22">
        <v>62</v>
      </c>
      <c r="AR222" s="26">
        <f t="shared" ref="AR222:AR301" si="50">AO222-(AQ222+AP222)</f>
        <v>910</v>
      </c>
      <c r="AS222" s="37">
        <f t="shared" si="45"/>
        <v>1</v>
      </c>
      <c r="AT222" s="38">
        <f t="shared" si="36"/>
        <v>0.88363636363636366</v>
      </c>
      <c r="AU222" s="38">
        <f t="shared" si="46"/>
        <v>0.93621399176954734</v>
      </c>
      <c r="AV222" s="27">
        <f t="shared" si="47"/>
        <v>0.82727272727272727</v>
      </c>
    </row>
    <row r="223" spans="1:48" s="1" customFormat="1" ht="23.1" customHeight="1" x14ac:dyDescent="0.25">
      <c r="A223" s="109">
        <v>46039</v>
      </c>
      <c r="B223" s="47" t="s">
        <v>49</v>
      </c>
      <c r="C223" s="90" t="s">
        <v>21</v>
      </c>
      <c r="D223" s="47" t="s">
        <v>88</v>
      </c>
      <c r="E223" s="48">
        <v>98992</v>
      </c>
      <c r="F223" s="48" t="s">
        <v>126</v>
      </c>
      <c r="G223" s="48" t="s">
        <v>87</v>
      </c>
      <c r="H223" s="30">
        <v>13106</v>
      </c>
      <c r="I223" s="30"/>
      <c r="J223" s="30">
        <v>32</v>
      </c>
      <c r="K223" s="28">
        <f t="shared" si="41"/>
        <v>112.5</v>
      </c>
      <c r="L223" s="31">
        <v>0.25</v>
      </c>
      <c r="M223" s="31">
        <v>0.60416666666666696</v>
      </c>
      <c r="N223" s="32">
        <f t="shared" ref="N223:N287" si="51">IF(M223&gt;L223,M223-L223,1+M223-L223)</f>
        <v>0.35416666666666696</v>
      </c>
      <c r="O223" s="36">
        <v>510</v>
      </c>
      <c r="P223" s="36">
        <f t="shared" si="42"/>
        <v>440</v>
      </c>
      <c r="Q223" s="36">
        <f t="shared" si="43"/>
        <v>440</v>
      </c>
      <c r="R223" s="15">
        <v>0</v>
      </c>
      <c r="S223" s="20">
        <v>0</v>
      </c>
      <c r="T223" s="16">
        <v>0</v>
      </c>
      <c r="U223" s="16">
        <v>0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15">
        <f t="shared" si="49"/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  <c r="AJ223" s="15">
        <v>30</v>
      </c>
      <c r="AK223" s="15">
        <v>10</v>
      </c>
      <c r="AL223" s="15">
        <v>30</v>
      </c>
      <c r="AM223" s="15">
        <f t="shared" si="48"/>
        <v>70</v>
      </c>
      <c r="AN223" s="29">
        <f t="shared" si="44"/>
        <v>825</v>
      </c>
      <c r="AO223" s="19">
        <v>700</v>
      </c>
      <c r="AP223" s="21">
        <v>0</v>
      </c>
      <c r="AQ223" s="22">
        <v>1</v>
      </c>
      <c r="AR223" s="26">
        <f t="shared" si="50"/>
        <v>699</v>
      </c>
      <c r="AS223" s="37">
        <f t="shared" si="45"/>
        <v>1</v>
      </c>
      <c r="AT223" s="38">
        <f t="shared" si="36"/>
        <v>0.84848484848484851</v>
      </c>
      <c r="AU223" s="38">
        <f t="shared" si="46"/>
        <v>0.99857142857142855</v>
      </c>
      <c r="AV223" s="27">
        <f t="shared" si="47"/>
        <v>0.84727272727272729</v>
      </c>
    </row>
    <row r="224" spans="1:48" s="1" customFormat="1" ht="23.1" customHeight="1" x14ac:dyDescent="0.25">
      <c r="A224" s="109">
        <v>46039</v>
      </c>
      <c r="B224" s="47" t="s">
        <v>49</v>
      </c>
      <c r="C224" s="90" t="s">
        <v>21</v>
      </c>
      <c r="D224" s="47" t="s">
        <v>89</v>
      </c>
      <c r="E224" s="48">
        <v>98992</v>
      </c>
      <c r="F224" s="48" t="s">
        <v>169</v>
      </c>
      <c r="G224" s="48" t="s">
        <v>87</v>
      </c>
      <c r="H224" s="30">
        <v>16219</v>
      </c>
      <c r="I224" s="30"/>
      <c r="J224" s="30">
        <v>32</v>
      </c>
      <c r="K224" s="28">
        <f t="shared" si="41"/>
        <v>112.5</v>
      </c>
      <c r="L224" s="31">
        <v>0.25</v>
      </c>
      <c r="M224" s="31">
        <v>0.60416666666666696</v>
      </c>
      <c r="N224" s="32">
        <f t="shared" si="51"/>
        <v>0.35416666666666696</v>
      </c>
      <c r="O224" s="36">
        <v>510</v>
      </c>
      <c r="P224" s="36">
        <f t="shared" si="42"/>
        <v>440</v>
      </c>
      <c r="Q224" s="36">
        <f t="shared" si="43"/>
        <v>440</v>
      </c>
      <c r="R224" s="15">
        <v>0</v>
      </c>
      <c r="S224" s="20">
        <v>0</v>
      </c>
      <c r="T224" s="16">
        <v>0</v>
      </c>
      <c r="U224" s="16">
        <v>0</v>
      </c>
      <c r="V224" s="20">
        <v>0</v>
      </c>
      <c r="W224" s="20">
        <v>0</v>
      </c>
      <c r="X224" s="20">
        <v>0</v>
      </c>
      <c r="Y224" s="20">
        <v>0</v>
      </c>
      <c r="Z224" s="20">
        <v>0</v>
      </c>
      <c r="AA224" s="20">
        <v>0</v>
      </c>
      <c r="AB224" s="20">
        <v>0</v>
      </c>
      <c r="AC224" s="20">
        <v>0</v>
      </c>
      <c r="AD224" s="15">
        <f t="shared" si="49"/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  <c r="AJ224" s="15">
        <v>30</v>
      </c>
      <c r="AK224" s="15">
        <v>10</v>
      </c>
      <c r="AL224" s="15">
        <v>30</v>
      </c>
      <c r="AM224" s="15">
        <f t="shared" si="48"/>
        <v>70</v>
      </c>
      <c r="AN224" s="29">
        <f t="shared" si="44"/>
        <v>825</v>
      </c>
      <c r="AO224" s="19">
        <v>634</v>
      </c>
      <c r="AP224" s="21">
        <v>0</v>
      </c>
      <c r="AQ224" s="22">
        <v>2</v>
      </c>
      <c r="AR224" s="26">
        <f t="shared" si="50"/>
        <v>632</v>
      </c>
      <c r="AS224" s="37">
        <f t="shared" si="45"/>
        <v>1</v>
      </c>
      <c r="AT224" s="38">
        <f t="shared" si="36"/>
        <v>0.76848484848484844</v>
      </c>
      <c r="AU224" s="38">
        <f t="shared" si="46"/>
        <v>0.99684542586750791</v>
      </c>
      <c r="AV224" s="27">
        <f t="shared" si="47"/>
        <v>0.766060606060606</v>
      </c>
    </row>
    <row r="225" spans="1:48" s="1" customFormat="1" ht="23.1" customHeight="1" x14ac:dyDescent="0.25">
      <c r="A225" s="109">
        <v>46039</v>
      </c>
      <c r="B225" s="47" t="s">
        <v>49</v>
      </c>
      <c r="C225" s="90" t="s">
        <v>21</v>
      </c>
      <c r="D225" s="47" t="s">
        <v>52</v>
      </c>
      <c r="E225" s="48">
        <v>98992</v>
      </c>
      <c r="F225" s="48" t="s">
        <v>53</v>
      </c>
      <c r="G225" s="48" t="s">
        <v>87</v>
      </c>
      <c r="H225" s="30">
        <v>15731</v>
      </c>
      <c r="I225" s="30"/>
      <c r="J225" s="30">
        <v>32</v>
      </c>
      <c r="K225" s="28">
        <f t="shared" si="41"/>
        <v>112.5</v>
      </c>
      <c r="L225" s="31">
        <v>0.25</v>
      </c>
      <c r="M225" s="31">
        <v>0.60416666666666696</v>
      </c>
      <c r="N225" s="32">
        <f t="shared" si="51"/>
        <v>0.35416666666666696</v>
      </c>
      <c r="O225" s="36">
        <v>510</v>
      </c>
      <c r="P225" s="36">
        <f t="shared" si="42"/>
        <v>440</v>
      </c>
      <c r="Q225" s="36">
        <f t="shared" si="43"/>
        <v>440</v>
      </c>
      <c r="R225" s="15">
        <v>0</v>
      </c>
      <c r="S225" s="20">
        <v>0</v>
      </c>
      <c r="T225" s="16">
        <v>0</v>
      </c>
      <c r="U225" s="16">
        <v>0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15">
        <f t="shared" si="49"/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  <c r="AJ225" s="15">
        <v>30</v>
      </c>
      <c r="AK225" s="15">
        <v>10</v>
      </c>
      <c r="AL225" s="15">
        <v>30</v>
      </c>
      <c r="AM225" s="15">
        <f t="shared" si="48"/>
        <v>70</v>
      </c>
      <c r="AN225" s="29">
        <f t="shared" si="44"/>
        <v>825</v>
      </c>
      <c r="AO225" s="19">
        <v>624</v>
      </c>
      <c r="AP225" s="21">
        <v>0</v>
      </c>
      <c r="AQ225" s="22">
        <v>1</v>
      </c>
      <c r="AR225" s="26">
        <f t="shared" si="50"/>
        <v>623</v>
      </c>
      <c r="AS225" s="37">
        <f t="shared" si="45"/>
        <v>1</v>
      </c>
      <c r="AT225" s="38">
        <f t="shared" si="36"/>
        <v>0.75636363636363635</v>
      </c>
      <c r="AU225" s="38">
        <f t="shared" si="46"/>
        <v>0.9983974358974359</v>
      </c>
      <c r="AV225" s="27">
        <f t="shared" si="47"/>
        <v>0.75515151515151513</v>
      </c>
    </row>
    <row r="226" spans="1:48" s="1" customFormat="1" ht="23.1" customHeight="1" x14ac:dyDescent="0.25">
      <c r="A226" s="109">
        <v>46039</v>
      </c>
      <c r="B226" s="47" t="s">
        <v>49</v>
      </c>
      <c r="C226" s="90" t="s">
        <v>21</v>
      </c>
      <c r="D226" s="47" t="s">
        <v>124</v>
      </c>
      <c r="E226" s="48">
        <v>98992</v>
      </c>
      <c r="F226" s="48" t="s">
        <v>215</v>
      </c>
      <c r="G226" s="48" t="s">
        <v>125</v>
      </c>
      <c r="H226" s="30">
        <v>13105</v>
      </c>
      <c r="I226" s="30"/>
      <c r="J226" s="30">
        <v>32</v>
      </c>
      <c r="K226" s="28">
        <f t="shared" si="41"/>
        <v>112.5</v>
      </c>
      <c r="L226" s="31">
        <v>0.25</v>
      </c>
      <c r="M226" s="31">
        <v>0.60416666666666696</v>
      </c>
      <c r="N226" s="32">
        <f t="shared" si="51"/>
        <v>0.35416666666666696</v>
      </c>
      <c r="O226" s="36">
        <v>510</v>
      </c>
      <c r="P226" s="36">
        <f t="shared" si="42"/>
        <v>440</v>
      </c>
      <c r="Q226" s="36">
        <f t="shared" si="43"/>
        <v>440</v>
      </c>
      <c r="R226" s="15">
        <v>0</v>
      </c>
      <c r="S226" s="20">
        <v>0</v>
      </c>
      <c r="T226" s="16">
        <v>0</v>
      </c>
      <c r="U226" s="16">
        <v>0</v>
      </c>
      <c r="V226" s="20">
        <v>0</v>
      </c>
      <c r="W226" s="20">
        <v>0</v>
      </c>
      <c r="X226" s="20">
        <v>0</v>
      </c>
      <c r="Y226" s="20">
        <v>0</v>
      </c>
      <c r="Z226" s="20">
        <v>0</v>
      </c>
      <c r="AA226" s="20">
        <v>0</v>
      </c>
      <c r="AB226" s="20">
        <v>0</v>
      </c>
      <c r="AC226" s="20">
        <v>0</v>
      </c>
      <c r="AD226" s="15">
        <f t="shared" si="49"/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  <c r="AJ226" s="15">
        <v>30</v>
      </c>
      <c r="AK226" s="15">
        <v>10</v>
      </c>
      <c r="AL226" s="15">
        <v>30</v>
      </c>
      <c r="AM226" s="15">
        <f t="shared" si="48"/>
        <v>70</v>
      </c>
      <c r="AN226" s="29">
        <f t="shared" si="44"/>
        <v>825</v>
      </c>
      <c r="AO226" s="19">
        <v>687</v>
      </c>
      <c r="AP226" s="21">
        <v>0</v>
      </c>
      <c r="AQ226" s="22">
        <v>1</v>
      </c>
      <c r="AR226" s="26">
        <f t="shared" si="50"/>
        <v>686</v>
      </c>
      <c r="AS226" s="37">
        <f t="shared" si="45"/>
        <v>1</v>
      </c>
      <c r="AT226" s="38">
        <f t="shared" si="36"/>
        <v>0.83272727272727276</v>
      </c>
      <c r="AU226" s="38">
        <f t="shared" si="46"/>
        <v>0.99854439592430855</v>
      </c>
      <c r="AV226" s="27">
        <f t="shared" si="47"/>
        <v>0.83151515151515154</v>
      </c>
    </row>
    <row r="227" spans="1:48" s="1" customFormat="1" ht="23.1" customHeight="1" x14ac:dyDescent="0.25">
      <c r="A227" s="109">
        <v>46039</v>
      </c>
      <c r="B227" s="47" t="s">
        <v>49</v>
      </c>
      <c r="C227" s="90" t="s">
        <v>21</v>
      </c>
      <c r="D227" s="47" t="s">
        <v>122</v>
      </c>
      <c r="E227" s="48">
        <v>98992</v>
      </c>
      <c r="F227" s="48" t="s">
        <v>169</v>
      </c>
      <c r="G227" s="48" t="s">
        <v>125</v>
      </c>
      <c r="H227" s="30">
        <v>14957</v>
      </c>
      <c r="I227" s="30"/>
      <c r="J227" s="30">
        <v>32</v>
      </c>
      <c r="K227" s="28">
        <f t="shared" si="41"/>
        <v>112.5</v>
      </c>
      <c r="L227" s="31">
        <v>0.25</v>
      </c>
      <c r="M227" s="31">
        <v>0.60416666666666696</v>
      </c>
      <c r="N227" s="32">
        <f t="shared" si="51"/>
        <v>0.35416666666666696</v>
      </c>
      <c r="O227" s="36">
        <v>510</v>
      </c>
      <c r="P227" s="36">
        <f t="shared" si="42"/>
        <v>440</v>
      </c>
      <c r="Q227" s="36">
        <f t="shared" si="43"/>
        <v>440</v>
      </c>
      <c r="R227" s="15">
        <v>0</v>
      </c>
      <c r="S227" s="20">
        <v>0</v>
      </c>
      <c r="T227" s="16">
        <v>0</v>
      </c>
      <c r="U227" s="16">
        <v>0</v>
      </c>
      <c r="V227" s="20">
        <v>0</v>
      </c>
      <c r="W227" s="20">
        <v>0</v>
      </c>
      <c r="X227" s="20">
        <v>0</v>
      </c>
      <c r="Y227" s="20">
        <v>0</v>
      </c>
      <c r="Z227" s="20">
        <v>0</v>
      </c>
      <c r="AA227" s="20">
        <v>0</v>
      </c>
      <c r="AB227" s="20">
        <v>0</v>
      </c>
      <c r="AC227" s="20">
        <v>0</v>
      </c>
      <c r="AD227" s="15">
        <f t="shared" si="49"/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  <c r="AJ227" s="15">
        <v>30</v>
      </c>
      <c r="AK227" s="15">
        <v>10</v>
      </c>
      <c r="AL227" s="15">
        <v>30</v>
      </c>
      <c r="AM227" s="15">
        <f t="shared" si="48"/>
        <v>70</v>
      </c>
      <c r="AN227" s="29">
        <f t="shared" si="44"/>
        <v>825</v>
      </c>
      <c r="AO227" s="19">
        <v>570</v>
      </c>
      <c r="AP227" s="21">
        <v>0</v>
      </c>
      <c r="AQ227" s="22">
        <v>1</v>
      </c>
      <c r="AR227" s="26">
        <f t="shared" si="50"/>
        <v>569</v>
      </c>
      <c r="AS227" s="37">
        <f t="shared" si="45"/>
        <v>1</v>
      </c>
      <c r="AT227" s="38">
        <f t="shared" si="36"/>
        <v>0.69090909090909092</v>
      </c>
      <c r="AU227" s="38">
        <f t="shared" si="46"/>
        <v>0.99824561403508771</v>
      </c>
      <c r="AV227" s="27">
        <f t="shared" si="47"/>
        <v>0.6896969696969697</v>
      </c>
    </row>
    <row r="228" spans="1:48" s="1" customFormat="1" ht="23.1" customHeight="1" x14ac:dyDescent="0.25">
      <c r="A228" s="109">
        <v>46039</v>
      </c>
      <c r="B228" s="47" t="s">
        <v>49</v>
      </c>
      <c r="C228" s="90" t="s">
        <v>21</v>
      </c>
      <c r="D228" s="47" t="s">
        <v>128</v>
      </c>
      <c r="E228" s="48">
        <v>98992</v>
      </c>
      <c r="F228" s="48" t="s">
        <v>53</v>
      </c>
      <c r="G228" s="48" t="s">
        <v>125</v>
      </c>
      <c r="H228" s="30">
        <v>15679</v>
      </c>
      <c r="I228" s="30"/>
      <c r="J228" s="30">
        <v>32</v>
      </c>
      <c r="K228" s="28">
        <f t="shared" si="41"/>
        <v>112.5</v>
      </c>
      <c r="L228" s="31">
        <v>0.25</v>
      </c>
      <c r="M228" s="31">
        <v>0.60416666666666696</v>
      </c>
      <c r="N228" s="32">
        <f t="shared" si="51"/>
        <v>0.35416666666666696</v>
      </c>
      <c r="O228" s="36">
        <v>510</v>
      </c>
      <c r="P228" s="36">
        <f t="shared" si="42"/>
        <v>320</v>
      </c>
      <c r="Q228" s="36">
        <f t="shared" si="43"/>
        <v>320</v>
      </c>
      <c r="R228" s="15">
        <v>0</v>
      </c>
      <c r="S228" s="20">
        <v>0</v>
      </c>
      <c r="T228" s="16">
        <v>0</v>
      </c>
      <c r="U228" s="16">
        <v>0</v>
      </c>
      <c r="V228" s="20">
        <v>0</v>
      </c>
      <c r="W228" s="20">
        <v>0</v>
      </c>
      <c r="X228" s="20">
        <v>0</v>
      </c>
      <c r="Y228" s="20">
        <v>0</v>
      </c>
      <c r="Z228" s="20">
        <v>0</v>
      </c>
      <c r="AA228" s="20">
        <v>0</v>
      </c>
      <c r="AB228" s="20">
        <v>0</v>
      </c>
      <c r="AC228" s="20">
        <v>0</v>
      </c>
      <c r="AD228" s="15">
        <f t="shared" si="49"/>
        <v>0</v>
      </c>
      <c r="AE228" s="15">
        <v>0</v>
      </c>
      <c r="AF228" s="15">
        <v>0</v>
      </c>
      <c r="AG228" s="15">
        <v>0</v>
      </c>
      <c r="AH228" s="15">
        <v>120</v>
      </c>
      <c r="AI228" s="15">
        <v>0</v>
      </c>
      <c r="AJ228" s="15">
        <v>30</v>
      </c>
      <c r="AK228" s="15">
        <v>10</v>
      </c>
      <c r="AL228" s="15">
        <v>30</v>
      </c>
      <c r="AM228" s="15">
        <f t="shared" si="48"/>
        <v>190</v>
      </c>
      <c r="AN228" s="29">
        <f t="shared" si="44"/>
        <v>600</v>
      </c>
      <c r="AO228" s="19">
        <v>420</v>
      </c>
      <c r="AP228" s="21">
        <v>0</v>
      </c>
      <c r="AQ228" s="22">
        <v>1</v>
      </c>
      <c r="AR228" s="26">
        <f t="shared" si="50"/>
        <v>419</v>
      </c>
      <c r="AS228" s="37">
        <f t="shared" si="45"/>
        <v>1</v>
      </c>
      <c r="AT228" s="38">
        <f t="shared" si="36"/>
        <v>0.7</v>
      </c>
      <c r="AU228" s="38">
        <f t="shared" si="46"/>
        <v>0.99761904761904763</v>
      </c>
      <c r="AV228" s="27">
        <f t="shared" si="47"/>
        <v>0.69833333333333325</v>
      </c>
    </row>
    <row r="229" spans="1:48" s="1" customFormat="1" ht="23.1" customHeight="1" x14ac:dyDescent="0.25">
      <c r="A229" s="109">
        <v>46039</v>
      </c>
      <c r="B229" s="47" t="s">
        <v>49</v>
      </c>
      <c r="C229" s="90" t="s">
        <v>21</v>
      </c>
      <c r="D229" s="47" t="s">
        <v>170</v>
      </c>
      <c r="E229" s="48">
        <v>98992</v>
      </c>
      <c r="F229" s="48" t="s">
        <v>176</v>
      </c>
      <c r="G229" s="48" t="s">
        <v>125</v>
      </c>
      <c r="H229" s="30">
        <v>15859</v>
      </c>
      <c r="I229" s="30"/>
      <c r="J229" s="30">
        <v>20</v>
      </c>
      <c r="K229" s="28">
        <f t="shared" si="41"/>
        <v>180</v>
      </c>
      <c r="L229" s="31">
        <v>0.25</v>
      </c>
      <c r="M229" s="31">
        <v>0.60416666666666696</v>
      </c>
      <c r="N229" s="32">
        <f t="shared" si="51"/>
        <v>0.35416666666666696</v>
      </c>
      <c r="O229" s="36">
        <v>510</v>
      </c>
      <c r="P229" s="36">
        <f t="shared" si="42"/>
        <v>220</v>
      </c>
      <c r="Q229" s="36">
        <f t="shared" si="43"/>
        <v>220</v>
      </c>
      <c r="R229" s="15">
        <v>0</v>
      </c>
      <c r="S229" s="20">
        <v>0</v>
      </c>
      <c r="T229" s="16">
        <v>0</v>
      </c>
      <c r="U229" s="16">
        <v>0</v>
      </c>
      <c r="V229" s="20">
        <v>0</v>
      </c>
      <c r="W229" s="20">
        <v>0</v>
      </c>
      <c r="X229" s="20">
        <v>0</v>
      </c>
      <c r="Y229" s="20">
        <v>0</v>
      </c>
      <c r="Z229" s="20">
        <v>0</v>
      </c>
      <c r="AA229" s="20">
        <v>0</v>
      </c>
      <c r="AB229" s="20">
        <v>0</v>
      </c>
      <c r="AC229" s="20">
        <v>0</v>
      </c>
      <c r="AD229" s="15">
        <f t="shared" si="49"/>
        <v>0</v>
      </c>
      <c r="AE229" s="15">
        <v>0</v>
      </c>
      <c r="AF229" s="15">
        <v>0</v>
      </c>
      <c r="AG229" s="15">
        <v>0</v>
      </c>
      <c r="AH229" s="15">
        <v>220</v>
      </c>
      <c r="AI229" s="15">
        <v>0</v>
      </c>
      <c r="AJ229" s="15">
        <v>30</v>
      </c>
      <c r="AK229" s="15">
        <v>10</v>
      </c>
      <c r="AL229" s="15">
        <v>30</v>
      </c>
      <c r="AM229" s="15">
        <f t="shared" si="48"/>
        <v>290</v>
      </c>
      <c r="AN229" s="29">
        <f t="shared" si="44"/>
        <v>660</v>
      </c>
      <c r="AO229" s="19">
        <v>456</v>
      </c>
      <c r="AP229" s="21">
        <v>0</v>
      </c>
      <c r="AQ229" s="22">
        <v>0</v>
      </c>
      <c r="AR229" s="26">
        <f t="shared" si="50"/>
        <v>456</v>
      </c>
      <c r="AS229" s="37">
        <f t="shared" si="45"/>
        <v>1</v>
      </c>
      <c r="AT229" s="38">
        <f t="shared" ref="AT229:AT292" si="52">AO229/AN229</f>
        <v>0.69090909090909092</v>
      </c>
      <c r="AU229" s="38">
        <f t="shared" si="46"/>
        <v>1</v>
      </c>
      <c r="AV229" s="27">
        <f t="shared" si="47"/>
        <v>0.69090909090909092</v>
      </c>
    </row>
    <row r="230" spans="1:48" s="1" customFormat="1" ht="23.1" customHeight="1" x14ac:dyDescent="0.25">
      <c r="A230" s="109">
        <v>46039</v>
      </c>
      <c r="B230" s="47" t="s">
        <v>49</v>
      </c>
      <c r="C230" s="90" t="s">
        <v>21</v>
      </c>
      <c r="D230" s="47" t="s">
        <v>127</v>
      </c>
      <c r="E230" s="48">
        <v>98992</v>
      </c>
      <c r="F230" s="48" t="s">
        <v>175</v>
      </c>
      <c r="G230" s="48" t="s">
        <v>125</v>
      </c>
      <c r="H230" s="30">
        <v>15882</v>
      </c>
      <c r="I230" s="30"/>
      <c r="J230" s="30">
        <v>20</v>
      </c>
      <c r="K230" s="28">
        <f t="shared" si="41"/>
        <v>180</v>
      </c>
      <c r="L230" s="31">
        <v>0.25</v>
      </c>
      <c r="M230" s="31">
        <v>0.60416666666666696</v>
      </c>
      <c r="N230" s="32">
        <f t="shared" si="51"/>
        <v>0.35416666666666696</v>
      </c>
      <c r="O230" s="36">
        <v>510</v>
      </c>
      <c r="P230" s="36">
        <f t="shared" si="42"/>
        <v>320</v>
      </c>
      <c r="Q230" s="36">
        <f t="shared" si="43"/>
        <v>320</v>
      </c>
      <c r="R230" s="15">
        <v>0</v>
      </c>
      <c r="S230" s="20">
        <v>0</v>
      </c>
      <c r="T230" s="16">
        <v>0</v>
      </c>
      <c r="U230" s="16">
        <v>0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15">
        <f t="shared" si="49"/>
        <v>0</v>
      </c>
      <c r="AE230" s="15">
        <v>0</v>
      </c>
      <c r="AF230" s="15">
        <v>0</v>
      </c>
      <c r="AG230" s="15">
        <v>0</v>
      </c>
      <c r="AH230" s="15">
        <v>120</v>
      </c>
      <c r="AI230" s="15">
        <v>0</v>
      </c>
      <c r="AJ230" s="15">
        <v>30</v>
      </c>
      <c r="AK230" s="15">
        <v>10</v>
      </c>
      <c r="AL230" s="15">
        <v>30</v>
      </c>
      <c r="AM230" s="15">
        <f t="shared" si="48"/>
        <v>190</v>
      </c>
      <c r="AN230" s="29">
        <f t="shared" si="44"/>
        <v>960</v>
      </c>
      <c r="AO230" s="19">
        <v>600</v>
      </c>
      <c r="AP230" s="21">
        <v>0</v>
      </c>
      <c r="AQ230" s="22">
        <v>0</v>
      </c>
      <c r="AR230" s="26">
        <f t="shared" si="50"/>
        <v>600</v>
      </c>
      <c r="AS230" s="37">
        <f t="shared" si="45"/>
        <v>1</v>
      </c>
      <c r="AT230" s="38">
        <f t="shared" si="52"/>
        <v>0.625</v>
      </c>
      <c r="AU230" s="38">
        <f t="shared" si="46"/>
        <v>1</v>
      </c>
      <c r="AV230" s="27">
        <f t="shared" si="47"/>
        <v>0.625</v>
      </c>
    </row>
    <row r="231" spans="1:48" s="1" customFormat="1" ht="23.1" customHeight="1" x14ac:dyDescent="0.25">
      <c r="A231" s="109">
        <v>46039</v>
      </c>
      <c r="B231" s="47" t="s">
        <v>49</v>
      </c>
      <c r="C231" s="90" t="s">
        <v>51</v>
      </c>
      <c r="D231" s="47" t="s">
        <v>94</v>
      </c>
      <c r="E231" s="48">
        <v>98992</v>
      </c>
      <c r="F231" s="48" t="s">
        <v>67</v>
      </c>
      <c r="G231" s="48" t="s">
        <v>174</v>
      </c>
      <c r="H231" s="30">
        <v>15833</v>
      </c>
      <c r="I231" s="30"/>
      <c r="J231" s="30">
        <v>24</v>
      </c>
      <c r="K231" s="28">
        <f t="shared" si="41"/>
        <v>150</v>
      </c>
      <c r="L231" s="31">
        <v>0.58333333333333337</v>
      </c>
      <c r="M231" s="31">
        <v>0.9375</v>
      </c>
      <c r="N231" s="32">
        <f t="shared" si="51"/>
        <v>0.35416666666666663</v>
      </c>
      <c r="O231" s="36">
        <v>510</v>
      </c>
      <c r="P231" s="36">
        <f t="shared" si="42"/>
        <v>440</v>
      </c>
      <c r="Q231" s="36">
        <f t="shared" si="43"/>
        <v>440</v>
      </c>
      <c r="R231" s="15">
        <v>0</v>
      </c>
      <c r="S231" s="20">
        <v>0</v>
      </c>
      <c r="T231" s="16">
        <v>0</v>
      </c>
      <c r="U231" s="16">
        <v>0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15">
        <f t="shared" si="49"/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  <c r="AJ231" s="15">
        <v>30</v>
      </c>
      <c r="AK231" s="15">
        <v>10</v>
      </c>
      <c r="AL231" s="15">
        <v>30</v>
      </c>
      <c r="AM231" s="15">
        <f t="shared" si="48"/>
        <v>70</v>
      </c>
      <c r="AN231" s="29">
        <f t="shared" si="44"/>
        <v>1100</v>
      </c>
      <c r="AO231" s="19">
        <v>920</v>
      </c>
      <c r="AP231" s="21">
        <v>0</v>
      </c>
      <c r="AQ231" s="22">
        <v>26</v>
      </c>
      <c r="AR231" s="26">
        <f t="shared" si="50"/>
        <v>894</v>
      </c>
      <c r="AS231" s="37">
        <f t="shared" si="45"/>
        <v>1</v>
      </c>
      <c r="AT231" s="38">
        <f t="shared" si="52"/>
        <v>0.83636363636363631</v>
      </c>
      <c r="AU231" s="38">
        <f t="shared" si="46"/>
        <v>0.97173913043478266</v>
      </c>
      <c r="AV231" s="27">
        <f t="shared" si="47"/>
        <v>0.81272727272727274</v>
      </c>
    </row>
    <row r="232" spans="1:48" s="1" customFormat="1" ht="23.1" customHeight="1" x14ac:dyDescent="0.25">
      <c r="A232" s="109">
        <v>46039</v>
      </c>
      <c r="B232" s="47" t="s">
        <v>49</v>
      </c>
      <c r="C232" s="90" t="s">
        <v>51</v>
      </c>
      <c r="D232" s="47" t="s">
        <v>88</v>
      </c>
      <c r="E232" s="48">
        <v>98992</v>
      </c>
      <c r="F232" s="48" t="s">
        <v>126</v>
      </c>
      <c r="G232" s="48" t="s">
        <v>87</v>
      </c>
      <c r="H232" s="30">
        <v>15036</v>
      </c>
      <c r="I232" s="30"/>
      <c r="J232" s="30">
        <v>32</v>
      </c>
      <c r="K232" s="28">
        <f t="shared" si="41"/>
        <v>112.5</v>
      </c>
      <c r="L232" s="31">
        <v>0.58333333333333337</v>
      </c>
      <c r="M232" s="31">
        <v>0.9375</v>
      </c>
      <c r="N232" s="32">
        <f t="shared" si="51"/>
        <v>0.35416666666666663</v>
      </c>
      <c r="O232" s="36">
        <v>510</v>
      </c>
      <c r="P232" s="36">
        <f t="shared" si="42"/>
        <v>320</v>
      </c>
      <c r="Q232" s="36">
        <f t="shared" si="43"/>
        <v>320</v>
      </c>
      <c r="R232" s="15">
        <v>0</v>
      </c>
      <c r="S232" s="20">
        <v>0</v>
      </c>
      <c r="T232" s="16">
        <v>0</v>
      </c>
      <c r="U232" s="16">
        <v>0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15">
        <f t="shared" si="49"/>
        <v>0</v>
      </c>
      <c r="AE232" s="15">
        <v>0</v>
      </c>
      <c r="AF232" s="15">
        <v>0</v>
      </c>
      <c r="AG232" s="15">
        <v>0</v>
      </c>
      <c r="AH232" s="15">
        <v>120</v>
      </c>
      <c r="AI232" s="15">
        <v>0</v>
      </c>
      <c r="AJ232" s="15">
        <v>30</v>
      </c>
      <c r="AK232" s="15">
        <v>10</v>
      </c>
      <c r="AL232" s="15">
        <v>30</v>
      </c>
      <c r="AM232" s="15">
        <f t="shared" si="48"/>
        <v>190</v>
      </c>
      <c r="AN232" s="29">
        <f t="shared" si="44"/>
        <v>600</v>
      </c>
      <c r="AO232" s="19">
        <v>450</v>
      </c>
      <c r="AP232" s="21">
        <v>0</v>
      </c>
      <c r="AQ232" s="22">
        <v>1</v>
      </c>
      <c r="AR232" s="26">
        <f t="shared" si="50"/>
        <v>449</v>
      </c>
      <c r="AS232" s="37">
        <f t="shared" si="45"/>
        <v>1</v>
      </c>
      <c r="AT232" s="38">
        <f t="shared" si="52"/>
        <v>0.75</v>
      </c>
      <c r="AU232" s="38">
        <f t="shared" si="46"/>
        <v>0.99777777777777776</v>
      </c>
      <c r="AV232" s="27">
        <f t="shared" si="47"/>
        <v>0.74833333333333329</v>
      </c>
    </row>
    <row r="233" spans="1:48" s="1" customFormat="1" ht="23.1" customHeight="1" x14ac:dyDescent="0.25">
      <c r="A233" s="109">
        <v>46039</v>
      </c>
      <c r="B233" s="47" t="s">
        <v>49</v>
      </c>
      <c r="C233" s="90" t="s">
        <v>51</v>
      </c>
      <c r="D233" s="47" t="s">
        <v>89</v>
      </c>
      <c r="E233" s="48">
        <v>98992</v>
      </c>
      <c r="F233" s="48" t="s">
        <v>169</v>
      </c>
      <c r="G233" s="48" t="s">
        <v>87</v>
      </c>
      <c r="H233" s="30">
        <v>11682</v>
      </c>
      <c r="I233" s="30"/>
      <c r="J233" s="30">
        <v>32</v>
      </c>
      <c r="K233" s="28">
        <f t="shared" si="41"/>
        <v>112.5</v>
      </c>
      <c r="L233" s="31">
        <v>0.58333333333333337</v>
      </c>
      <c r="M233" s="31">
        <v>0.9375</v>
      </c>
      <c r="N233" s="32">
        <f t="shared" si="51"/>
        <v>0.35416666666666663</v>
      </c>
      <c r="O233" s="36">
        <v>510</v>
      </c>
      <c r="P233" s="36">
        <f t="shared" si="42"/>
        <v>440</v>
      </c>
      <c r="Q233" s="36">
        <f t="shared" si="43"/>
        <v>440</v>
      </c>
      <c r="R233" s="15">
        <v>0</v>
      </c>
      <c r="S233" s="20">
        <v>0</v>
      </c>
      <c r="T233" s="16">
        <v>0</v>
      </c>
      <c r="U233" s="16">
        <v>0</v>
      </c>
      <c r="V233" s="20">
        <v>0</v>
      </c>
      <c r="W233" s="20">
        <v>0</v>
      </c>
      <c r="X233" s="20">
        <v>0</v>
      </c>
      <c r="Y233" s="20">
        <v>0</v>
      </c>
      <c r="Z233" s="20">
        <v>0</v>
      </c>
      <c r="AA233" s="20">
        <v>0</v>
      </c>
      <c r="AB233" s="20">
        <v>0</v>
      </c>
      <c r="AC233" s="20">
        <v>0</v>
      </c>
      <c r="AD233" s="15">
        <f t="shared" si="49"/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0</v>
      </c>
      <c r="AJ233" s="15">
        <v>30</v>
      </c>
      <c r="AK233" s="15">
        <v>10</v>
      </c>
      <c r="AL233" s="15">
        <v>30</v>
      </c>
      <c r="AM233" s="15">
        <f t="shared" si="48"/>
        <v>70</v>
      </c>
      <c r="AN233" s="29">
        <f t="shared" si="44"/>
        <v>825</v>
      </c>
      <c r="AO233" s="19">
        <v>663</v>
      </c>
      <c r="AP233" s="21">
        <v>0</v>
      </c>
      <c r="AQ233" s="22">
        <v>2</v>
      </c>
      <c r="AR233" s="26">
        <f t="shared" si="50"/>
        <v>661</v>
      </c>
      <c r="AS233" s="37">
        <f t="shared" si="45"/>
        <v>1</v>
      </c>
      <c r="AT233" s="38">
        <f t="shared" si="52"/>
        <v>0.80363636363636359</v>
      </c>
      <c r="AU233" s="38">
        <f t="shared" si="46"/>
        <v>0.99698340874811464</v>
      </c>
      <c r="AV233" s="27">
        <f t="shared" si="47"/>
        <v>0.80121212121212115</v>
      </c>
    </row>
    <row r="234" spans="1:48" s="1" customFormat="1" ht="23.1" customHeight="1" x14ac:dyDescent="0.25">
      <c r="A234" s="109">
        <v>46039</v>
      </c>
      <c r="B234" s="47" t="s">
        <v>49</v>
      </c>
      <c r="C234" s="90" t="s">
        <v>51</v>
      </c>
      <c r="D234" s="47" t="s">
        <v>52</v>
      </c>
      <c r="E234" s="48">
        <v>98992</v>
      </c>
      <c r="F234" s="48" t="s">
        <v>53</v>
      </c>
      <c r="G234" s="48" t="s">
        <v>87</v>
      </c>
      <c r="H234" s="30">
        <v>16000</v>
      </c>
      <c r="I234" s="30"/>
      <c r="J234" s="30">
        <v>32</v>
      </c>
      <c r="K234" s="28">
        <f t="shared" si="41"/>
        <v>112.5</v>
      </c>
      <c r="L234" s="31">
        <v>0.58333333333333337</v>
      </c>
      <c r="M234" s="31">
        <v>0.9375</v>
      </c>
      <c r="N234" s="32">
        <f t="shared" si="51"/>
        <v>0.35416666666666663</v>
      </c>
      <c r="O234" s="36">
        <v>510</v>
      </c>
      <c r="P234" s="36">
        <f t="shared" si="42"/>
        <v>320</v>
      </c>
      <c r="Q234" s="36">
        <f t="shared" si="43"/>
        <v>320</v>
      </c>
      <c r="R234" s="15">
        <v>0</v>
      </c>
      <c r="S234" s="20">
        <v>0</v>
      </c>
      <c r="T234" s="16">
        <v>0</v>
      </c>
      <c r="U234" s="16">
        <v>0</v>
      </c>
      <c r="V234" s="20">
        <v>0</v>
      </c>
      <c r="W234" s="20">
        <v>0</v>
      </c>
      <c r="X234" s="20">
        <v>0</v>
      </c>
      <c r="Y234" s="20">
        <v>0</v>
      </c>
      <c r="Z234" s="20">
        <v>0</v>
      </c>
      <c r="AA234" s="20">
        <v>0</v>
      </c>
      <c r="AB234" s="20">
        <v>0</v>
      </c>
      <c r="AC234" s="20">
        <v>0</v>
      </c>
      <c r="AD234" s="15">
        <f t="shared" si="49"/>
        <v>0</v>
      </c>
      <c r="AE234" s="15">
        <v>0</v>
      </c>
      <c r="AF234" s="15">
        <v>0</v>
      </c>
      <c r="AG234" s="15">
        <v>0</v>
      </c>
      <c r="AH234" s="15">
        <v>120</v>
      </c>
      <c r="AI234" s="15">
        <v>0</v>
      </c>
      <c r="AJ234" s="15">
        <v>30</v>
      </c>
      <c r="AK234" s="15">
        <v>10</v>
      </c>
      <c r="AL234" s="15">
        <v>30</v>
      </c>
      <c r="AM234" s="15">
        <f t="shared" si="48"/>
        <v>190</v>
      </c>
      <c r="AN234" s="29">
        <f t="shared" si="44"/>
        <v>600</v>
      </c>
      <c r="AO234" s="19">
        <v>530</v>
      </c>
      <c r="AP234" s="21">
        <v>0</v>
      </c>
      <c r="AQ234" s="22">
        <v>1</v>
      </c>
      <c r="AR234" s="26">
        <f t="shared" si="50"/>
        <v>529</v>
      </c>
      <c r="AS234" s="37">
        <f t="shared" si="45"/>
        <v>1</v>
      </c>
      <c r="AT234" s="38">
        <f t="shared" si="52"/>
        <v>0.8833333333333333</v>
      </c>
      <c r="AU234" s="38">
        <f t="shared" si="46"/>
        <v>0.99811320754716981</v>
      </c>
      <c r="AV234" s="27">
        <f t="shared" si="47"/>
        <v>0.8816666666666666</v>
      </c>
    </row>
    <row r="235" spans="1:48" s="1" customFormat="1" ht="23.1" customHeight="1" x14ac:dyDescent="0.25">
      <c r="A235" s="109">
        <v>46039</v>
      </c>
      <c r="B235" s="47" t="s">
        <v>49</v>
      </c>
      <c r="C235" s="90" t="s">
        <v>51</v>
      </c>
      <c r="D235" s="47" t="s">
        <v>86</v>
      </c>
      <c r="E235" s="48">
        <v>98992</v>
      </c>
      <c r="F235" s="48" t="s">
        <v>176</v>
      </c>
      <c r="G235" s="48" t="s">
        <v>87</v>
      </c>
      <c r="H235" s="30">
        <v>15688</v>
      </c>
      <c r="I235" s="30"/>
      <c r="J235" s="30">
        <v>20</v>
      </c>
      <c r="K235" s="28">
        <f t="shared" si="41"/>
        <v>180</v>
      </c>
      <c r="L235" s="31">
        <v>0.58333333333333337</v>
      </c>
      <c r="M235" s="31">
        <v>0.9375</v>
      </c>
      <c r="N235" s="32">
        <f t="shared" si="51"/>
        <v>0.35416666666666663</v>
      </c>
      <c r="O235" s="36">
        <v>510</v>
      </c>
      <c r="P235" s="36">
        <f t="shared" si="42"/>
        <v>360</v>
      </c>
      <c r="Q235" s="36">
        <f t="shared" si="43"/>
        <v>360</v>
      </c>
      <c r="R235" s="15">
        <v>0</v>
      </c>
      <c r="S235" s="20">
        <v>0</v>
      </c>
      <c r="T235" s="16">
        <v>0</v>
      </c>
      <c r="U235" s="16">
        <v>0</v>
      </c>
      <c r="V235" s="20">
        <v>0</v>
      </c>
      <c r="W235" s="20">
        <v>0</v>
      </c>
      <c r="X235" s="20">
        <v>0</v>
      </c>
      <c r="Y235" s="20">
        <v>0</v>
      </c>
      <c r="Z235" s="20">
        <v>0</v>
      </c>
      <c r="AA235" s="20">
        <v>0</v>
      </c>
      <c r="AB235" s="20">
        <v>0</v>
      </c>
      <c r="AC235" s="20">
        <v>0</v>
      </c>
      <c r="AD235" s="15">
        <f t="shared" si="49"/>
        <v>0</v>
      </c>
      <c r="AE235" s="15">
        <v>0</v>
      </c>
      <c r="AF235" s="15">
        <v>0</v>
      </c>
      <c r="AG235" s="15">
        <v>0</v>
      </c>
      <c r="AH235" s="15">
        <v>80</v>
      </c>
      <c r="AI235" s="15">
        <v>0</v>
      </c>
      <c r="AJ235" s="15">
        <v>30</v>
      </c>
      <c r="AK235" s="15">
        <v>10</v>
      </c>
      <c r="AL235" s="15">
        <v>30</v>
      </c>
      <c r="AM235" s="15">
        <f t="shared" si="48"/>
        <v>150</v>
      </c>
      <c r="AN235" s="29">
        <f t="shared" si="44"/>
        <v>1080</v>
      </c>
      <c r="AO235" s="19">
        <v>792</v>
      </c>
      <c r="AP235" s="21">
        <v>0</v>
      </c>
      <c r="AQ235" s="22">
        <v>2</v>
      </c>
      <c r="AR235" s="26">
        <f t="shared" si="50"/>
        <v>790</v>
      </c>
      <c r="AS235" s="37">
        <f t="shared" si="45"/>
        <v>1</v>
      </c>
      <c r="AT235" s="38">
        <f t="shared" si="52"/>
        <v>0.73333333333333328</v>
      </c>
      <c r="AU235" s="38">
        <f t="shared" si="46"/>
        <v>0.99747474747474751</v>
      </c>
      <c r="AV235" s="27">
        <f t="shared" si="47"/>
        <v>0.73148148148148151</v>
      </c>
    </row>
    <row r="236" spans="1:48" s="1" customFormat="1" ht="23.1" customHeight="1" x14ac:dyDescent="0.25">
      <c r="A236" s="109">
        <v>46039</v>
      </c>
      <c r="B236" s="47" t="s">
        <v>49</v>
      </c>
      <c r="C236" s="90" t="s">
        <v>51</v>
      </c>
      <c r="D236" s="47" t="s">
        <v>172</v>
      </c>
      <c r="E236" s="48">
        <v>98992</v>
      </c>
      <c r="F236" s="48" t="s">
        <v>175</v>
      </c>
      <c r="G236" s="48" t="s">
        <v>87</v>
      </c>
      <c r="H236" s="30">
        <v>13562</v>
      </c>
      <c r="I236" s="30"/>
      <c r="J236" s="30">
        <v>20</v>
      </c>
      <c r="K236" s="28">
        <f t="shared" si="41"/>
        <v>180</v>
      </c>
      <c r="L236" s="31">
        <v>0.58333333333333337</v>
      </c>
      <c r="M236" s="31">
        <v>0.9375</v>
      </c>
      <c r="N236" s="32">
        <f t="shared" si="51"/>
        <v>0.35416666666666663</v>
      </c>
      <c r="O236" s="36">
        <v>510</v>
      </c>
      <c r="P236" s="36">
        <f t="shared" si="42"/>
        <v>440</v>
      </c>
      <c r="Q236" s="36">
        <f t="shared" si="43"/>
        <v>440</v>
      </c>
      <c r="R236" s="15">
        <v>0</v>
      </c>
      <c r="S236" s="20">
        <v>0</v>
      </c>
      <c r="T236" s="16">
        <v>0</v>
      </c>
      <c r="U236" s="16">
        <v>0</v>
      </c>
      <c r="V236" s="20">
        <v>0</v>
      </c>
      <c r="W236" s="20">
        <v>0</v>
      </c>
      <c r="X236" s="20">
        <v>0</v>
      </c>
      <c r="Y236" s="20">
        <v>0</v>
      </c>
      <c r="Z236" s="20">
        <v>0</v>
      </c>
      <c r="AA236" s="20">
        <v>0</v>
      </c>
      <c r="AB236" s="20">
        <v>0</v>
      </c>
      <c r="AC236" s="20">
        <v>0</v>
      </c>
      <c r="AD236" s="15">
        <f t="shared" si="49"/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  <c r="AJ236" s="15">
        <v>30</v>
      </c>
      <c r="AK236" s="15">
        <v>10</v>
      </c>
      <c r="AL236" s="15">
        <v>30</v>
      </c>
      <c r="AM236" s="15">
        <f t="shared" si="48"/>
        <v>70</v>
      </c>
      <c r="AN236" s="29">
        <f t="shared" si="44"/>
        <v>1320</v>
      </c>
      <c r="AO236" s="19">
        <v>1092</v>
      </c>
      <c r="AP236" s="21">
        <v>0</v>
      </c>
      <c r="AQ236" s="22">
        <v>0</v>
      </c>
      <c r="AR236" s="26">
        <f t="shared" si="50"/>
        <v>1092</v>
      </c>
      <c r="AS236" s="37">
        <f t="shared" si="45"/>
        <v>1</v>
      </c>
      <c r="AT236" s="38">
        <f t="shared" si="52"/>
        <v>0.82727272727272727</v>
      </c>
      <c r="AU236" s="38">
        <f t="shared" si="46"/>
        <v>1</v>
      </c>
      <c r="AV236" s="27">
        <f t="shared" si="47"/>
        <v>0.82727272727272727</v>
      </c>
    </row>
    <row r="237" spans="1:48" s="1" customFormat="1" ht="23.1" customHeight="1" x14ac:dyDescent="0.25">
      <c r="A237" s="109">
        <v>46039</v>
      </c>
      <c r="B237" s="47" t="s">
        <v>49</v>
      </c>
      <c r="C237" s="90" t="s">
        <v>51</v>
      </c>
      <c r="D237" s="47" t="s">
        <v>124</v>
      </c>
      <c r="E237" s="48">
        <v>98992</v>
      </c>
      <c r="F237" s="48" t="s">
        <v>215</v>
      </c>
      <c r="G237" s="48" t="s">
        <v>125</v>
      </c>
      <c r="H237" s="30">
        <v>14972</v>
      </c>
      <c r="I237" s="30"/>
      <c r="J237" s="30">
        <v>32</v>
      </c>
      <c r="K237" s="28">
        <f t="shared" si="41"/>
        <v>112.5</v>
      </c>
      <c r="L237" s="31">
        <v>0.58333333333333337</v>
      </c>
      <c r="M237" s="31">
        <v>0.9375</v>
      </c>
      <c r="N237" s="32">
        <f t="shared" si="51"/>
        <v>0.35416666666666663</v>
      </c>
      <c r="O237" s="36">
        <v>510</v>
      </c>
      <c r="P237" s="36">
        <f t="shared" si="42"/>
        <v>260</v>
      </c>
      <c r="Q237" s="36">
        <f t="shared" si="43"/>
        <v>260</v>
      </c>
      <c r="R237" s="15">
        <v>0</v>
      </c>
      <c r="S237" s="20">
        <v>0</v>
      </c>
      <c r="T237" s="16">
        <v>0</v>
      </c>
      <c r="U237" s="16">
        <v>0</v>
      </c>
      <c r="V237" s="20">
        <v>0</v>
      </c>
      <c r="W237" s="20">
        <v>0</v>
      </c>
      <c r="X237" s="20">
        <v>0</v>
      </c>
      <c r="Y237" s="20">
        <v>0</v>
      </c>
      <c r="Z237" s="20">
        <v>0</v>
      </c>
      <c r="AA237" s="20">
        <v>0</v>
      </c>
      <c r="AB237" s="20">
        <v>0</v>
      </c>
      <c r="AC237" s="20">
        <v>0</v>
      </c>
      <c r="AD237" s="15">
        <f t="shared" si="49"/>
        <v>0</v>
      </c>
      <c r="AE237" s="15">
        <v>0</v>
      </c>
      <c r="AF237" s="15">
        <v>0</v>
      </c>
      <c r="AG237" s="15">
        <v>0</v>
      </c>
      <c r="AH237" s="15">
        <v>180</v>
      </c>
      <c r="AI237" s="15">
        <v>0</v>
      </c>
      <c r="AJ237" s="15">
        <v>30</v>
      </c>
      <c r="AK237" s="15">
        <v>10</v>
      </c>
      <c r="AL237" s="15">
        <v>30</v>
      </c>
      <c r="AM237" s="15">
        <f t="shared" si="48"/>
        <v>250</v>
      </c>
      <c r="AN237" s="29">
        <f t="shared" si="44"/>
        <v>487.5</v>
      </c>
      <c r="AO237" s="19">
        <v>350</v>
      </c>
      <c r="AP237" s="21">
        <v>0</v>
      </c>
      <c r="AQ237" s="22">
        <v>2</v>
      </c>
      <c r="AR237" s="26">
        <f t="shared" si="50"/>
        <v>348</v>
      </c>
      <c r="AS237" s="37">
        <f t="shared" si="45"/>
        <v>1</v>
      </c>
      <c r="AT237" s="38">
        <f t="shared" si="52"/>
        <v>0.71794871794871795</v>
      </c>
      <c r="AU237" s="38">
        <f t="shared" si="46"/>
        <v>0.99428571428571433</v>
      </c>
      <c r="AV237" s="27">
        <f t="shared" si="47"/>
        <v>0.71384615384615391</v>
      </c>
    </row>
    <row r="238" spans="1:48" s="1" customFormat="1" ht="23.1" customHeight="1" x14ac:dyDescent="0.25">
      <c r="A238" s="109">
        <v>46039</v>
      </c>
      <c r="B238" s="47" t="s">
        <v>49</v>
      </c>
      <c r="C238" s="90" t="s">
        <v>51</v>
      </c>
      <c r="D238" s="47" t="s">
        <v>122</v>
      </c>
      <c r="E238" s="48">
        <v>98992</v>
      </c>
      <c r="F238" s="48" t="s">
        <v>169</v>
      </c>
      <c r="G238" s="48" t="s">
        <v>125</v>
      </c>
      <c r="H238" s="30">
        <v>14957</v>
      </c>
      <c r="I238" s="30"/>
      <c r="J238" s="30">
        <v>32</v>
      </c>
      <c r="K238" s="28">
        <f t="shared" si="41"/>
        <v>112.5</v>
      </c>
      <c r="L238" s="31">
        <v>0.58333333333333337</v>
      </c>
      <c r="M238" s="31">
        <v>0.9375</v>
      </c>
      <c r="N238" s="32">
        <f t="shared" si="51"/>
        <v>0.35416666666666663</v>
      </c>
      <c r="O238" s="36">
        <v>510</v>
      </c>
      <c r="P238" s="36">
        <f t="shared" si="42"/>
        <v>320</v>
      </c>
      <c r="Q238" s="36">
        <f t="shared" si="43"/>
        <v>320</v>
      </c>
      <c r="R238" s="15">
        <v>0</v>
      </c>
      <c r="S238" s="20">
        <v>0</v>
      </c>
      <c r="T238" s="16">
        <v>0</v>
      </c>
      <c r="U238" s="16">
        <v>0</v>
      </c>
      <c r="V238" s="20">
        <v>0</v>
      </c>
      <c r="W238" s="20">
        <v>0</v>
      </c>
      <c r="X238" s="20">
        <v>0</v>
      </c>
      <c r="Y238" s="20">
        <v>0</v>
      </c>
      <c r="Z238" s="20">
        <v>0</v>
      </c>
      <c r="AA238" s="20">
        <v>0</v>
      </c>
      <c r="AB238" s="20">
        <v>0</v>
      </c>
      <c r="AC238" s="20">
        <v>0</v>
      </c>
      <c r="AD238" s="15">
        <f t="shared" si="49"/>
        <v>0</v>
      </c>
      <c r="AE238" s="15">
        <v>0</v>
      </c>
      <c r="AF238" s="15">
        <v>0</v>
      </c>
      <c r="AG238" s="15">
        <v>0</v>
      </c>
      <c r="AH238" s="15">
        <v>120</v>
      </c>
      <c r="AI238" s="15">
        <v>0</v>
      </c>
      <c r="AJ238" s="15">
        <v>30</v>
      </c>
      <c r="AK238" s="15">
        <v>10</v>
      </c>
      <c r="AL238" s="15">
        <v>30</v>
      </c>
      <c r="AM238" s="15">
        <f t="shared" si="48"/>
        <v>190</v>
      </c>
      <c r="AN238" s="29">
        <f t="shared" si="44"/>
        <v>600</v>
      </c>
      <c r="AO238" s="19">
        <v>515</v>
      </c>
      <c r="AP238" s="21">
        <v>0</v>
      </c>
      <c r="AQ238" s="22">
        <v>1</v>
      </c>
      <c r="AR238" s="26">
        <f t="shared" si="50"/>
        <v>514</v>
      </c>
      <c r="AS238" s="37">
        <f t="shared" si="45"/>
        <v>1</v>
      </c>
      <c r="AT238" s="38">
        <f t="shared" si="52"/>
        <v>0.85833333333333328</v>
      </c>
      <c r="AU238" s="38">
        <f t="shared" si="46"/>
        <v>0.99805825242718449</v>
      </c>
      <c r="AV238" s="27">
        <f t="shared" si="47"/>
        <v>0.85666666666666669</v>
      </c>
    </row>
    <row r="239" spans="1:48" s="1" customFormat="1" ht="23.1" customHeight="1" x14ac:dyDescent="0.25">
      <c r="A239" s="109">
        <v>46039</v>
      </c>
      <c r="B239" s="47" t="s">
        <v>49</v>
      </c>
      <c r="C239" s="90" t="s">
        <v>51</v>
      </c>
      <c r="D239" s="47" t="s">
        <v>128</v>
      </c>
      <c r="E239" s="48">
        <v>98992</v>
      </c>
      <c r="F239" s="48" t="s">
        <v>53</v>
      </c>
      <c r="G239" s="48" t="s">
        <v>125</v>
      </c>
      <c r="H239" s="30">
        <v>15573</v>
      </c>
      <c r="I239" s="30"/>
      <c r="J239" s="30">
        <v>32</v>
      </c>
      <c r="K239" s="28">
        <f t="shared" si="41"/>
        <v>112.5</v>
      </c>
      <c r="L239" s="31">
        <v>0.58333333333333337</v>
      </c>
      <c r="M239" s="31">
        <v>0.9375</v>
      </c>
      <c r="N239" s="32">
        <f t="shared" si="51"/>
        <v>0.35416666666666663</v>
      </c>
      <c r="O239" s="36">
        <v>510</v>
      </c>
      <c r="P239" s="36">
        <f t="shared" si="42"/>
        <v>380</v>
      </c>
      <c r="Q239" s="36">
        <f t="shared" si="43"/>
        <v>380</v>
      </c>
      <c r="R239" s="15">
        <v>0</v>
      </c>
      <c r="S239" s="20">
        <v>0</v>
      </c>
      <c r="T239" s="16">
        <v>0</v>
      </c>
      <c r="U239" s="16">
        <v>0</v>
      </c>
      <c r="V239" s="20">
        <v>0</v>
      </c>
      <c r="W239" s="20">
        <v>0</v>
      </c>
      <c r="X239" s="20">
        <v>0</v>
      </c>
      <c r="Y239" s="20">
        <v>0</v>
      </c>
      <c r="Z239" s="20">
        <v>0</v>
      </c>
      <c r="AA239" s="20">
        <v>0</v>
      </c>
      <c r="AB239" s="20">
        <v>0</v>
      </c>
      <c r="AC239" s="20">
        <v>0</v>
      </c>
      <c r="AD239" s="15">
        <f t="shared" si="49"/>
        <v>0</v>
      </c>
      <c r="AE239" s="15">
        <v>0</v>
      </c>
      <c r="AF239" s="15">
        <v>0</v>
      </c>
      <c r="AG239" s="15">
        <v>0</v>
      </c>
      <c r="AH239" s="15">
        <v>60</v>
      </c>
      <c r="AI239" s="15">
        <v>0</v>
      </c>
      <c r="AJ239" s="15">
        <v>30</v>
      </c>
      <c r="AK239" s="15">
        <v>10</v>
      </c>
      <c r="AL239" s="15">
        <v>30</v>
      </c>
      <c r="AM239" s="15">
        <f t="shared" si="48"/>
        <v>130</v>
      </c>
      <c r="AN239" s="29">
        <f t="shared" si="44"/>
        <v>712.5</v>
      </c>
      <c r="AO239" s="19">
        <v>681</v>
      </c>
      <c r="AP239" s="21">
        <v>0</v>
      </c>
      <c r="AQ239" s="22">
        <v>1</v>
      </c>
      <c r="AR239" s="26">
        <f t="shared" si="50"/>
        <v>680</v>
      </c>
      <c r="AS239" s="37">
        <f t="shared" si="45"/>
        <v>1</v>
      </c>
      <c r="AT239" s="38">
        <f t="shared" si="52"/>
        <v>0.95578947368421052</v>
      </c>
      <c r="AU239" s="38">
        <f t="shared" si="46"/>
        <v>0.99853157121879588</v>
      </c>
      <c r="AV239" s="27">
        <f t="shared" si="47"/>
        <v>0.95438596491228067</v>
      </c>
    </row>
    <row r="240" spans="1:48" s="1" customFormat="1" ht="23.1" customHeight="1" x14ac:dyDescent="0.25">
      <c r="A240" s="109">
        <v>46039</v>
      </c>
      <c r="B240" s="47" t="s">
        <v>49</v>
      </c>
      <c r="C240" s="90" t="s">
        <v>51</v>
      </c>
      <c r="D240" s="47" t="s">
        <v>170</v>
      </c>
      <c r="E240" s="48">
        <v>98992</v>
      </c>
      <c r="F240" s="48" t="s">
        <v>176</v>
      </c>
      <c r="G240" s="48" t="s">
        <v>125</v>
      </c>
      <c r="H240" s="30">
        <v>15589</v>
      </c>
      <c r="I240" s="30"/>
      <c r="J240" s="30">
        <v>20</v>
      </c>
      <c r="K240" s="28">
        <f t="shared" si="41"/>
        <v>180</v>
      </c>
      <c r="L240" s="31">
        <v>0.58333333333333337</v>
      </c>
      <c r="M240" s="31">
        <v>0.9375</v>
      </c>
      <c r="N240" s="32">
        <f t="shared" si="51"/>
        <v>0.35416666666666663</v>
      </c>
      <c r="O240" s="36">
        <v>510</v>
      </c>
      <c r="P240" s="36">
        <f t="shared" si="42"/>
        <v>260</v>
      </c>
      <c r="Q240" s="36">
        <f t="shared" si="43"/>
        <v>260</v>
      </c>
      <c r="R240" s="15">
        <v>0</v>
      </c>
      <c r="S240" s="20">
        <v>0</v>
      </c>
      <c r="T240" s="16">
        <v>0</v>
      </c>
      <c r="U240" s="16">
        <v>0</v>
      </c>
      <c r="V240" s="20">
        <v>0</v>
      </c>
      <c r="W240" s="20">
        <v>0</v>
      </c>
      <c r="X240" s="20">
        <v>0</v>
      </c>
      <c r="Y240" s="20">
        <v>0</v>
      </c>
      <c r="Z240" s="20">
        <v>0</v>
      </c>
      <c r="AA240" s="20">
        <v>0</v>
      </c>
      <c r="AB240" s="20">
        <v>0</v>
      </c>
      <c r="AC240" s="20">
        <v>0</v>
      </c>
      <c r="AD240" s="15">
        <f t="shared" si="49"/>
        <v>0</v>
      </c>
      <c r="AE240" s="15">
        <v>0</v>
      </c>
      <c r="AF240" s="15">
        <v>0</v>
      </c>
      <c r="AG240" s="15">
        <v>0</v>
      </c>
      <c r="AH240" s="15">
        <v>180</v>
      </c>
      <c r="AI240" s="15">
        <v>0</v>
      </c>
      <c r="AJ240" s="15">
        <v>30</v>
      </c>
      <c r="AK240" s="15">
        <v>10</v>
      </c>
      <c r="AL240" s="15">
        <v>30</v>
      </c>
      <c r="AM240" s="15">
        <f t="shared" si="48"/>
        <v>250</v>
      </c>
      <c r="AN240" s="29">
        <f t="shared" si="44"/>
        <v>780</v>
      </c>
      <c r="AO240" s="19">
        <v>604</v>
      </c>
      <c r="AP240" s="21">
        <v>0</v>
      </c>
      <c r="AQ240" s="22">
        <v>1</v>
      </c>
      <c r="AR240" s="26">
        <f t="shared" si="50"/>
        <v>603</v>
      </c>
      <c r="AS240" s="37">
        <f t="shared" si="45"/>
        <v>1</v>
      </c>
      <c r="AT240" s="38">
        <f t="shared" si="52"/>
        <v>0.77435897435897438</v>
      </c>
      <c r="AU240" s="38">
        <f t="shared" si="46"/>
        <v>0.9983443708609272</v>
      </c>
      <c r="AV240" s="27">
        <f t="shared" si="47"/>
        <v>0.77307692307692311</v>
      </c>
    </row>
    <row r="241" spans="1:48" s="1" customFormat="1" ht="23.1" customHeight="1" x14ac:dyDescent="0.25">
      <c r="A241" s="109">
        <v>46039</v>
      </c>
      <c r="B241" s="47" t="s">
        <v>49</v>
      </c>
      <c r="C241" s="90" t="s">
        <v>51</v>
      </c>
      <c r="D241" s="47" t="s">
        <v>127</v>
      </c>
      <c r="E241" s="48">
        <v>98992</v>
      </c>
      <c r="F241" s="48" t="s">
        <v>175</v>
      </c>
      <c r="G241" s="48" t="s">
        <v>125</v>
      </c>
      <c r="H241" s="30">
        <v>15882</v>
      </c>
      <c r="I241" s="30"/>
      <c r="J241" s="30">
        <v>20</v>
      </c>
      <c r="K241" s="28">
        <f t="shared" si="41"/>
        <v>180</v>
      </c>
      <c r="L241" s="31">
        <v>0.58333333333333337</v>
      </c>
      <c r="M241" s="31">
        <v>0.9375</v>
      </c>
      <c r="N241" s="32">
        <f t="shared" si="51"/>
        <v>0.35416666666666663</v>
      </c>
      <c r="O241" s="36">
        <v>510</v>
      </c>
      <c r="P241" s="36">
        <f t="shared" si="42"/>
        <v>320</v>
      </c>
      <c r="Q241" s="36">
        <f t="shared" si="43"/>
        <v>320</v>
      </c>
      <c r="R241" s="15">
        <v>0</v>
      </c>
      <c r="S241" s="20">
        <v>0</v>
      </c>
      <c r="T241" s="16">
        <v>0</v>
      </c>
      <c r="U241" s="16">
        <v>0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15">
        <f t="shared" si="49"/>
        <v>0</v>
      </c>
      <c r="AE241" s="15">
        <v>0</v>
      </c>
      <c r="AF241" s="15">
        <v>0</v>
      </c>
      <c r="AG241" s="15">
        <v>0</v>
      </c>
      <c r="AH241" s="15">
        <v>120</v>
      </c>
      <c r="AI241" s="15">
        <v>0</v>
      </c>
      <c r="AJ241" s="15">
        <v>30</v>
      </c>
      <c r="AK241" s="15">
        <v>10</v>
      </c>
      <c r="AL241" s="15">
        <v>30</v>
      </c>
      <c r="AM241" s="15">
        <f t="shared" si="48"/>
        <v>190</v>
      </c>
      <c r="AN241" s="29">
        <f t="shared" si="44"/>
        <v>960</v>
      </c>
      <c r="AO241" s="19">
        <v>680</v>
      </c>
      <c r="AP241" s="21">
        <v>0</v>
      </c>
      <c r="AQ241" s="22">
        <v>0</v>
      </c>
      <c r="AR241" s="26">
        <f t="shared" si="50"/>
        <v>680</v>
      </c>
      <c r="AS241" s="37">
        <f t="shared" si="45"/>
        <v>1</v>
      </c>
      <c r="AT241" s="38">
        <f t="shared" si="52"/>
        <v>0.70833333333333337</v>
      </c>
      <c r="AU241" s="38">
        <f t="shared" si="46"/>
        <v>1</v>
      </c>
      <c r="AV241" s="27">
        <f t="shared" si="47"/>
        <v>0.70833333333333337</v>
      </c>
    </row>
    <row r="242" spans="1:48" s="1" customFormat="1" ht="23.1" customHeight="1" x14ac:dyDescent="0.25">
      <c r="A242" s="109">
        <v>46040</v>
      </c>
      <c r="B242" s="47" t="s">
        <v>49</v>
      </c>
      <c r="C242" s="78" t="s">
        <v>21</v>
      </c>
      <c r="D242" s="47" t="s">
        <v>94</v>
      </c>
      <c r="E242" s="48">
        <v>98992</v>
      </c>
      <c r="F242" s="48" t="s">
        <v>67</v>
      </c>
      <c r="G242" s="48" t="s">
        <v>174</v>
      </c>
      <c r="H242" s="30">
        <v>13562</v>
      </c>
      <c r="I242" s="30"/>
      <c r="J242" s="30">
        <v>24</v>
      </c>
      <c r="K242" s="28">
        <f t="shared" si="41"/>
        <v>150</v>
      </c>
      <c r="L242" s="31">
        <v>0.25</v>
      </c>
      <c r="M242" s="31">
        <v>0.60416666666666696</v>
      </c>
      <c r="N242" s="32">
        <f t="shared" si="51"/>
        <v>0.35416666666666696</v>
      </c>
      <c r="O242" s="36">
        <v>510</v>
      </c>
      <c r="P242" s="36">
        <f t="shared" si="42"/>
        <v>440</v>
      </c>
      <c r="Q242" s="36">
        <f t="shared" si="43"/>
        <v>440</v>
      </c>
      <c r="R242" s="15">
        <v>0</v>
      </c>
      <c r="S242" s="20">
        <v>0</v>
      </c>
      <c r="T242" s="16">
        <v>0</v>
      </c>
      <c r="U242" s="16">
        <v>0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15">
        <f t="shared" si="49"/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  <c r="AJ242" s="15">
        <v>30</v>
      </c>
      <c r="AK242" s="15">
        <v>10</v>
      </c>
      <c r="AL242" s="15">
        <v>30</v>
      </c>
      <c r="AM242" s="15">
        <f t="shared" si="48"/>
        <v>70</v>
      </c>
      <c r="AN242" s="29">
        <f t="shared" si="44"/>
        <v>1100</v>
      </c>
      <c r="AO242" s="19">
        <v>980</v>
      </c>
      <c r="AP242" s="21">
        <v>0</v>
      </c>
      <c r="AQ242" s="22">
        <v>20</v>
      </c>
      <c r="AR242" s="26">
        <f t="shared" si="50"/>
        <v>960</v>
      </c>
      <c r="AS242" s="37">
        <f t="shared" si="45"/>
        <v>1</v>
      </c>
      <c r="AT242" s="38">
        <f t="shared" si="52"/>
        <v>0.89090909090909087</v>
      </c>
      <c r="AU242" s="38">
        <f t="shared" si="46"/>
        <v>0.97959183673469385</v>
      </c>
      <c r="AV242" s="27">
        <f t="shared" si="47"/>
        <v>0.87272727272727268</v>
      </c>
    </row>
    <row r="243" spans="1:48" s="1" customFormat="1" ht="23.1" customHeight="1" x14ac:dyDescent="0.25">
      <c r="A243" s="109">
        <v>46040</v>
      </c>
      <c r="B243" s="47" t="s">
        <v>49</v>
      </c>
      <c r="C243" s="78" t="s">
        <v>21</v>
      </c>
      <c r="D243" s="47" t="s">
        <v>88</v>
      </c>
      <c r="E243" s="48">
        <v>98992</v>
      </c>
      <c r="F243" s="48" t="s">
        <v>126</v>
      </c>
      <c r="G243" s="48" t="s">
        <v>87</v>
      </c>
      <c r="H243" s="30">
        <v>11682</v>
      </c>
      <c r="I243" s="30"/>
      <c r="J243" s="30">
        <v>32</v>
      </c>
      <c r="K243" s="28">
        <f t="shared" si="41"/>
        <v>112.5</v>
      </c>
      <c r="L243" s="31">
        <v>0.25</v>
      </c>
      <c r="M243" s="31">
        <v>0.60416666666666696</v>
      </c>
      <c r="N243" s="32">
        <f t="shared" si="51"/>
        <v>0.35416666666666696</v>
      </c>
      <c r="O243" s="36">
        <v>510</v>
      </c>
      <c r="P243" s="36">
        <f t="shared" si="42"/>
        <v>440</v>
      </c>
      <c r="Q243" s="36">
        <f t="shared" si="43"/>
        <v>440</v>
      </c>
      <c r="R243" s="15">
        <v>0</v>
      </c>
      <c r="S243" s="20">
        <v>0</v>
      </c>
      <c r="T243" s="16">
        <v>0</v>
      </c>
      <c r="U243" s="16">
        <v>0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15">
        <f t="shared" si="49"/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  <c r="AJ243" s="15">
        <v>30</v>
      </c>
      <c r="AK243" s="15">
        <v>10</v>
      </c>
      <c r="AL243" s="15">
        <v>30</v>
      </c>
      <c r="AM243" s="15">
        <f t="shared" si="48"/>
        <v>70</v>
      </c>
      <c r="AN243" s="29">
        <f t="shared" si="44"/>
        <v>825</v>
      </c>
      <c r="AO243" s="19">
        <v>705</v>
      </c>
      <c r="AP243" s="21">
        <v>0</v>
      </c>
      <c r="AQ243" s="22">
        <v>1</v>
      </c>
      <c r="AR243" s="26">
        <f t="shared" si="50"/>
        <v>704</v>
      </c>
      <c r="AS243" s="37">
        <f t="shared" si="45"/>
        <v>1</v>
      </c>
      <c r="AT243" s="38">
        <f t="shared" si="52"/>
        <v>0.8545454545454545</v>
      </c>
      <c r="AU243" s="38">
        <f t="shared" si="46"/>
        <v>0.99858156028368794</v>
      </c>
      <c r="AV243" s="27">
        <f t="shared" si="47"/>
        <v>0.85333333333333328</v>
      </c>
    </row>
    <row r="244" spans="1:48" s="1" customFormat="1" ht="23.1" customHeight="1" x14ac:dyDescent="0.25">
      <c r="A244" s="109">
        <v>46040</v>
      </c>
      <c r="B244" s="47" t="s">
        <v>49</v>
      </c>
      <c r="C244" s="78" t="s">
        <v>21</v>
      </c>
      <c r="D244" s="47" t="s">
        <v>89</v>
      </c>
      <c r="E244" s="48">
        <v>98992</v>
      </c>
      <c r="F244" s="48" t="s">
        <v>169</v>
      </c>
      <c r="G244" s="48" t="s">
        <v>87</v>
      </c>
      <c r="H244" s="30">
        <v>16219</v>
      </c>
      <c r="I244" s="30"/>
      <c r="J244" s="30">
        <v>32</v>
      </c>
      <c r="K244" s="28">
        <f t="shared" si="41"/>
        <v>112.5</v>
      </c>
      <c r="L244" s="31">
        <v>0.25</v>
      </c>
      <c r="M244" s="31">
        <v>0.60416666666666696</v>
      </c>
      <c r="N244" s="32">
        <f t="shared" si="51"/>
        <v>0.35416666666666696</v>
      </c>
      <c r="O244" s="36">
        <v>510</v>
      </c>
      <c r="P244" s="36">
        <f t="shared" si="42"/>
        <v>440</v>
      </c>
      <c r="Q244" s="36">
        <f t="shared" si="43"/>
        <v>440</v>
      </c>
      <c r="R244" s="15">
        <v>0</v>
      </c>
      <c r="S244" s="20">
        <v>0</v>
      </c>
      <c r="T244" s="16">
        <v>0</v>
      </c>
      <c r="U244" s="16">
        <v>0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15">
        <f t="shared" si="49"/>
        <v>0</v>
      </c>
      <c r="AE244" s="15">
        <v>0</v>
      </c>
      <c r="AF244" s="15">
        <v>0</v>
      </c>
      <c r="AG244" s="15">
        <v>0</v>
      </c>
      <c r="AH244" s="15">
        <v>0</v>
      </c>
      <c r="AI244" s="15">
        <v>0</v>
      </c>
      <c r="AJ244" s="15">
        <v>30</v>
      </c>
      <c r="AK244" s="15">
        <v>10</v>
      </c>
      <c r="AL244" s="15">
        <v>30</v>
      </c>
      <c r="AM244" s="15">
        <f t="shared" si="48"/>
        <v>70</v>
      </c>
      <c r="AN244" s="29">
        <f t="shared" si="44"/>
        <v>825</v>
      </c>
      <c r="AO244" s="19">
        <v>528</v>
      </c>
      <c r="AP244" s="21">
        <v>0</v>
      </c>
      <c r="AQ244" s="22">
        <v>1</v>
      </c>
      <c r="AR244" s="26">
        <f t="shared" si="50"/>
        <v>527</v>
      </c>
      <c r="AS244" s="37">
        <f t="shared" si="45"/>
        <v>1</v>
      </c>
      <c r="AT244" s="38">
        <f t="shared" si="52"/>
        <v>0.64</v>
      </c>
      <c r="AU244" s="38">
        <f t="shared" si="46"/>
        <v>0.99810606060606055</v>
      </c>
      <c r="AV244" s="27">
        <f t="shared" si="47"/>
        <v>0.63878787878787879</v>
      </c>
    </row>
    <row r="245" spans="1:48" s="1" customFormat="1" ht="23.1" customHeight="1" x14ac:dyDescent="0.25">
      <c r="A245" s="109">
        <v>46040</v>
      </c>
      <c r="B245" s="47" t="s">
        <v>49</v>
      </c>
      <c r="C245" s="78" t="s">
        <v>21</v>
      </c>
      <c r="D245" s="47" t="s">
        <v>52</v>
      </c>
      <c r="E245" s="48">
        <v>98992</v>
      </c>
      <c r="F245" s="48" t="s">
        <v>53</v>
      </c>
      <c r="G245" s="48" t="s">
        <v>87</v>
      </c>
      <c r="H245" s="30">
        <v>16000</v>
      </c>
      <c r="I245" s="30"/>
      <c r="J245" s="30">
        <v>32</v>
      </c>
      <c r="K245" s="28">
        <f t="shared" si="41"/>
        <v>112.5</v>
      </c>
      <c r="L245" s="31">
        <v>0.25</v>
      </c>
      <c r="M245" s="31">
        <v>0.60416666666666696</v>
      </c>
      <c r="N245" s="32">
        <f t="shared" si="51"/>
        <v>0.35416666666666696</v>
      </c>
      <c r="O245" s="36">
        <v>510</v>
      </c>
      <c r="P245" s="36">
        <f t="shared" si="42"/>
        <v>440</v>
      </c>
      <c r="Q245" s="36">
        <f t="shared" si="43"/>
        <v>440</v>
      </c>
      <c r="R245" s="15">
        <v>0</v>
      </c>
      <c r="S245" s="20">
        <v>0</v>
      </c>
      <c r="T245" s="16">
        <v>0</v>
      </c>
      <c r="U245" s="16">
        <v>0</v>
      </c>
      <c r="V245" s="20">
        <v>0</v>
      </c>
      <c r="W245" s="20">
        <v>0</v>
      </c>
      <c r="X245" s="20">
        <v>0</v>
      </c>
      <c r="Y245" s="20">
        <v>0</v>
      </c>
      <c r="Z245" s="20">
        <v>0</v>
      </c>
      <c r="AA245" s="20">
        <v>0</v>
      </c>
      <c r="AB245" s="20">
        <v>0</v>
      </c>
      <c r="AC245" s="20">
        <v>0</v>
      </c>
      <c r="AD245" s="15">
        <f t="shared" si="49"/>
        <v>0</v>
      </c>
      <c r="AE245" s="15">
        <v>0</v>
      </c>
      <c r="AF245" s="15">
        <v>0</v>
      </c>
      <c r="AG245" s="15">
        <v>0</v>
      </c>
      <c r="AH245" s="15">
        <v>0</v>
      </c>
      <c r="AI245" s="15">
        <v>0</v>
      </c>
      <c r="AJ245" s="15">
        <v>30</v>
      </c>
      <c r="AK245" s="15">
        <v>10</v>
      </c>
      <c r="AL245" s="15">
        <v>30</v>
      </c>
      <c r="AM245" s="15">
        <f t="shared" si="48"/>
        <v>70</v>
      </c>
      <c r="AN245" s="29">
        <f t="shared" si="44"/>
        <v>825</v>
      </c>
      <c r="AO245" s="19">
        <v>672</v>
      </c>
      <c r="AP245" s="21">
        <v>0</v>
      </c>
      <c r="AQ245" s="22">
        <v>1</v>
      </c>
      <c r="AR245" s="26">
        <f t="shared" si="50"/>
        <v>671</v>
      </c>
      <c r="AS245" s="37">
        <f t="shared" si="45"/>
        <v>1</v>
      </c>
      <c r="AT245" s="38">
        <f t="shared" si="52"/>
        <v>0.81454545454545457</v>
      </c>
      <c r="AU245" s="38">
        <f t="shared" si="46"/>
        <v>0.99851190476190477</v>
      </c>
      <c r="AV245" s="27">
        <f t="shared" si="47"/>
        <v>0.81333333333333335</v>
      </c>
    </row>
    <row r="246" spans="1:48" s="1" customFormat="1" ht="23.1" customHeight="1" x14ac:dyDescent="0.25">
      <c r="A246" s="109">
        <v>46040</v>
      </c>
      <c r="B246" s="47" t="s">
        <v>49</v>
      </c>
      <c r="C246" s="78" t="s">
        <v>21</v>
      </c>
      <c r="D246" s="47" t="s">
        <v>124</v>
      </c>
      <c r="E246" s="48">
        <v>98992</v>
      </c>
      <c r="F246" s="48" t="s">
        <v>215</v>
      </c>
      <c r="G246" s="48" t="s">
        <v>125</v>
      </c>
      <c r="H246" s="30">
        <v>13105</v>
      </c>
      <c r="I246" s="30"/>
      <c r="J246" s="30">
        <v>32</v>
      </c>
      <c r="K246" s="28">
        <f t="shared" si="41"/>
        <v>112.5</v>
      </c>
      <c r="L246" s="31">
        <v>0.25</v>
      </c>
      <c r="M246" s="31">
        <v>0.60416666666666696</v>
      </c>
      <c r="N246" s="32">
        <f t="shared" si="51"/>
        <v>0.35416666666666696</v>
      </c>
      <c r="O246" s="36">
        <v>510</v>
      </c>
      <c r="P246" s="36">
        <f t="shared" si="42"/>
        <v>440</v>
      </c>
      <c r="Q246" s="36">
        <f t="shared" si="43"/>
        <v>440</v>
      </c>
      <c r="R246" s="15">
        <v>0</v>
      </c>
      <c r="S246" s="20">
        <v>0</v>
      </c>
      <c r="T246" s="16">
        <v>0</v>
      </c>
      <c r="U246" s="16">
        <v>0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15">
        <f t="shared" si="49"/>
        <v>0</v>
      </c>
      <c r="AE246" s="15">
        <v>0</v>
      </c>
      <c r="AF246" s="15">
        <v>0</v>
      </c>
      <c r="AG246" s="15">
        <v>0</v>
      </c>
      <c r="AH246" s="15">
        <v>0</v>
      </c>
      <c r="AI246" s="15">
        <v>0</v>
      </c>
      <c r="AJ246" s="15">
        <v>30</v>
      </c>
      <c r="AK246" s="15">
        <v>10</v>
      </c>
      <c r="AL246" s="15">
        <v>30</v>
      </c>
      <c r="AM246" s="15">
        <f t="shared" si="48"/>
        <v>70</v>
      </c>
      <c r="AN246" s="29">
        <f t="shared" si="44"/>
        <v>825</v>
      </c>
      <c r="AO246" s="19">
        <v>800</v>
      </c>
      <c r="AP246" s="21">
        <v>0</v>
      </c>
      <c r="AQ246" s="22">
        <v>2</v>
      </c>
      <c r="AR246" s="26">
        <f t="shared" si="50"/>
        <v>798</v>
      </c>
      <c r="AS246" s="37">
        <f t="shared" si="45"/>
        <v>1</v>
      </c>
      <c r="AT246" s="38">
        <f t="shared" si="52"/>
        <v>0.96969696969696972</v>
      </c>
      <c r="AU246" s="38">
        <f t="shared" si="46"/>
        <v>0.99750000000000005</v>
      </c>
      <c r="AV246" s="27">
        <f t="shared" si="47"/>
        <v>0.9672727272727274</v>
      </c>
    </row>
    <row r="247" spans="1:48" s="1" customFormat="1" ht="23.1" customHeight="1" x14ac:dyDescent="0.25">
      <c r="A247" s="109">
        <v>46040</v>
      </c>
      <c r="B247" s="47" t="s">
        <v>49</v>
      </c>
      <c r="C247" s="78" t="s">
        <v>21</v>
      </c>
      <c r="D247" s="47" t="s">
        <v>122</v>
      </c>
      <c r="E247" s="48">
        <v>98992</v>
      </c>
      <c r="F247" s="48" t="s">
        <v>169</v>
      </c>
      <c r="G247" s="48" t="s">
        <v>125</v>
      </c>
      <c r="H247" s="30">
        <v>14957</v>
      </c>
      <c r="I247" s="30"/>
      <c r="J247" s="30">
        <v>32</v>
      </c>
      <c r="K247" s="28">
        <f t="shared" si="41"/>
        <v>112.5</v>
      </c>
      <c r="L247" s="31">
        <v>0.25</v>
      </c>
      <c r="M247" s="31">
        <v>0.60416666666666696</v>
      </c>
      <c r="N247" s="32">
        <f t="shared" si="51"/>
        <v>0.35416666666666696</v>
      </c>
      <c r="O247" s="36">
        <v>510</v>
      </c>
      <c r="P247" s="36">
        <f t="shared" si="42"/>
        <v>440</v>
      </c>
      <c r="Q247" s="36">
        <f t="shared" si="43"/>
        <v>440</v>
      </c>
      <c r="R247" s="15">
        <v>0</v>
      </c>
      <c r="S247" s="20">
        <v>0</v>
      </c>
      <c r="T247" s="16">
        <v>0</v>
      </c>
      <c r="U247" s="16">
        <v>0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15">
        <f t="shared" si="49"/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  <c r="AJ247" s="15">
        <v>30</v>
      </c>
      <c r="AK247" s="15">
        <v>10</v>
      </c>
      <c r="AL247" s="15">
        <v>30</v>
      </c>
      <c r="AM247" s="15">
        <f t="shared" si="48"/>
        <v>70</v>
      </c>
      <c r="AN247" s="29">
        <f t="shared" si="44"/>
        <v>825</v>
      </c>
      <c r="AO247" s="19">
        <v>570</v>
      </c>
      <c r="AP247" s="21">
        <v>0</v>
      </c>
      <c r="AQ247" s="22">
        <v>1</v>
      </c>
      <c r="AR247" s="26">
        <f t="shared" si="50"/>
        <v>569</v>
      </c>
      <c r="AS247" s="37">
        <f t="shared" si="45"/>
        <v>1</v>
      </c>
      <c r="AT247" s="38">
        <f t="shared" si="52"/>
        <v>0.69090909090909092</v>
      </c>
      <c r="AU247" s="38">
        <f t="shared" si="46"/>
        <v>0.99824561403508771</v>
      </c>
      <c r="AV247" s="27">
        <f t="shared" si="47"/>
        <v>0.6896969696969697</v>
      </c>
    </row>
    <row r="248" spans="1:48" s="1" customFormat="1" ht="23.1" customHeight="1" x14ac:dyDescent="0.25">
      <c r="A248" s="109">
        <v>46040</v>
      </c>
      <c r="B248" s="47" t="s">
        <v>49</v>
      </c>
      <c r="C248" s="78" t="s">
        <v>21</v>
      </c>
      <c r="D248" s="47" t="s">
        <v>128</v>
      </c>
      <c r="E248" s="48">
        <v>98992</v>
      </c>
      <c r="F248" s="48" t="s">
        <v>53</v>
      </c>
      <c r="G248" s="48" t="s">
        <v>125</v>
      </c>
      <c r="H248" s="30">
        <v>15632</v>
      </c>
      <c r="I248" s="30"/>
      <c r="J248" s="30">
        <v>32</v>
      </c>
      <c r="K248" s="28">
        <f t="shared" si="41"/>
        <v>112.5</v>
      </c>
      <c r="L248" s="31">
        <v>0.25</v>
      </c>
      <c r="M248" s="31">
        <v>0.60416666666666696</v>
      </c>
      <c r="N248" s="32">
        <f t="shared" si="51"/>
        <v>0.35416666666666696</v>
      </c>
      <c r="O248" s="36">
        <v>510</v>
      </c>
      <c r="P248" s="36">
        <f t="shared" si="42"/>
        <v>440</v>
      </c>
      <c r="Q248" s="36">
        <f t="shared" si="43"/>
        <v>440</v>
      </c>
      <c r="R248" s="15">
        <v>0</v>
      </c>
      <c r="S248" s="20">
        <v>0</v>
      </c>
      <c r="T248" s="16">
        <v>0</v>
      </c>
      <c r="U248" s="16">
        <v>0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15">
        <f t="shared" si="49"/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  <c r="AJ248" s="15">
        <v>30</v>
      </c>
      <c r="AK248" s="15">
        <v>10</v>
      </c>
      <c r="AL248" s="15">
        <v>30</v>
      </c>
      <c r="AM248" s="15">
        <f t="shared" si="48"/>
        <v>70</v>
      </c>
      <c r="AN248" s="29">
        <f t="shared" si="44"/>
        <v>825</v>
      </c>
      <c r="AO248" s="19">
        <v>670</v>
      </c>
      <c r="AP248" s="21">
        <v>0</v>
      </c>
      <c r="AQ248" s="22">
        <v>1</v>
      </c>
      <c r="AR248" s="26">
        <f t="shared" si="50"/>
        <v>669</v>
      </c>
      <c r="AS248" s="37">
        <f t="shared" si="45"/>
        <v>1</v>
      </c>
      <c r="AT248" s="38">
        <f t="shared" si="52"/>
        <v>0.81212121212121213</v>
      </c>
      <c r="AU248" s="38">
        <f t="shared" si="46"/>
        <v>0.9985074626865672</v>
      </c>
      <c r="AV248" s="27">
        <f t="shared" si="47"/>
        <v>0.81090909090909091</v>
      </c>
    </row>
    <row r="249" spans="1:48" s="1" customFormat="1" ht="23.1" customHeight="1" x14ac:dyDescent="0.25">
      <c r="A249" s="109">
        <v>46040</v>
      </c>
      <c r="B249" s="47" t="s">
        <v>49</v>
      </c>
      <c r="C249" s="78" t="s">
        <v>21</v>
      </c>
      <c r="D249" s="47" t="s">
        <v>170</v>
      </c>
      <c r="E249" s="48">
        <v>98992</v>
      </c>
      <c r="F249" s="48" t="s">
        <v>176</v>
      </c>
      <c r="G249" s="48" t="s">
        <v>125</v>
      </c>
      <c r="H249" s="30">
        <v>15859</v>
      </c>
      <c r="I249" s="30"/>
      <c r="J249" s="30">
        <v>20</v>
      </c>
      <c r="K249" s="28">
        <f t="shared" si="41"/>
        <v>180</v>
      </c>
      <c r="L249" s="31">
        <v>0.25</v>
      </c>
      <c r="M249" s="31">
        <v>0.60416666666666696</v>
      </c>
      <c r="N249" s="32">
        <f t="shared" si="51"/>
        <v>0.35416666666666696</v>
      </c>
      <c r="O249" s="36">
        <v>510</v>
      </c>
      <c r="P249" s="36">
        <f t="shared" si="42"/>
        <v>320</v>
      </c>
      <c r="Q249" s="36">
        <f t="shared" si="43"/>
        <v>320</v>
      </c>
      <c r="R249" s="15">
        <v>0</v>
      </c>
      <c r="S249" s="20">
        <v>0</v>
      </c>
      <c r="T249" s="16">
        <v>0</v>
      </c>
      <c r="U249" s="16">
        <v>0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15">
        <f t="shared" si="49"/>
        <v>0</v>
      </c>
      <c r="AE249" s="15">
        <v>0</v>
      </c>
      <c r="AF249" s="15">
        <v>0</v>
      </c>
      <c r="AG249" s="15">
        <v>0</v>
      </c>
      <c r="AH249" s="15">
        <v>120</v>
      </c>
      <c r="AI249" s="15">
        <v>0</v>
      </c>
      <c r="AJ249" s="15">
        <v>30</v>
      </c>
      <c r="AK249" s="15">
        <v>10</v>
      </c>
      <c r="AL249" s="15">
        <v>30</v>
      </c>
      <c r="AM249" s="15">
        <f t="shared" si="48"/>
        <v>190</v>
      </c>
      <c r="AN249" s="29">
        <f t="shared" si="44"/>
        <v>960</v>
      </c>
      <c r="AO249" s="19">
        <v>735</v>
      </c>
      <c r="AP249" s="21">
        <v>0</v>
      </c>
      <c r="AQ249" s="22">
        <v>0</v>
      </c>
      <c r="AR249" s="26">
        <f t="shared" si="50"/>
        <v>735</v>
      </c>
      <c r="AS249" s="37">
        <f t="shared" si="45"/>
        <v>1</v>
      </c>
      <c r="AT249" s="38">
        <f t="shared" si="52"/>
        <v>0.765625</v>
      </c>
      <c r="AU249" s="38">
        <f t="shared" si="46"/>
        <v>1</v>
      </c>
      <c r="AV249" s="27">
        <f t="shared" si="47"/>
        <v>0.765625</v>
      </c>
    </row>
    <row r="250" spans="1:48" s="1" customFormat="1" ht="23.1" customHeight="1" x14ac:dyDescent="0.25">
      <c r="A250" s="109">
        <v>46040</v>
      </c>
      <c r="B250" s="47" t="s">
        <v>49</v>
      </c>
      <c r="C250" s="78" t="s">
        <v>21</v>
      </c>
      <c r="D250" s="47" t="s">
        <v>127</v>
      </c>
      <c r="E250" s="48">
        <v>98992</v>
      </c>
      <c r="F250" s="48" t="s">
        <v>175</v>
      </c>
      <c r="G250" s="48" t="s">
        <v>125</v>
      </c>
      <c r="H250" s="30">
        <v>15773</v>
      </c>
      <c r="I250" s="30"/>
      <c r="J250" s="30">
        <v>20</v>
      </c>
      <c r="K250" s="28">
        <f t="shared" si="41"/>
        <v>180</v>
      </c>
      <c r="L250" s="31">
        <v>0.25</v>
      </c>
      <c r="M250" s="31">
        <v>0.60416666666666696</v>
      </c>
      <c r="N250" s="32">
        <f t="shared" si="51"/>
        <v>0.35416666666666696</v>
      </c>
      <c r="O250" s="36">
        <v>510</v>
      </c>
      <c r="P250" s="36">
        <f t="shared" si="42"/>
        <v>310</v>
      </c>
      <c r="Q250" s="36">
        <f t="shared" si="43"/>
        <v>310</v>
      </c>
      <c r="R250" s="15">
        <v>0</v>
      </c>
      <c r="S250" s="20">
        <v>0</v>
      </c>
      <c r="T250" s="16">
        <v>0</v>
      </c>
      <c r="U250" s="16">
        <v>0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15">
        <f t="shared" si="49"/>
        <v>0</v>
      </c>
      <c r="AE250" s="15">
        <v>10</v>
      </c>
      <c r="AF250" s="15">
        <v>0</v>
      </c>
      <c r="AG250" s="15">
        <v>0</v>
      </c>
      <c r="AH250" s="15">
        <v>120</v>
      </c>
      <c r="AI250" s="15">
        <v>0</v>
      </c>
      <c r="AJ250" s="15">
        <v>30</v>
      </c>
      <c r="AK250" s="15">
        <v>10</v>
      </c>
      <c r="AL250" s="15">
        <v>30</v>
      </c>
      <c r="AM250" s="15">
        <f t="shared" si="48"/>
        <v>200</v>
      </c>
      <c r="AN250" s="29">
        <f t="shared" si="44"/>
        <v>930</v>
      </c>
      <c r="AO250" s="19">
        <v>722</v>
      </c>
      <c r="AP250" s="21">
        <v>0</v>
      </c>
      <c r="AQ250" s="22">
        <v>1</v>
      </c>
      <c r="AR250" s="26">
        <f t="shared" si="50"/>
        <v>721</v>
      </c>
      <c r="AS250" s="37">
        <f t="shared" si="45"/>
        <v>1</v>
      </c>
      <c r="AT250" s="38">
        <f t="shared" si="52"/>
        <v>0.7763440860215054</v>
      </c>
      <c r="AU250" s="38">
        <f t="shared" si="46"/>
        <v>0.99861495844875348</v>
      </c>
      <c r="AV250" s="27">
        <f t="shared" si="47"/>
        <v>0.77526881720430108</v>
      </c>
    </row>
    <row r="251" spans="1:48" s="1" customFormat="1" ht="23.1" customHeight="1" x14ac:dyDescent="0.25">
      <c r="A251" s="109">
        <v>46040</v>
      </c>
      <c r="B251" s="47" t="s">
        <v>49</v>
      </c>
      <c r="C251" s="78" t="s">
        <v>51</v>
      </c>
      <c r="D251" s="47" t="s">
        <v>94</v>
      </c>
      <c r="E251" s="48">
        <v>98992</v>
      </c>
      <c r="F251" s="48" t="s">
        <v>67</v>
      </c>
      <c r="G251" s="48" t="s">
        <v>174</v>
      </c>
      <c r="H251" s="30">
        <v>14033</v>
      </c>
      <c r="I251" s="30"/>
      <c r="J251" s="30">
        <v>24</v>
      </c>
      <c r="K251" s="28">
        <f t="shared" si="41"/>
        <v>150</v>
      </c>
      <c r="L251" s="31">
        <v>0.58333333333333337</v>
      </c>
      <c r="M251" s="31">
        <v>0.9375</v>
      </c>
      <c r="N251" s="32">
        <f t="shared" si="51"/>
        <v>0.35416666666666663</v>
      </c>
      <c r="O251" s="36">
        <v>510</v>
      </c>
      <c r="P251" s="36">
        <f t="shared" si="42"/>
        <v>440</v>
      </c>
      <c r="Q251" s="36">
        <f t="shared" si="43"/>
        <v>440</v>
      </c>
      <c r="R251" s="15">
        <v>0</v>
      </c>
      <c r="S251" s="20">
        <v>0</v>
      </c>
      <c r="T251" s="16">
        <v>0</v>
      </c>
      <c r="U251" s="16">
        <v>0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15">
        <f t="shared" si="49"/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  <c r="AJ251" s="15">
        <v>30</v>
      </c>
      <c r="AK251" s="15">
        <v>10</v>
      </c>
      <c r="AL251" s="15">
        <v>30</v>
      </c>
      <c r="AM251" s="15">
        <f t="shared" si="48"/>
        <v>70</v>
      </c>
      <c r="AN251" s="29">
        <f t="shared" si="44"/>
        <v>1100</v>
      </c>
      <c r="AO251" s="19">
        <v>930</v>
      </c>
      <c r="AP251" s="21">
        <v>0</v>
      </c>
      <c r="AQ251" s="22">
        <v>30</v>
      </c>
      <c r="AR251" s="26">
        <f t="shared" si="50"/>
        <v>900</v>
      </c>
      <c r="AS251" s="37">
        <f t="shared" si="45"/>
        <v>1</v>
      </c>
      <c r="AT251" s="38">
        <f t="shared" si="52"/>
        <v>0.84545454545454546</v>
      </c>
      <c r="AU251" s="38">
        <f t="shared" si="46"/>
        <v>0.967741935483871</v>
      </c>
      <c r="AV251" s="27">
        <f t="shared" si="47"/>
        <v>0.81818181818181823</v>
      </c>
    </row>
    <row r="252" spans="1:48" s="1" customFormat="1" ht="23.1" customHeight="1" x14ac:dyDescent="0.25">
      <c r="A252" s="109">
        <v>46040</v>
      </c>
      <c r="B252" s="47" t="s">
        <v>49</v>
      </c>
      <c r="C252" s="78" t="s">
        <v>51</v>
      </c>
      <c r="D252" s="47" t="s">
        <v>122</v>
      </c>
      <c r="E252" s="48">
        <v>98992</v>
      </c>
      <c r="F252" s="48" t="s">
        <v>169</v>
      </c>
      <c r="G252" s="48" t="s">
        <v>125</v>
      </c>
      <c r="H252" s="30">
        <v>13669</v>
      </c>
      <c r="I252" s="30"/>
      <c r="J252" s="30">
        <v>32</v>
      </c>
      <c r="K252" s="28">
        <f t="shared" si="41"/>
        <v>112.5</v>
      </c>
      <c r="L252" s="31">
        <v>0.58333333333333337</v>
      </c>
      <c r="M252" s="31">
        <v>0.9375</v>
      </c>
      <c r="N252" s="32">
        <f t="shared" si="51"/>
        <v>0.35416666666666663</v>
      </c>
      <c r="O252" s="36">
        <v>510</v>
      </c>
      <c r="P252" s="36">
        <f t="shared" si="42"/>
        <v>320</v>
      </c>
      <c r="Q252" s="36">
        <f t="shared" si="43"/>
        <v>320</v>
      </c>
      <c r="R252" s="15">
        <v>0</v>
      </c>
      <c r="S252" s="20">
        <v>0</v>
      </c>
      <c r="T252" s="16">
        <v>0</v>
      </c>
      <c r="U252" s="16">
        <v>0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15">
        <f t="shared" si="49"/>
        <v>0</v>
      </c>
      <c r="AE252" s="15">
        <v>0</v>
      </c>
      <c r="AF252" s="15">
        <v>0</v>
      </c>
      <c r="AG252" s="15">
        <v>0</v>
      </c>
      <c r="AH252" s="15">
        <v>120</v>
      </c>
      <c r="AI252" s="15">
        <v>0</v>
      </c>
      <c r="AJ252" s="15">
        <v>30</v>
      </c>
      <c r="AK252" s="15">
        <v>10</v>
      </c>
      <c r="AL252" s="15">
        <v>30</v>
      </c>
      <c r="AM252" s="15">
        <f t="shared" si="48"/>
        <v>190</v>
      </c>
      <c r="AN252" s="29">
        <f t="shared" si="44"/>
        <v>600</v>
      </c>
      <c r="AO252" s="19">
        <v>562</v>
      </c>
      <c r="AP252" s="21">
        <v>0</v>
      </c>
      <c r="AQ252" s="22">
        <v>1</v>
      </c>
      <c r="AR252" s="26">
        <f t="shared" si="50"/>
        <v>561</v>
      </c>
      <c r="AS252" s="37">
        <f t="shared" si="45"/>
        <v>1</v>
      </c>
      <c r="AT252" s="38">
        <f t="shared" si="52"/>
        <v>0.93666666666666665</v>
      </c>
      <c r="AU252" s="38">
        <f t="shared" si="46"/>
        <v>0.99822064056939497</v>
      </c>
      <c r="AV252" s="27">
        <f t="shared" si="47"/>
        <v>0.93499999999999994</v>
      </c>
    </row>
    <row r="253" spans="1:48" s="1" customFormat="1" ht="23.1" customHeight="1" x14ac:dyDescent="0.25">
      <c r="A253" s="109">
        <v>46041</v>
      </c>
      <c r="B253" s="47" t="s">
        <v>49</v>
      </c>
      <c r="C253" s="78" t="s">
        <v>21</v>
      </c>
      <c r="D253" s="47" t="s">
        <v>94</v>
      </c>
      <c r="E253" s="48">
        <v>98992</v>
      </c>
      <c r="F253" s="48" t="s">
        <v>67</v>
      </c>
      <c r="G253" s="48" t="s">
        <v>174</v>
      </c>
      <c r="H253" s="30">
        <v>15726</v>
      </c>
      <c r="I253" s="30"/>
      <c r="J253" s="30">
        <v>24</v>
      </c>
      <c r="K253" s="28">
        <f t="shared" si="41"/>
        <v>150</v>
      </c>
      <c r="L253" s="31">
        <v>0.25</v>
      </c>
      <c r="M253" s="31">
        <v>0.60416666666666696</v>
      </c>
      <c r="N253" s="32">
        <f t="shared" si="51"/>
        <v>0.35416666666666696</v>
      </c>
      <c r="O253" s="36">
        <v>510</v>
      </c>
      <c r="P253" s="36">
        <f t="shared" si="42"/>
        <v>440</v>
      </c>
      <c r="Q253" s="36">
        <f t="shared" si="43"/>
        <v>440</v>
      </c>
      <c r="R253" s="15">
        <v>0</v>
      </c>
      <c r="S253" s="20">
        <v>0</v>
      </c>
      <c r="T253" s="16">
        <v>0</v>
      </c>
      <c r="U253" s="16">
        <v>0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15">
        <f t="shared" si="49"/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  <c r="AJ253" s="15">
        <v>30</v>
      </c>
      <c r="AK253" s="15">
        <v>10</v>
      </c>
      <c r="AL253" s="15">
        <v>30</v>
      </c>
      <c r="AM253" s="15">
        <f t="shared" si="48"/>
        <v>70</v>
      </c>
      <c r="AN253" s="29">
        <f t="shared" si="44"/>
        <v>1100</v>
      </c>
      <c r="AO253" s="19">
        <v>992</v>
      </c>
      <c r="AP253" s="21">
        <v>0</v>
      </c>
      <c r="AQ253" s="22">
        <v>10</v>
      </c>
      <c r="AR253" s="26">
        <f t="shared" si="50"/>
        <v>982</v>
      </c>
      <c r="AS253" s="37">
        <f t="shared" si="45"/>
        <v>1</v>
      </c>
      <c r="AT253" s="38">
        <f t="shared" si="52"/>
        <v>0.90181818181818185</v>
      </c>
      <c r="AU253" s="38">
        <f t="shared" si="46"/>
        <v>0.98991935483870963</v>
      </c>
      <c r="AV253" s="27">
        <f t="shared" si="47"/>
        <v>0.8927272727272727</v>
      </c>
    </row>
    <row r="254" spans="1:48" s="1" customFormat="1" ht="23.1" customHeight="1" x14ac:dyDescent="0.25">
      <c r="A254" s="109">
        <v>46041</v>
      </c>
      <c r="B254" s="47" t="s">
        <v>49</v>
      </c>
      <c r="C254" s="78" t="s">
        <v>21</v>
      </c>
      <c r="D254" s="47" t="s">
        <v>88</v>
      </c>
      <c r="E254" s="48">
        <v>98992</v>
      </c>
      <c r="F254" s="48" t="s">
        <v>126</v>
      </c>
      <c r="G254" s="48" t="s">
        <v>87</v>
      </c>
      <c r="H254" s="30">
        <v>13106</v>
      </c>
      <c r="I254" s="30"/>
      <c r="J254" s="30">
        <v>32</v>
      </c>
      <c r="K254" s="28">
        <f t="shared" si="41"/>
        <v>112.5</v>
      </c>
      <c r="L254" s="31">
        <v>0.25</v>
      </c>
      <c r="M254" s="31">
        <v>0.60416666666666696</v>
      </c>
      <c r="N254" s="32">
        <f t="shared" si="51"/>
        <v>0.35416666666666696</v>
      </c>
      <c r="O254" s="36">
        <v>510</v>
      </c>
      <c r="P254" s="36">
        <f t="shared" si="42"/>
        <v>320</v>
      </c>
      <c r="Q254" s="36">
        <f t="shared" si="43"/>
        <v>320</v>
      </c>
      <c r="R254" s="15">
        <v>0</v>
      </c>
      <c r="S254" s="20">
        <v>0</v>
      </c>
      <c r="T254" s="16">
        <v>0</v>
      </c>
      <c r="U254" s="16">
        <v>0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15">
        <f t="shared" si="49"/>
        <v>0</v>
      </c>
      <c r="AE254" s="15">
        <v>0</v>
      </c>
      <c r="AF254" s="15">
        <v>0</v>
      </c>
      <c r="AG254" s="15">
        <v>0</v>
      </c>
      <c r="AH254" s="15">
        <v>120</v>
      </c>
      <c r="AI254" s="15">
        <v>0</v>
      </c>
      <c r="AJ254" s="15">
        <v>30</v>
      </c>
      <c r="AK254" s="15">
        <v>10</v>
      </c>
      <c r="AL254" s="15">
        <v>30</v>
      </c>
      <c r="AM254" s="15">
        <f t="shared" si="48"/>
        <v>190</v>
      </c>
      <c r="AN254" s="29">
        <f t="shared" si="44"/>
        <v>600</v>
      </c>
      <c r="AO254" s="19">
        <v>481</v>
      </c>
      <c r="AP254" s="21">
        <v>0</v>
      </c>
      <c r="AQ254" s="22">
        <v>1</v>
      </c>
      <c r="AR254" s="26">
        <f t="shared" si="50"/>
        <v>480</v>
      </c>
      <c r="AS254" s="37">
        <f t="shared" si="45"/>
        <v>1</v>
      </c>
      <c r="AT254" s="38">
        <f t="shared" si="52"/>
        <v>0.80166666666666664</v>
      </c>
      <c r="AU254" s="38">
        <f t="shared" si="46"/>
        <v>0.99792099792099798</v>
      </c>
      <c r="AV254" s="27">
        <f t="shared" si="47"/>
        <v>0.8</v>
      </c>
    </row>
    <row r="255" spans="1:48" s="1" customFormat="1" ht="23.1" customHeight="1" x14ac:dyDescent="0.25">
      <c r="A255" s="109">
        <v>46041</v>
      </c>
      <c r="B255" s="47" t="s">
        <v>49</v>
      </c>
      <c r="C255" s="78" t="s">
        <v>21</v>
      </c>
      <c r="D255" s="47" t="s">
        <v>89</v>
      </c>
      <c r="E255" s="48">
        <v>98992</v>
      </c>
      <c r="F255" s="48" t="s">
        <v>169</v>
      </c>
      <c r="G255" s="48" t="s">
        <v>87</v>
      </c>
      <c r="H255" s="30">
        <v>16219</v>
      </c>
      <c r="I255" s="30"/>
      <c r="J255" s="30">
        <v>32</v>
      </c>
      <c r="K255" s="28">
        <f t="shared" si="41"/>
        <v>112.5</v>
      </c>
      <c r="L255" s="31">
        <v>0.25</v>
      </c>
      <c r="M255" s="31">
        <v>0.60416666666666696</v>
      </c>
      <c r="N255" s="32">
        <f t="shared" si="51"/>
        <v>0.35416666666666696</v>
      </c>
      <c r="O255" s="36">
        <v>510</v>
      </c>
      <c r="P255" s="36">
        <f t="shared" si="42"/>
        <v>320</v>
      </c>
      <c r="Q255" s="36">
        <f t="shared" si="43"/>
        <v>320</v>
      </c>
      <c r="R255" s="15">
        <v>0</v>
      </c>
      <c r="S255" s="20">
        <v>0</v>
      </c>
      <c r="T255" s="16">
        <v>0</v>
      </c>
      <c r="U255" s="16">
        <v>0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15">
        <f t="shared" si="49"/>
        <v>0</v>
      </c>
      <c r="AE255" s="15">
        <v>0</v>
      </c>
      <c r="AF255" s="15">
        <v>0</v>
      </c>
      <c r="AG255" s="15">
        <v>0</v>
      </c>
      <c r="AH255" s="15">
        <v>120</v>
      </c>
      <c r="AI255" s="15">
        <v>0</v>
      </c>
      <c r="AJ255" s="15">
        <v>30</v>
      </c>
      <c r="AK255" s="15">
        <v>10</v>
      </c>
      <c r="AL255" s="15">
        <v>30</v>
      </c>
      <c r="AM255" s="15">
        <f t="shared" si="48"/>
        <v>190</v>
      </c>
      <c r="AN255" s="29">
        <f t="shared" si="44"/>
        <v>600</v>
      </c>
      <c r="AO255" s="19">
        <v>388</v>
      </c>
      <c r="AP255" s="21">
        <v>0</v>
      </c>
      <c r="AQ255" s="22">
        <v>0</v>
      </c>
      <c r="AR255" s="26">
        <f t="shared" si="50"/>
        <v>388</v>
      </c>
      <c r="AS255" s="37">
        <f t="shared" si="45"/>
        <v>1</v>
      </c>
      <c r="AT255" s="38">
        <f t="shared" si="52"/>
        <v>0.64666666666666661</v>
      </c>
      <c r="AU255" s="38">
        <f t="shared" si="46"/>
        <v>1</v>
      </c>
      <c r="AV255" s="27">
        <f t="shared" si="47"/>
        <v>0.64666666666666661</v>
      </c>
    </row>
    <row r="256" spans="1:48" s="1" customFormat="1" ht="23.1" customHeight="1" x14ac:dyDescent="0.25">
      <c r="A256" s="109">
        <v>46041</v>
      </c>
      <c r="B256" s="47" t="s">
        <v>49</v>
      </c>
      <c r="C256" s="78" t="s">
        <v>21</v>
      </c>
      <c r="D256" s="47" t="s">
        <v>52</v>
      </c>
      <c r="E256" s="48">
        <v>98992</v>
      </c>
      <c r="F256" s="48" t="s">
        <v>53</v>
      </c>
      <c r="G256" s="48" t="s">
        <v>87</v>
      </c>
      <c r="H256" s="30">
        <v>15710</v>
      </c>
      <c r="I256" s="30"/>
      <c r="J256" s="30">
        <v>32</v>
      </c>
      <c r="K256" s="28">
        <f t="shared" si="41"/>
        <v>112.5</v>
      </c>
      <c r="L256" s="31">
        <v>0.25</v>
      </c>
      <c r="M256" s="31">
        <v>0.60416666666666696</v>
      </c>
      <c r="N256" s="32">
        <f t="shared" si="51"/>
        <v>0.35416666666666696</v>
      </c>
      <c r="O256" s="36">
        <v>510</v>
      </c>
      <c r="P256" s="36">
        <f t="shared" si="42"/>
        <v>380</v>
      </c>
      <c r="Q256" s="36">
        <f t="shared" si="43"/>
        <v>380</v>
      </c>
      <c r="R256" s="15">
        <v>0</v>
      </c>
      <c r="S256" s="20">
        <v>0</v>
      </c>
      <c r="T256" s="16">
        <v>0</v>
      </c>
      <c r="U256" s="16">
        <v>0</v>
      </c>
      <c r="V256" s="20">
        <v>0</v>
      </c>
      <c r="W256" s="20">
        <v>0</v>
      </c>
      <c r="X256" s="20">
        <v>0</v>
      </c>
      <c r="Y256" s="20">
        <v>0</v>
      </c>
      <c r="Z256" s="20">
        <v>0</v>
      </c>
      <c r="AA256" s="20">
        <v>0</v>
      </c>
      <c r="AB256" s="20">
        <v>0</v>
      </c>
      <c r="AC256" s="20">
        <v>0</v>
      </c>
      <c r="AD256" s="15">
        <f t="shared" si="49"/>
        <v>0</v>
      </c>
      <c r="AE256" s="15">
        <v>0</v>
      </c>
      <c r="AF256" s="15">
        <v>0</v>
      </c>
      <c r="AG256" s="15">
        <v>0</v>
      </c>
      <c r="AH256" s="15">
        <v>60</v>
      </c>
      <c r="AI256" s="15">
        <v>0</v>
      </c>
      <c r="AJ256" s="15">
        <v>30</v>
      </c>
      <c r="AK256" s="15">
        <v>10</v>
      </c>
      <c r="AL256" s="15">
        <v>30</v>
      </c>
      <c r="AM256" s="15">
        <f t="shared" si="48"/>
        <v>130</v>
      </c>
      <c r="AN256" s="29">
        <f t="shared" si="44"/>
        <v>712.5</v>
      </c>
      <c r="AO256" s="19">
        <v>577</v>
      </c>
      <c r="AP256" s="21">
        <v>0</v>
      </c>
      <c r="AQ256" s="22">
        <v>0</v>
      </c>
      <c r="AR256" s="26">
        <f t="shared" si="50"/>
        <v>577</v>
      </c>
      <c r="AS256" s="37">
        <f t="shared" si="45"/>
        <v>1</v>
      </c>
      <c r="AT256" s="38">
        <f t="shared" si="52"/>
        <v>0.80982456140350878</v>
      </c>
      <c r="AU256" s="38">
        <f t="shared" si="46"/>
        <v>1</v>
      </c>
      <c r="AV256" s="27">
        <f t="shared" si="47"/>
        <v>0.80982456140350878</v>
      </c>
    </row>
    <row r="257" spans="1:48" s="1" customFormat="1" ht="23.1" customHeight="1" x14ac:dyDescent="0.25">
      <c r="A257" s="109">
        <v>46041</v>
      </c>
      <c r="B257" s="47" t="s">
        <v>49</v>
      </c>
      <c r="C257" s="78" t="s">
        <v>21</v>
      </c>
      <c r="D257" s="47" t="s">
        <v>86</v>
      </c>
      <c r="E257" s="48">
        <v>98992</v>
      </c>
      <c r="F257" s="48" t="s">
        <v>176</v>
      </c>
      <c r="G257" s="48" t="s">
        <v>87</v>
      </c>
      <c r="H257" s="30">
        <v>11662</v>
      </c>
      <c r="I257" s="30"/>
      <c r="J257" s="30">
        <v>20</v>
      </c>
      <c r="K257" s="28">
        <f t="shared" si="41"/>
        <v>180</v>
      </c>
      <c r="L257" s="31">
        <v>0.25</v>
      </c>
      <c r="M257" s="31">
        <v>0.60416666666666696</v>
      </c>
      <c r="N257" s="32">
        <f t="shared" si="51"/>
        <v>0.35416666666666696</v>
      </c>
      <c r="O257" s="36">
        <v>510</v>
      </c>
      <c r="P257" s="36">
        <f t="shared" si="42"/>
        <v>320</v>
      </c>
      <c r="Q257" s="36">
        <f t="shared" si="43"/>
        <v>320</v>
      </c>
      <c r="R257" s="15">
        <v>0</v>
      </c>
      <c r="S257" s="20">
        <v>0</v>
      </c>
      <c r="T257" s="16">
        <v>0</v>
      </c>
      <c r="U257" s="16">
        <v>0</v>
      </c>
      <c r="V257" s="20">
        <v>0</v>
      </c>
      <c r="W257" s="20">
        <v>0</v>
      </c>
      <c r="X257" s="20">
        <v>0</v>
      </c>
      <c r="Y257" s="20">
        <v>0</v>
      </c>
      <c r="Z257" s="20">
        <v>0</v>
      </c>
      <c r="AA257" s="20">
        <v>0</v>
      </c>
      <c r="AB257" s="20">
        <v>0</v>
      </c>
      <c r="AC257" s="20">
        <v>0</v>
      </c>
      <c r="AD257" s="15">
        <f t="shared" si="49"/>
        <v>0</v>
      </c>
      <c r="AE257" s="15">
        <v>0</v>
      </c>
      <c r="AF257" s="15">
        <v>0</v>
      </c>
      <c r="AG257" s="15">
        <v>0</v>
      </c>
      <c r="AH257" s="15">
        <v>120</v>
      </c>
      <c r="AI257" s="15">
        <v>0</v>
      </c>
      <c r="AJ257" s="15">
        <v>30</v>
      </c>
      <c r="AK257" s="15">
        <v>10</v>
      </c>
      <c r="AL257" s="15">
        <v>30</v>
      </c>
      <c r="AM257" s="15">
        <f t="shared" si="48"/>
        <v>190</v>
      </c>
      <c r="AN257" s="29">
        <f t="shared" si="44"/>
        <v>960</v>
      </c>
      <c r="AO257" s="19">
        <v>770</v>
      </c>
      <c r="AP257" s="21">
        <v>0</v>
      </c>
      <c r="AQ257" s="22">
        <v>0</v>
      </c>
      <c r="AR257" s="26">
        <f t="shared" si="50"/>
        <v>770</v>
      </c>
      <c r="AS257" s="37">
        <f t="shared" si="45"/>
        <v>1</v>
      </c>
      <c r="AT257" s="38">
        <f t="shared" si="52"/>
        <v>0.80208333333333337</v>
      </c>
      <c r="AU257" s="38">
        <f t="shared" si="46"/>
        <v>1</v>
      </c>
      <c r="AV257" s="27">
        <f t="shared" si="47"/>
        <v>0.80208333333333337</v>
      </c>
    </row>
    <row r="258" spans="1:48" s="1" customFormat="1" ht="23.1" customHeight="1" x14ac:dyDescent="0.25">
      <c r="A258" s="109">
        <v>46041</v>
      </c>
      <c r="B258" s="47" t="s">
        <v>49</v>
      </c>
      <c r="C258" s="78" t="s">
        <v>21</v>
      </c>
      <c r="D258" s="47" t="s">
        <v>172</v>
      </c>
      <c r="E258" s="48">
        <v>98992</v>
      </c>
      <c r="F258" s="48" t="s">
        <v>175</v>
      </c>
      <c r="G258" s="48" t="s">
        <v>87</v>
      </c>
      <c r="H258" s="30">
        <v>15882</v>
      </c>
      <c r="I258" s="30"/>
      <c r="J258" s="30">
        <v>20</v>
      </c>
      <c r="K258" s="28">
        <f t="shared" si="41"/>
        <v>180</v>
      </c>
      <c r="L258" s="31">
        <v>0.25</v>
      </c>
      <c r="M258" s="31">
        <v>0.60416666666666696</v>
      </c>
      <c r="N258" s="32">
        <f t="shared" si="51"/>
        <v>0.35416666666666696</v>
      </c>
      <c r="O258" s="36">
        <v>510</v>
      </c>
      <c r="P258" s="36">
        <f t="shared" si="42"/>
        <v>320</v>
      </c>
      <c r="Q258" s="36">
        <f t="shared" si="43"/>
        <v>320</v>
      </c>
      <c r="R258" s="15">
        <v>0</v>
      </c>
      <c r="S258" s="20">
        <v>0</v>
      </c>
      <c r="T258" s="16">
        <v>0</v>
      </c>
      <c r="U258" s="16">
        <v>0</v>
      </c>
      <c r="V258" s="20">
        <v>0</v>
      </c>
      <c r="W258" s="20">
        <v>0</v>
      </c>
      <c r="X258" s="20">
        <v>0</v>
      </c>
      <c r="Y258" s="20">
        <v>0</v>
      </c>
      <c r="Z258" s="20">
        <v>0</v>
      </c>
      <c r="AA258" s="20">
        <v>0</v>
      </c>
      <c r="AB258" s="20">
        <v>0</v>
      </c>
      <c r="AC258" s="20">
        <v>0</v>
      </c>
      <c r="AD258" s="15">
        <f t="shared" si="49"/>
        <v>0</v>
      </c>
      <c r="AE258" s="15">
        <v>0</v>
      </c>
      <c r="AF258" s="15">
        <v>0</v>
      </c>
      <c r="AG258" s="15">
        <v>0</v>
      </c>
      <c r="AH258" s="15">
        <v>120</v>
      </c>
      <c r="AI258" s="15">
        <v>0</v>
      </c>
      <c r="AJ258" s="15">
        <v>30</v>
      </c>
      <c r="AK258" s="15">
        <v>10</v>
      </c>
      <c r="AL258" s="15">
        <v>30</v>
      </c>
      <c r="AM258" s="15">
        <f t="shared" si="48"/>
        <v>190</v>
      </c>
      <c r="AN258" s="29">
        <f t="shared" si="44"/>
        <v>960</v>
      </c>
      <c r="AO258" s="19">
        <v>600</v>
      </c>
      <c r="AP258" s="21">
        <v>0</v>
      </c>
      <c r="AQ258" s="22">
        <v>0</v>
      </c>
      <c r="AR258" s="26">
        <f t="shared" si="50"/>
        <v>600</v>
      </c>
      <c r="AS258" s="37">
        <f t="shared" si="45"/>
        <v>1</v>
      </c>
      <c r="AT258" s="38">
        <f t="shared" si="52"/>
        <v>0.625</v>
      </c>
      <c r="AU258" s="38">
        <f t="shared" si="46"/>
        <v>1</v>
      </c>
      <c r="AV258" s="27">
        <f t="shared" si="47"/>
        <v>0.625</v>
      </c>
    </row>
    <row r="259" spans="1:48" s="1" customFormat="1" ht="23.1" customHeight="1" x14ac:dyDescent="0.25">
      <c r="A259" s="109">
        <v>46041</v>
      </c>
      <c r="B259" s="47" t="s">
        <v>49</v>
      </c>
      <c r="C259" s="78" t="s">
        <v>21</v>
      </c>
      <c r="D259" s="47" t="s">
        <v>124</v>
      </c>
      <c r="E259" s="48">
        <v>98992</v>
      </c>
      <c r="F259" s="48" t="s">
        <v>215</v>
      </c>
      <c r="G259" s="48" t="s">
        <v>125</v>
      </c>
      <c r="H259" s="30">
        <v>13105</v>
      </c>
      <c r="I259" s="30"/>
      <c r="J259" s="30">
        <v>32</v>
      </c>
      <c r="K259" s="28">
        <f t="shared" si="41"/>
        <v>112.5</v>
      </c>
      <c r="L259" s="31">
        <v>0.25</v>
      </c>
      <c r="M259" s="31">
        <v>0.60416666666666696</v>
      </c>
      <c r="N259" s="32">
        <f t="shared" si="51"/>
        <v>0.35416666666666696</v>
      </c>
      <c r="O259" s="36">
        <v>510</v>
      </c>
      <c r="P259" s="36">
        <f t="shared" si="42"/>
        <v>220</v>
      </c>
      <c r="Q259" s="36">
        <f t="shared" si="43"/>
        <v>220</v>
      </c>
      <c r="R259" s="15">
        <v>0</v>
      </c>
      <c r="S259" s="20">
        <v>0</v>
      </c>
      <c r="T259" s="16">
        <v>0</v>
      </c>
      <c r="U259" s="16">
        <v>0</v>
      </c>
      <c r="V259" s="20">
        <v>0</v>
      </c>
      <c r="W259" s="20">
        <v>0</v>
      </c>
      <c r="X259" s="20">
        <v>0</v>
      </c>
      <c r="Y259" s="20">
        <v>0</v>
      </c>
      <c r="Z259" s="20">
        <v>0</v>
      </c>
      <c r="AA259" s="20">
        <v>0</v>
      </c>
      <c r="AB259" s="20">
        <v>0</v>
      </c>
      <c r="AC259" s="20">
        <v>0</v>
      </c>
      <c r="AD259" s="15">
        <f t="shared" si="49"/>
        <v>0</v>
      </c>
      <c r="AE259" s="15">
        <v>0</v>
      </c>
      <c r="AF259" s="15">
        <v>0</v>
      </c>
      <c r="AG259" s="15">
        <v>0</v>
      </c>
      <c r="AH259" s="15">
        <v>220</v>
      </c>
      <c r="AI259" s="15">
        <v>0</v>
      </c>
      <c r="AJ259" s="15">
        <v>30</v>
      </c>
      <c r="AK259" s="15">
        <v>10</v>
      </c>
      <c r="AL259" s="15">
        <v>30</v>
      </c>
      <c r="AM259" s="15">
        <f t="shared" si="48"/>
        <v>290</v>
      </c>
      <c r="AN259" s="29">
        <f t="shared" si="44"/>
        <v>412.5</v>
      </c>
      <c r="AO259" s="19">
        <v>240</v>
      </c>
      <c r="AP259" s="21">
        <v>0</v>
      </c>
      <c r="AQ259" s="22">
        <v>0</v>
      </c>
      <c r="AR259" s="26">
        <f t="shared" si="50"/>
        <v>240</v>
      </c>
      <c r="AS259" s="37">
        <f t="shared" si="45"/>
        <v>1</v>
      </c>
      <c r="AT259" s="38">
        <f t="shared" si="52"/>
        <v>0.58181818181818179</v>
      </c>
      <c r="AU259" s="38">
        <f t="shared" si="46"/>
        <v>1</v>
      </c>
      <c r="AV259" s="27">
        <f t="shared" si="47"/>
        <v>0.58181818181818179</v>
      </c>
    </row>
    <row r="260" spans="1:48" s="1" customFormat="1" ht="23.1" customHeight="1" x14ac:dyDescent="0.25">
      <c r="A260" s="109">
        <v>46041</v>
      </c>
      <c r="B260" s="47" t="s">
        <v>49</v>
      </c>
      <c r="C260" s="78" t="s">
        <v>21</v>
      </c>
      <c r="D260" s="47" t="s">
        <v>122</v>
      </c>
      <c r="E260" s="48">
        <v>98992</v>
      </c>
      <c r="F260" s="48" t="s">
        <v>169</v>
      </c>
      <c r="G260" s="48" t="s">
        <v>125</v>
      </c>
      <c r="H260" s="30">
        <v>15669</v>
      </c>
      <c r="I260" s="30"/>
      <c r="J260" s="30">
        <v>32</v>
      </c>
      <c r="K260" s="28">
        <f t="shared" si="41"/>
        <v>112.5</v>
      </c>
      <c r="L260" s="31">
        <v>0.25</v>
      </c>
      <c r="M260" s="31">
        <v>0.60416666666666696</v>
      </c>
      <c r="N260" s="32">
        <f t="shared" si="51"/>
        <v>0.35416666666666696</v>
      </c>
      <c r="O260" s="36">
        <v>510</v>
      </c>
      <c r="P260" s="36">
        <f t="shared" si="42"/>
        <v>160</v>
      </c>
      <c r="Q260" s="36">
        <f t="shared" si="43"/>
        <v>160</v>
      </c>
      <c r="R260" s="15">
        <v>0</v>
      </c>
      <c r="S260" s="20">
        <v>0</v>
      </c>
      <c r="T260" s="16">
        <v>0</v>
      </c>
      <c r="U260" s="16">
        <v>0</v>
      </c>
      <c r="V260" s="20">
        <v>0</v>
      </c>
      <c r="W260" s="20">
        <v>0</v>
      </c>
      <c r="X260" s="20">
        <v>0</v>
      </c>
      <c r="Y260" s="20">
        <v>0</v>
      </c>
      <c r="Z260" s="20">
        <v>0</v>
      </c>
      <c r="AA260" s="20">
        <v>0</v>
      </c>
      <c r="AB260" s="20">
        <v>0</v>
      </c>
      <c r="AC260" s="20">
        <v>0</v>
      </c>
      <c r="AD260" s="15">
        <f t="shared" si="49"/>
        <v>0</v>
      </c>
      <c r="AE260" s="15">
        <v>0</v>
      </c>
      <c r="AF260" s="15">
        <v>0</v>
      </c>
      <c r="AG260" s="15">
        <v>0</v>
      </c>
      <c r="AH260" s="15">
        <v>280</v>
      </c>
      <c r="AI260" s="15">
        <v>0</v>
      </c>
      <c r="AJ260" s="15">
        <v>30</v>
      </c>
      <c r="AK260" s="15">
        <v>10</v>
      </c>
      <c r="AL260" s="15">
        <v>30</v>
      </c>
      <c r="AM260" s="15">
        <f t="shared" si="48"/>
        <v>350</v>
      </c>
      <c r="AN260" s="29">
        <f t="shared" si="44"/>
        <v>300</v>
      </c>
      <c r="AO260" s="19">
        <v>135</v>
      </c>
      <c r="AP260" s="21">
        <v>0</v>
      </c>
      <c r="AQ260" s="22">
        <v>0</v>
      </c>
      <c r="AR260" s="26">
        <f t="shared" si="50"/>
        <v>135</v>
      </c>
      <c r="AS260" s="37">
        <f t="shared" si="45"/>
        <v>1</v>
      </c>
      <c r="AT260" s="38">
        <f t="shared" si="52"/>
        <v>0.45</v>
      </c>
      <c r="AU260" s="38">
        <f t="shared" si="46"/>
        <v>1</v>
      </c>
      <c r="AV260" s="27">
        <f t="shared" si="47"/>
        <v>0.45</v>
      </c>
    </row>
    <row r="261" spans="1:48" s="1" customFormat="1" ht="23.1" customHeight="1" x14ac:dyDescent="0.25">
      <c r="A261" s="109">
        <v>46041</v>
      </c>
      <c r="B261" s="47" t="s">
        <v>49</v>
      </c>
      <c r="C261" s="78" t="s">
        <v>21</v>
      </c>
      <c r="D261" s="47" t="s">
        <v>128</v>
      </c>
      <c r="E261" s="48">
        <v>98992</v>
      </c>
      <c r="F261" s="48" t="s">
        <v>53</v>
      </c>
      <c r="G261" s="48" t="s">
        <v>125</v>
      </c>
      <c r="H261" s="30">
        <v>14957</v>
      </c>
      <c r="I261" s="30"/>
      <c r="J261" s="30">
        <v>32</v>
      </c>
      <c r="K261" s="28">
        <f t="shared" si="41"/>
        <v>112.5</v>
      </c>
      <c r="L261" s="31">
        <v>0.25</v>
      </c>
      <c r="M261" s="31">
        <v>0.60416666666666696</v>
      </c>
      <c r="N261" s="32">
        <f t="shared" si="51"/>
        <v>0.35416666666666696</v>
      </c>
      <c r="O261" s="36">
        <v>510</v>
      </c>
      <c r="P261" s="36">
        <f t="shared" si="42"/>
        <v>440</v>
      </c>
      <c r="Q261" s="36">
        <f t="shared" si="43"/>
        <v>440</v>
      </c>
      <c r="R261" s="15">
        <v>0</v>
      </c>
      <c r="S261" s="20">
        <v>0</v>
      </c>
      <c r="T261" s="16">
        <v>0</v>
      </c>
      <c r="U261" s="16">
        <v>0</v>
      </c>
      <c r="V261" s="20">
        <v>0</v>
      </c>
      <c r="W261" s="20">
        <v>0</v>
      </c>
      <c r="X261" s="20">
        <v>0</v>
      </c>
      <c r="Y261" s="20">
        <v>0</v>
      </c>
      <c r="Z261" s="20">
        <v>0</v>
      </c>
      <c r="AA261" s="20">
        <v>0</v>
      </c>
      <c r="AB261" s="20">
        <v>0</v>
      </c>
      <c r="AC261" s="20">
        <v>0</v>
      </c>
      <c r="AD261" s="15">
        <f t="shared" si="49"/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  <c r="AJ261" s="15">
        <v>30</v>
      </c>
      <c r="AK261" s="15">
        <v>10</v>
      </c>
      <c r="AL261" s="15">
        <v>30</v>
      </c>
      <c r="AM261" s="15">
        <f t="shared" si="48"/>
        <v>70</v>
      </c>
      <c r="AN261" s="29">
        <f t="shared" si="44"/>
        <v>825</v>
      </c>
      <c r="AO261" s="19">
        <v>510</v>
      </c>
      <c r="AP261" s="21">
        <v>0</v>
      </c>
      <c r="AQ261" s="22">
        <v>1</v>
      </c>
      <c r="AR261" s="26">
        <f t="shared" si="50"/>
        <v>509</v>
      </c>
      <c r="AS261" s="37">
        <f t="shared" si="45"/>
        <v>1</v>
      </c>
      <c r="AT261" s="38">
        <f t="shared" si="52"/>
        <v>0.61818181818181817</v>
      </c>
      <c r="AU261" s="38">
        <f t="shared" si="46"/>
        <v>0.99803921568627452</v>
      </c>
      <c r="AV261" s="27">
        <f t="shared" si="47"/>
        <v>0.61696969696969695</v>
      </c>
    </row>
    <row r="262" spans="1:48" s="1" customFormat="1" ht="23.1" customHeight="1" x14ac:dyDescent="0.25">
      <c r="A262" s="109">
        <v>46041</v>
      </c>
      <c r="B262" s="47" t="s">
        <v>49</v>
      </c>
      <c r="C262" s="78" t="s">
        <v>51</v>
      </c>
      <c r="D262" s="47" t="s">
        <v>94</v>
      </c>
      <c r="E262" s="48">
        <v>98992</v>
      </c>
      <c r="F262" s="48" t="s">
        <v>67</v>
      </c>
      <c r="G262" s="48" t="s">
        <v>174</v>
      </c>
      <c r="H262" s="30">
        <v>15833</v>
      </c>
      <c r="I262" s="30"/>
      <c r="J262" s="30">
        <v>24</v>
      </c>
      <c r="K262" s="28">
        <f t="shared" si="41"/>
        <v>150</v>
      </c>
      <c r="L262" s="31">
        <v>0.58333333333333337</v>
      </c>
      <c r="M262" s="31">
        <v>0.9375</v>
      </c>
      <c r="N262" s="32">
        <f t="shared" si="51"/>
        <v>0.35416666666666663</v>
      </c>
      <c r="O262" s="36">
        <v>510</v>
      </c>
      <c r="P262" s="36">
        <f t="shared" si="42"/>
        <v>380</v>
      </c>
      <c r="Q262" s="36">
        <f t="shared" si="43"/>
        <v>380</v>
      </c>
      <c r="R262" s="15">
        <v>0</v>
      </c>
      <c r="S262" s="20">
        <v>0</v>
      </c>
      <c r="T262" s="16">
        <v>0</v>
      </c>
      <c r="U262" s="16">
        <v>0</v>
      </c>
      <c r="V262" s="20">
        <v>0</v>
      </c>
      <c r="W262" s="20">
        <v>0</v>
      </c>
      <c r="X262" s="20">
        <v>0</v>
      </c>
      <c r="Y262" s="20">
        <v>0</v>
      </c>
      <c r="Z262" s="20">
        <v>0</v>
      </c>
      <c r="AA262" s="20">
        <v>0</v>
      </c>
      <c r="AB262" s="20">
        <v>0</v>
      </c>
      <c r="AC262" s="20">
        <v>0</v>
      </c>
      <c r="AD262" s="15">
        <f t="shared" si="49"/>
        <v>0</v>
      </c>
      <c r="AE262" s="15">
        <v>60</v>
      </c>
      <c r="AF262" s="15">
        <v>0</v>
      </c>
      <c r="AG262" s="15">
        <v>0</v>
      </c>
      <c r="AH262" s="15">
        <v>0</v>
      </c>
      <c r="AI262" s="15">
        <v>0</v>
      </c>
      <c r="AJ262" s="15">
        <v>30</v>
      </c>
      <c r="AK262" s="15">
        <v>10</v>
      </c>
      <c r="AL262" s="15">
        <v>30</v>
      </c>
      <c r="AM262" s="15">
        <f t="shared" si="48"/>
        <v>130</v>
      </c>
      <c r="AN262" s="29">
        <f t="shared" si="44"/>
        <v>950</v>
      </c>
      <c r="AO262" s="19">
        <v>884</v>
      </c>
      <c r="AP262" s="21">
        <v>0</v>
      </c>
      <c r="AQ262" s="22">
        <v>8</v>
      </c>
      <c r="AR262" s="26">
        <f t="shared" si="50"/>
        <v>876</v>
      </c>
      <c r="AS262" s="37">
        <f t="shared" si="45"/>
        <v>1</v>
      </c>
      <c r="AT262" s="38">
        <f t="shared" si="52"/>
        <v>0.93052631578947365</v>
      </c>
      <c r="AU262" s="38">
        <f t="shared" si="46"/>
        <v>0.99095022624434392</v>
      </c>
      <c r="AV262" s="27">
        <f t="shared" si="47"/>
        <v>0.92210526315789476</v>
      </c>
    </row>
    <row r="263" spans="1:48" s="1" customFormat="1" ht="23.1" customHeight="1" x14ac:dyDescent="0.25">
      <c r="A263" s="109">
        <v>46041</v>
      </c>
      <c r="B263" s="47" t="s">
        <v>49</v>
      </c>
      <c r="C263" s="78" t="s">
        <v>51</v>
      </c>
      <c r="D263" s="47" t="s">
        <v>88</v>
      </c>
      <c r="E263" s="48">
        <v>98992</v>
      </c>
      <c r="F263" s="48" t="s">
        <v>126</v>
      </c>
      <c r="G263" s="48" t="s">
        <v>87</v>
      </c>
      <c r="H263" s="30">
        <v>13562</v>
      </c>
      <c r="I263" s="30"/>
      <c r="J263" s="30">
        <v>32</v>
      </c>
      <c r="K263" s="28">
        <f t="shared" si="41"/>
        <v>112.5</v>
      </c>
      <c r="L263" s="31">
        <v>0.58333333333333337</v>
      </c>
      <c r="M263" s="31">
        <v>0.9375</v>
      </c>
      <c r="N263" s="32">
        <f t="shared" si="51"/>
        <v>0.35416666666666663</v>
      </c>
      <c r="O263" s="36">
        <v>510</v>
      </c>
      <c r="P263" s="36">
        <f t="shared" si="42"/>
        <v>440</v>
      </c>
      <c r="Q263" s="36">
        <f t="shared" si="43"/>
        <v>440</v>
      </c>
      <c r="R263" s="15">
        <v>0</v>
      </c>
      <c r="S263" s="20">
        <v>0</v>
      </c>
      <c r="T263" s="16">
        <v>0</v>
      </c>
      <c r="U263" s="16">
        <v>0</v>
      </c>
      <c r="V263" s="20">
        <v>0</v>
      </c>
      <c r="W263" s="20">
        <v>0</v>
      </c>
      <c r="X263" s="20">
        <v>0</v>
      </c>
      <c r="Y263" s="20">
        <v>0</v>
      </c>
      <c r="Z263" s="20">
        <v>0</v>
      </c>
      <c r="AA263" s="20">
        <v>0</v>
      </c>
      <c r="AB263" s="20">
        <v>0</v>
      </c>
      <c r="AC263" s="20">
        <v>0</v>
      </c>
      <c r="AD263" s="15">
        <f t="shared" si="49"/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  <c r="AJ263" s="15">
        <v>30</v>
      </c>
      <c r="AK263" s="15">
        <v>10</v>
      </c>
      <c r="AL263" s="15">
        <v>30</v>
      </c>
      <c r="AM263" s="15">
        <f t="shared" si="48"/>
        <v>70</v>
      </c>
      <c r="AN263" s="29">
        <f t="shared" si="44"/>
        <v>825</v>
      </c>
      <c r="AO263" s="19">
        <v>680</v>
      </c>
      <c r="AP263" s="21">
        <v>0</v>
      </c>
      <c r="AQ263" s="22">
        <v>1</v>
      </c>
      <c r="AR263" s="26">
        <f t="shared" si="50"/>
        <v>679</v>
      </c>
      <c r="AS263" s="37">
        <f t="shared" si="45"/>
        <v>1</v>
      </c>
      <c r="AT263" s="38">
        <f t="shared" si="52"/>
        <v>0.82424242424242422</v>
      </c>
      <c r="AU263" s="38">
        <f t="shared" si="46"/>
        <v>0.99852941176470589</v>
      </c>
      <c r="AV263" s="27">
        <f t="shared" si="47"/>
        <v>0.823030303030303</v>
      </c>
    </row>
    <row r="264" spans="1:48" s="1" customFormat="1" ht="23.1" customHeight="1" x14ac:dyDescent="0.25">
      <c r="A264" s="109">
        <v>46041</v>
      </c>
      <c r="B264" s="47" t="s">
        <v>49</v>
      </c>
      <c r="C264" s="78" t="s">
        <v>51</v>
      </c>
      <c r="D264" s="47" t="s">
        <v>89</v>
      </c>
      <c r="E264" s="48">
        <v>98992</v>
      </c>
      <c r="F264" s="48" t="s">
        <v>169</v>
      </c>
      <c r="G264" s="48" t="s">
        <v>87</v>
      </c>
      <c r="H264" s="30">
        <v>11682</v>
      </c>
      <c r="I264" s="30"/>
      <c r="J264" s="30">
        <v>32</v>
      </c>
      <c r="K264" s="28">
        <f t="shared" si="41"/>
        <v>112.5</v>
      </c>
      <c r="L264" s="31">
        <v>0.58333333333333337</v>
      </c>
      <c r="M264" s="31">
        <v>0.9375</v>
      </c>
      <c r="N264" s="32">
        <f t="shared" si="51"/>
        <v>0.35416666666666663</v>
      </c>
      <c r="O264" s="36">
        <v>510</v>
      </c>
      <c r="P264" s="36">
        <f t="shared" si="42"/>
        <v>440</v>
      </c>
      <c r="Q264" s="36">
        <f t="shared" si="43"/>
        <v>440</v>
      </c>
      <c r="R264" s="15">
        <v>0</v>
      </c>
      <c r="S264" s="20">
        <v>0</v>
      </c>
      <c r="T264" s="16">
        <v>0</v>
      </c>
      <c r="U264" s="16">
        <v>0</v>
      </c>
      <c r="V264" s="20">
        <v>0</v>
      </c>
      <c r="W264" s="20">
        <v>0</v>
      </c>
      <c r="X264" s="20">
        <v>0</v>
      </c>
      <c r="Y264" s="20">
        <v>0</v>
      </c>
      <c r="Z264" s="20">
        <v>0</v>
      </c>
      <c r="AA264" s="20">
        <v>0</v>
      </c>
      <c r="AB264" s="20">
        <v>0</v>
      </c>
      <c r="AC264" s="20">
        <v>0</v>
      </c>
      <c r="AD264" s="15">
        <f t="shared" si="49"/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  <c r="AJ264" s="15">
        <v>30</v>
      </c>
      <c r="AK264" s="15">
        <v>10</v>
      </c>
      <c r="AL264" s="15">
        <v>30</v>
      </c>
      <c r="AM264" s="15">
        <f t="shared" si="48"/>
        <v>70</v>
      </c>
      <c r="AN264" s="29">
        <f t="shared" si="44"/>
        <v>825</v>
      </c>
      <c r="AO264" s="19">
        <v>605</v>
      </c>
      <c r="AP264" s="21">
        <v>0</v>
      </c>
      <c r="AQ264" s="22">
        <v>1</v>
      </c>
      <c r="AR264" s="26">
        <f t="shared" si="50"/>
        <v>604</v>
      </c>
      <c r="AS264" s="37">
        <f t="shared" si="45"/>
        <v>1</v>
      </c>
      <c r="AT264" s="38">
        <f t="shared" si="52"/>
        <v>0.73333333333333328</v>
      </c>
      <c r="AU264" s="38">
        <f t="shared" si="46"/>
        <v>0.99834710743801658</v>
      </c>
      <c r="AV264" s="27">
        <f t="shared" si="47"/>
        <v>0.73212121212121206</v>
      </c>
    </row>
    <row r="265" spans="1:48" s="1" customFormat="1" ht="23.1" customHeight="1" x14ac:dyDescent="0.25">
      <c r="A265" s="109">
        <v>46041</v>
      </c>
      <c r="B265" s="47" t="s">
        <v>49</v>
      </c>
      <c r="C265" s="78" t="s">
        <v>51</v>
      </c>
      <c r="D265" s="47" t="s">
        <v>52</v>
      </c>
      <c r="E265" s="48">
        <v>98992</v>
      </c>
      <c r="F265" s="48" t="s">
        <v>53</v>
      </c>
      <c r="G265" s="48" t="s">
        <v>87</v>
      </c>
      <c r="H265" s="30">
        <v>16000</v>
      </c>
      <c r="I265" s="30"/>
      <c r="J265" s="30">
        <v>32</v>
      </c>
      <c r="K265" s="28">
        <f t="shared" si="41"/>
        <v>112.5</v>
      </c>
      <c r="L265" s="31">
        <v>0.58333333333333337</v>
      </c>
      <c r="M265" s="31">
        <v>0.9375</v>
      </c>
      <c r="N265" s="32">
        <f t="shared" si="51"/>
        <v>0.35416666666666663</v>
      </c>
      <c r="O265" s="36">
        <v>510</v>
      </c>
      <c r="P265" s="36">
        <f t="shared" si="42"/>
        <v>380</v>
      </c>
      <c r="Q265" s="36">
        <f t="shared" si="43"/>
        <v>380</v>
      </c>
      <c r="R265" s="15">
        <v>0</v>
      </c>
      <c r="S265" s="20">
        <v>0</v>
      </c>
      <c r="T265" s="16">
        <v>0</v>
      </c>
      <c r="U265" s="16">
        <v>0</v>
      </c>
      <c r="V265" s="20">
        <v>0</v>
      </c>
      <c r="W265" s="20">
        <v>0</v>
      </c>
      <c r="X265" s="20">
        <v>0</v>
      </c>
      <c r="Y265" s="20">
        <v>0</v>
      </c>
      <c r="Z265" s="20">
        <v>0</v>
      </c>
      <c r="AA265" s="20">
        <v>0</v>
      </c>
      <c r="AB265" s="20">
        <v>0</v>
      </c>
      <c r="AC265" s="20">
        <v>0</v>
      </c>
      <c r="AD265" s="15">
        <f t="shared" si="49"/>
        <v>0</v>
      </c>
      <c r="AE265" s="15">
        <v>60</v>
      </c>
      <c r="AF265" s="15">
        <v>0</v>
      </c>
      <c r="AG265" s="15">
        <v>0</v>
      </c>
      <c r="AH265" s="15">
        <v>0</v>
      </c>
      <c r="AI265" s="15">
        <v>0</v>
      </c>
      <c r="AJ265" s="15">
        <v>30</v>
      </c>
      <c r="AK265" s="15">
        <v>10</v>
      </c>
      <c r="AL265" s="15">
        <v>30</v>
      </c>
      <c r="AM265" s="15">
        <f t="shared" si="48"/>
        <v>130</v>
      </c>
      <c r="AN265" s="29">
        <f t="shared" si="44"/>
        <v>712.5</v>
      </c>
      <c r="AO265" s="19">
        <v>524</v>
      </c>
      <c r="AP265" s="21">
        <v>0</v>
      </c>
      <c r="AQ265" s="22">
        <v>0</v>
      </c>
      <c r="AR265" s="26">
        <f t="shared" si="50"/>
        <v>524</v>
      </c>
      <c r="AS265" s="37">
        <f t="shared" si="45"/>
        <v>1</v>
      </c>
      <c r="AT265" s="38">
        <f t="shared" si="52"/>
        <v>0.73543859649122811</v>
      </c>
      <c r="AU265" s="38">
        <f t="shared" si="46"/>
        <v>1</v>
      </c>
      <c r="AV265" s="27">
        <f t="shared" si="47"/>
        <v>0.73543859649122811</v>
      </c>
    </row>
    <row r="266" spans="1:48" s="1" customFormat="1" ht="23.1" customHeight="1" x14ac:dyDescent="0.25">
      <c r="A266" s="109">
        <v>46041</v>
      </c>
      <c r="B266" s="47" t="s">
        <v>49</v>
      </c>
      <c r="C266" s="78" t="s">
        <v>51</v>
      </c>
      <c r="D266" s="47" t="s">
        <v>86</v>
      </c>
      <c r="E266" s="48">
        <v>98992</v>
      </c>
      <c r="F266" s="48" t="s">
        <v>176</v>
      </c>
      <c r="G266" s="48" t="s">
        <v>87</v>
      </c>
      <c r="H266" s="30">
        <v>15688</v>
      </c>
      <c r="I266" s="30"/>
      <c r="J266" s="30">
        <v>20</v>
      </c>
      <c r="K266" s="28">
        <f t="shared" si="41"/>
        <v>180</v>
      </c>
      <c r="L266" s="31">
        <v>0.58333333333333337</v>
      </c>
      <c r="M266" s="31">
        <v>0.9375</v>
      </c>
      <c r="N266" s="32">
        <f t="shared" si="51"/>
        <v>0.35416666666666663</v>
      </c>
      <c r="O266" s="36">
        <v>510</v>
      </c>
      <c r="P266" s="36">
        <f t="shared" si="42"/>
        <v>320</v>
      </c>
      <c r="Q266" s="36">
        <f t="shared" si="43"/>
        <v>320</v>
      </c>
      <c r="R266" s="15">
        <v>0</v>
      </c>
      <c r="S266" s="20">
        <v>0</v>
      </c>
      <c r="T266" s="16">
        <v>0</v>
      </c>
      <c r="U266" s="16">
        <v>0</v>
      </c>
      <c r="V266" s="20">
        <v>0</v>
      </c>
      <c r="W266" s="20">
        <v>0</v>
      </c>
      <c r="X266" s="20">
        <v>0</v>
      </c>
      <c r="Y266" s="20">
        <v>0</v>
      </c>
      <c r="Z266" s="20">
        <v>0</v>
      </c>
      <c r="AA266" s="20">
        <v>0</v>
      </c>
      <c r="AB266" s="20">
        <v>0</v>
      </c>
      <c r="AC266" s="20">
        <v>0</v>
      </c>
      <c r="AD266" s="15">
        <f t="shared" si="49"/>
        <v>0</v>
      </c>
      <c r="AE266" s="15">
        <v>60</v>
      </c>
      <c r="AF266" s="15">
        <v>0</v>
      </c>
      <c r="AG266" s="15">
        <v>0</v>
      </c>
      <c r="AH266" s="15">
        <v>60</v>
      </c>
      <c r="AI266" s="15">
        <v>0</v>
      </c>
      <c r="AJ266" s="15">
        <v>30</v>
      </c>
      <c r="AK266" s="15">
        <v>10</v>
      </c>
      <c r="AL266" s="15">
        <v>30</v>
      </c>
      <c r="AM266" s="15">
        <f t="shared" si="48"/>
        <v>190</v>
      </c>
      <c r="AN266" s="29">
        <f t="shared" si="44"/>
        <v>960</v>
      </c>
      <c r="AO266" s="19">
        <v>804</v>
      </c>
      <c r="AP266" s="21">
        <v>0</v>
      </c>
      <c r="AQ266" s="22">
        <v>0</v>
      </c>
      <c r="AR266" s="26">
        <f t="shared" si="50"/>
        <v>804</v>
      </c>
      <c r="AS266" s="37">
        <f t="shared" si="45"/>
        <v>1</v>
      </c>
      <c r="AT266" s="38">
        <f t="shared" si="52"/>
        <v>0.83750000000000002</v>
      </c>
      <c r="AU266" s="38">
        <f t="shared" si="46"/>
        <v>1</v>
      </c>
      <c r="AV266" s="27">
        <f t="shared" si="47"/>
        <v>0.83750000000000002</v>
      </c>
    </row>
    <row r="267" spans="1:48" s="1" customFormat="1" ht="23.1" customHeight="1" x14ac:dyDescent="0.25">
      <c r="A267" s="109">
        <v>46041</v>
      </c>
      <c r="B267" s="47" t="s">
        <v>49</v>
      </c>
      <c r="C267" s="78" t="s">
        <v>51</v>
      </c>
      <c r="D267" s="47" t="s">
        <v>172</v>
      </c>
      <c r="E267" s="48">
        <v>98992</v>
      </c>
      <c r="F267" s="48" t="s">
        <v>175</v>
      </c>
      <c r="G267" s="48" t="s">
        <v>87</v>
      </c>
      <c r="H267" s="30">
        <v>15882</v>
      </c>
      <c r="I267" s="30"/>
      <c r="J267" s="30">
        <v>20</v>
      </c>
      <c r="K267" s="28">
        <f t="shared" si="41"/>
        <v>180</v>
      </c>
      <c r="L267" s="31">
        <v>0.58333333333333337</v>
      </c>
      <c r="M267" s="31">
        <v>0.9375</v>
      </c>
      <c r="N267" s="32">
        <f t="shared" si="51"/>
        <v>0.35416666666666663</v>
      </c>
      <c r="O267" s="36">
        <v>510</v>
      </c>
      <c r="P267" s="36">
        <f t="shared" si="42"/>
        <v>260</v>
      </c>
      <c r="Q267" s="36">
        <f t="shared" si="43"/>
        <v>260</v>
      </c>
      <c r="R267" s="15">
        <v>0</v>
      </c>
      <c r="S267" s="20">
        <v>0</v>
      </c>
      <c r="T267" s="16">
        <v>0</v>
      </c>
      <c r="U267" s="16">
        <v>0</v>
      </c>
      <c r="V267" s="20">
        <v>0</v>
      </c>
      <c r="W267" s="20">
        <v>0</v>
      </c>
      <c r="X267" s="20">
        <v>0</v>
      </c>
      <c r="Y267" s="20">
        <v>0</v>
      </c>
      <c r="Z267" s="20">
        <v>0</v>
      </c>
      <c r="AA267" s="20">
        <v>0</v>
      </c>
      <c r="AB267" s="20">
        <v>0</v>
      </c>
      <c r="AC267" s="20">
        <v>0</v>
      </c>
      <c r="AD267" s="15">
        <f t="shared" si="49"/>
        <v>0</v>
      </c>
      <c r="AE267" s="15">
        <v>0</v>
      </c>
      <c r="AF267" s="15">
        <v>0</v>
      </c>
      <c r="AG267" s="15">
        <v>0</v>
      </c>
      <c r="AH267" s="15">
        <v>180</v>
      </c>
      <c r="AI267" s="15">
        <v>0</v>
      </c>
      <c r="AJ267" s="15">
        <v>30</v>
      </c>
      <c r="AK267" s="15">
        <v>10</v>
      </c>
      <c r="AL267" s="15">
        <v>30</v>
      </c>
      <c r="AM267" s="15">
        <f t="shared" si="48"/>
        <v>250</v>
      </c>
      <c r="AN267" s="29">
        <f t="shared" si="44"/>
        <v>780</v>
      </c>
      <c r="AO267" s="19">
        <v>600</v>
      </c>
      <c r="AP267" s="21">
        <v>0</v>
      </c>
      <c r="AQ267" s="22">
        <v>0</v>
      </c>
      <c r="AR267" s="26">
        <f t="shared" si="50"/>
        <v>600</v>
      </c>
      <c r="AS267" s="37">
        <f t="shared" si="45"/>
        <v>1</v>
      </c>
      <c r="AT267" s="38">
        <f t="shared" si="52"/>
        <v>0.76923076923076927</v>
      </c>
      <c r="AU267" s="38">
        <f t="shared" si="46"/>
        <v>1</v>
      </c>
      <c r="AV267" s="27">
        <f t="shared" si="47"/>
        <v>0.76923076923076927</v>
      </c>
    </row>
    <row r="268" spans="1:48" s="1" customFormat="1" ht="23.1" customHeight="1" x14ac:dyDescent="0.25">
      <c r="A268" s="109">
        <v>46041</v>
      </c>
      <c r="B268" s="47" t="s">
        <v>49</v>
      </c>
      <c r="C268" s="78" t="s">
        <v>51</v>
      </c>
      <c r="D268" s="47" t="s">
        <v>124</v>
      </c>
      <c r="E268" s="48">
        <v>98992</v>
      </c>
      <c r="F268" s="48" t="s">
        <v>215</v>
      </c>
      <c r="G268" s="48" t="s">
        <v>125</v>
      </c>
      <c r="H268" s="30">
        <v>14972</v>
      </c>
      <c r="I268" s="30"/>
      <c r="J268" s="30">
        <v>32</v>
      </c>
      <c r="K268" s="28">
        <f t="shared" ref="K268:K331" si="53">3600/J268</f>
        <v>112.5</v>
      </c>
      <c r="L268" s="31">
        <v>0.58333333333333337</v>
      </c>
      <c r="M268" s="31">
        <v>0.9375</v>
      </c>
      <c r="N268" s="32">
        <f t="shared" si="51"/>
        <v>0.35416666666666663</v>
      </c>
      <c r="O268" s="36">
        <v>510</v>
      </c>
      <c r="P268" s="36">
        <f t="shared" ref="P268:P331" si="54">Q268-AD268</f>
        <v>440</v>
      </c>
      <c r="Q268" s="36">
        <f t="shared" ref="Q268:Q331" si="55">O268-AM268</f>
        <v>440</v>
      </c>
      <c r="R268" s="15">
        <v>0</v>
      </c>
      <c r="S268" s="20">
        <v>0</v>
      </c>
      <c r="T268" s="16">
        <v>0</v>
      </c>
      <c r="U268" s="16">
        <v>0</v>
      </c>
      <c r="V268" s="20">
        <v>0</v>
      </c>
      <c r="W268" s="20">
        <v>0</v>
      </c>
      <c r="X268" s="20">
        <v>0</v>
      </c>
      <c r="Y268" s="20">
        <v>0</v>
      </c>
      <c r="Z268" s="20">
        <v>0</v>
      </c>
      <c r="AA268" s="20">
        <v>0</v>
      </c>
      <c r="AB268" s="20">
        <v>0</v>
      </c>
      <c r="AC268" s="20">
        <v>0</v>
      </c>
      <c r="AD268" s="15">
        <f t="shared" si="49"/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  <c r="AJ268" s="15">
        <v>30</v>
      </c>
      <c r="AK268" s="15">
        <v>10</v>
      </c>
      <c r="AL268" s="15">
        <v>30</v>
      </c>
      <c r="AM268" s="15">
        <f t="shared" si="48"/>
        <v>70</v>
      </c>
      <c r="AN268" s="29">
        <f t="shared" ref="AN268:AN331" si="56">Q268*(K268/60)</f>
        <v>825</v>
      </c>
      <c r="AO268" s="19">
        <v>761</v>
      </c>
      <c r="AP268" s="21">
        <v>0</v>
      </c>
      <c r="AQ268" s="22">
        <v>1</v>
      </c>
      <c r="AR268" s="26">
        <f t="shared" si="50"/>
        <v>760</v>
      </c>
      <c r="AS268" s="37">
        <f t="shared" si="45"/>
        <v>1</v>
      </c>
      <c r="AT268" s="38">
        <f t="shared" si="52"/>
        <v>0.92242424242424237</v>
      </c>
      <c r="AU268" s="38">
        <f t="shared" si="46"/>
        <v>0.99868593955321949</v>
      </c>
      <c r="AV268" s="27">
        <f t="shared" si="47"/>
        <v>0.92121212121212115</v>
      </c>
    </row>
    <row r="269" spans="1:48" s="1" customFormat="1" ht="23.1" customHeight="1" x14ac:dyDescent="0.25">
      <c r="A269" s="109">
        <v>46041</v>
      </c>
      <c r="B269" s="47" t="s">
        <v>49</v>
      </c>
      <c r="C269" s="78" t="s">
        <v>51</v>
      </c>
      <c r="D269" s="47" t="s">
        <v>122</v>
      </c>
      <c r="E269" s="48">
        <v>98992</v>
      </c>
      <c r="F269" s="48" t="s">
        <v>169</v>
      </c>
      <c r="G269" s="48" t="s">
        <v>125</v>
      </c>
      <c r="H269" s="30">
        <v>15676</v>
      </c>
      <c r="I269" s="30"/>
      <c r="J269" s="30">
        <v>32</v>
      </c>
      <c r="K269" s="28">
        <f t="shared" si="53"/>
        <v>112.5</v>
      </c>
      <c r="L269" s="31">
        <v>0.58333333333333337</v>
      </c>
      <c r="M269" s="31">
        <v>0.9375</v>
      </c>
      <c r="N269" s="32">
        <f t="shared" si="51"/>
        <v>0.35416666666666663</v>
      </c>
      <c r="O269" s="36">
        <v>510</v>
      </c>
      <c r="P269" s="36">
        <f t="shared" si="54"/>
        <v>440</v>
      </c>
      <c r="Q269" s="36">
        <f t="shared" si="55"/>
        <v>440</v>
      </c>
      <c r="R269" s="15">
        <v>0</v>
      </c>
      <c r="S269" s="20">
        <v>0</v>
      </c>
      <c r="T269" s="16">
        <v>0</v>
      </c>
      <c r="U269" s="16">
        <v>0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15">
        <f t="shared" si="49"/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  <c r="AJ269" s="15">
        <v>30</v>
      </c>
      <c r="AK269" s="15">
        <v>10</v>
      </c>
      <c r="AL269" s="15">
        <v>30</v>
      </c>
      <c r="AM269" s="15">
        <f t="shared" si="48"/>
        <v>70</v>
      </c>
      <c r="AN269" s="29">
        <f t="shared" si="56"/>
        <v>825</v>
      </c>
      <c r="AO269" s="19">
        <v>601</v>
      </c>
      <c r="AP269" s="21">
        <v>0</v>
      </c>
      <c r="AQ269" s="22">
        <v>3</v>
      </c>
      <c r="AR269" s="26">
        <f t="shared" si="50"/>
        <v>598</v>
      </c>
      <c r="AS269" s="37">
        <f t="shared" si="45"/>
        <v>1</v>
      </c>
      <c r="AT269" s="38">
        <f t="shared" si="52"/>
        <v>0.72848484848484851</v>
      </c>
      <c r="AU269" s="38">
        <f t="shared" si="46"/>
        <v>0.99500831946755408</v>
      </c>
      <c r="AV269" s="27">
        <f t="shared" si="47"/>
        <v>0.72484848484848485</v>
      </c>
    </row>
    <row r="270" spans="1:48" s="1" customFormat="1" ht="23.1" customHeight="1" x14ac:dyDescent="0.25">
      <c r="A270" s="109">
        <v>46041</v>
      </c>
      <c r="B270" s="47" t="s">
        <v>49</v>
      </c>
      <c r="C270" s="78" t="s">
        <v>51</v>
      </c>
      <c r="D270" s="47" t="s">
        <v>128</v>
      </c>
      <c r="E270" s="48">
        <v>98992</v>
      </c>
      <c r="F270" s="48" t="s">
        <v>53</v>
      </c>
      <c r="G270" s="48" t="s">
        <v>125</v>
      </c>
      <c r="H270" s="30">
        <v>15773</v>
      </c>
      <c r="I270" s="30"/>
      <c r="J270" s="30">
        <v>32</v>
      </c>
      <c r="K270" s="28">
        <f t="shared" si="53"/>
        <v>112.5</v>
      </c>
      <c r="L270" s="31">
        <v>0.58333333333333337</v>
      </c>
      <c r="M270" s="31">
        <v>0.9375</v>
      </c>
      <c r="N270" s="32">
        <f t="shared" si="51"/>
        <v>0.35416666666666663</v>
      </c>
      <c r="O270" s="36">
        <v>510</v>
      </c>
      <c r="P270" s="36">
        <f t="shared" si="54"/>
        <v>440</v>
      </c>
      <c r="Q270" s="36">
        <f t="shared" si="55"/>
        <v>440</v>
      </c>
      <c r="R270" s="15">
        <v>0</v>
      </c>
      <c r="S270" s="20">
        <v>0</v>
      </c>
      <c r="T270" s="16">
        <v>0</v>
      </c>
      <c r="U270" s="16">
        <v>0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15">
        <f t="shared" si="49"/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  <c r="AJ270" s="15">
        <v>30</v>
      </c>
      <c r="AK270" s="15">
        <v>10</v>
      </c>
      <c r="AL270" s="15">
        <v>30</v>
      </c>
      <c r="AM270" s="15">
        <f t="shared" si="48"/>
        <v>70</v>
      </c>
      <c r="AN270" s="29">
        <f t="shared" si="56"/>
        <v>825</v>
      </c>
      <c r="AO270" s="19">
        <v>641</v>
      </c>
      <c r="AP270" s="21">
        <v>0</v>
      </c>
      <c r="AQ270" s="22">
        <v>2</v>
      </c>
      <c r="AR270" s="26">
        <f t="shared" si="50"/>
        <v>639</v>
      </c>
      <c r="AS270" s="37">
        <f t="shared" si="45"/>
        <v>1</v>
      </c>
      <c r="AT270" s="38">
        <f t="shared" si="52"/>
        <v>0.77696969696969698</v>
      </c>
      <c r="AU270" s="38">
        <f t="shared" si="46"/>
        <v>0.99687987519500776</v>
      </c>
      <c r="AV270" s="27">
        <f t="shared" si="47"/>
        <v>0.77454545454545454</v>
      </c>
    </row>
    <row r="271" spans="1:48" s="1" customFormat="1" ht="23.1" customHeight="1" x14ac:dyDescent="0.25">
      <c r="A271" s="109">
        <v>46041</v>
      </c>
      <c r="B271" s="47" t="s">
        <v>49</v>
      </c>
      <c r="C271" s="78" t="s">
        <v>51</v>
      </c>
      <c r="D271" s="47" t="s">
        <v>170</v>
      </c>
      <c r="E271" s="48">
        <v>98992</v>
      </c>
      <c r="F271" s="48" t="s">
        <v>176</v>
      </c>
      <c r="G271" s="48" t="s">
        <v>125</v>
      </c>
      <c r="H271" s="30">
        <v>13105</v>
      </c>
      <c r="I271" s="30"/>
      <c r="J271" s="30">
        <v>20</v>
      </c>
      <c r="K271" s="28">
        <f t="shared" si="53"/>
        <v>180</v>
      </c>
      <c r="L271" s="31">
        <v>0.58333333333333337</v>
      </c>
      <c r="M271" s="31">
        <v>0.9375</v>
      </c>
      <c r="N271" s="32">
        <f t="shared" si="51"/>
        <v>0.35416666666666663</v>
      </c>
      <c r="O271" s="36">
        <v>510</v>
      </c>
      <c r="P271" s="36">
        <f t="shared" si="54"/>
        <v>260</v>
      </c>
      <c r="Q271" s="36">
        <f t="shared" si="55"/>
        <v>260</v>
      </c>
      <c r="R271" s="15">
        <v>0</v>
      </c>
      <c r="S271" s="20">
        <v>0</v>
      </c>
      <c r="T271" s="16">
        <v>0</v>
      </c>
      <c r="U271" s="16">
        <v>0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15">
        <f t="shared" si="49"/>
        <v>0</v>
      </c>
      <c r="AE271" s="15">
        <v>0</v>
      </c>
      <c r="AF271" s="15">
        <v>0</v>
      </c>
      <c r="AG271" s="15">
        <v>0</v>
      </c>
      <c r="AH271" s="15">
        <v>180</v>
      </c>
      <c r="AI271" s="15">
        <v>0</v>
      </c>
      <c r="AJ271" s="15">
        <v>30</v>
      </c>
      <c r="AK271" s="15">
        <v>10</v>
      </c>
      <c r="AL271" s="15">
        <v>30</v>
      </c>
      <c r="AM271" s="15">
        <f t="shared" si="48"/>
        <v>250</v>
      </c>
      <c r="AN271" s="29">
        <f t="shared" si="56"/>
        <v>780</v>
      </c>
      <c r="AO271" s="19">
        <v>588</v>
      </c>
      <c r="AP271" s="21">
        <v>0</v>
      </c>
      <c r="AQ271" s="22">
        <v>1</v>
      </c>
      <c r="AR271" s="26">
        <f t="shared" si="50"/>
        <v>587</v>
      </c>
      <c r="AS271" s="37">
        <f t="shared" ref="AS271:AS334" si="57">P271/Q271</f>
        <v>1</v>
      </c>
      <c r="AT271" s="38">
        <f t="shared" si="52"/>
        <v>0.75384615384615383</v>
      </c>
      <c r="AU271" s="38">
        <f t="shared" ref="AU271:AU334" si="58">AR271/AO271</f>
        <v>0.99829931972789121</v>
      </c>
      <c r="AV271" s="27">
        <f t="shared" ref="AV271:AV334" si="59">AS271*AT271*AU271</f>
        <v>0.75256410256410255</v>
      </c>
    </row>
    <row r="272" spans="1:48" s="1" customFormat="1" ht="23.1" customHeight="1" x14ac:dyDescent="0.25">
      <c r="A272" s="109">
        <v>46041</v>
      </c>
      <c r="B272" s="47" t="s">
        <v>49</v>
      </c>
      <c r="C272" s="78" t="s">
        <v>51</v>
      </c>
      <c r="D272" s="47" t="s">
        <v>127</v>
      </c>
      <c r="E272" s="48">
        <v>98992</v>
      </c>
      <c r="F272" s="48" t="s">
        <v>175</v>
      </c>
      <c r="G272" s="48" t="s">
        <v>125</v>
      </c>
      <c r="H272" s="30">
        <v>13105</v>
      </c>
      <c r="I272" s="30"/>
      <c r="J272" s="30">
        <v>20</v>
      </c>
      <c r="K272" s="28">
        <f t="shared" si="53"/>
        <v>180</v>
      </c>
      <c r="L272" s="31">
        <v>0.58333333333333337</v>
      </c>
      <c r="M272" s="31">
        <v>0.9375</v>
      </c>
      <c r="N272" s="32">
        <f t="shared" si="51"/>
        <v>0.35416666666666663</v>
      </c>
      <c r="O272" s="36">
        <v>510</v>
      </c>
      <c r="P272" s="36">
        <f t="shared" si="54"/>
        <v>260</v>
      </c>
      <c r="Q272" s="36">
        <f t="shared" si="55"/>
        <v>260</v>
      </c>
      <c r="R272" s="15">
        <v>0</v>
      </c>
      <c r="S272" s="20">
        <v>0</v>
      </c>
      <c r="T272" s="16">
        <v>0</v>
      </c>
      <c r="U272" s="16">
        <v>0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15">
        <f t="shared" si="49"/>
        <v>0</v>
      </c>
      <c r="AE272" s="15">
        <v>0</v>
      </c>
      <c r="AF272" s="15">
        <v>0</v>
      </c>
      <c r="AG272" s="15">
        <v>0</v>
      </c>
      <c r="AH272" s="15">
        <v>180</v>
      </c>
      <c r="AI272" s="15">
        <v>0</v>
      </c>
      <c r="AJ272" s="15">
        <v>30</v>
      </c>
      <c r="AK272" s="15">
        <v>10</v>
      </c>
      <c r="AL272" s="15">
        <v>30</v>
      </c>
      <c r="AM272" s="15">
        <f t="shared" si="48"/>
        <v>250</v>
      </c>
      <c r="AN272" s="29">
        <f t="shared" si="56"/>
        <v>780</v>
      </c>
      <c r="AO272" s="20">
        <v>600</v>
      </c>
      <c r="AP272" s="21">
        <v>0</v>
      </c>
      <c r="AQ272" s="22">
        <v>0</v>
      </c>
      <c r="AR272" s="26">
        <f t="shared" si="50"/>
        <v>600</v>
      </c>
      <c r="AS272" s="37">
        <f t="shared" si="57"/>
        <v>1</v>
      </c>
      <c r="AT272" s="38">
        <f t="shared" si="52"/>
        <v>0.76923076923076927</v>
      </c>
      <c r="AU272" s="38">
        <f t="shared" si="58"/>
        <v>1</v>
      </c>
      <c r="AV272" s="27">
        <f t="shared" si="59"/>
        <v>0.76923076923076927</v>
      </c>
    </row>
    <row r="273" spans="1:48" s="1" customFormat="1" ht="23.1" customHeight="1" x14ac:dyDescent="0.25">
      <c r="A273" s="109">
        <v>46042</v>
      </c>
      <c r="B273" s="47" t="s">
        <v>49</v>
      </c>
      <c r="C273" s="78" t="s">
        <v>21</v>
      </c>
      <c r="D273" s="47" t="s">
        <v>94</v>
      </c>
      <c r="E273" s="48">
        <v>98992</v>
      </c>
      <c r="F273" s="48" t="s">
        <v>67</v>
      </c>
      <c r="G273" s="48" t="s">
        <v>174</v>
      </c>
      <c r="H273" s="30">
        <v>13069</v>
      </c>
      <c r="I273" s="30"/>
      <c r="J273" s="30">
        <v>24</v>
      </c>
      <c r="K273" s="28">
        <f t="shared" si="53"/>
        <v>150</v>
      </c>
      <c r="L273" s="31">
        <v>0.25</v>
      </c>
      <c r="M273" s="31">
        <v>0.60416666666666696</v>
      </c>
      <c r="N273" s="32">
        <f t="shared" si="51"/>
        <v>0.35416666666666696</v>
      </c>
      <c r="O273" s="36">
        <v>510</v>
      </c>
      <c r="P273" s="36">
        <f t="shared" si="54"/>
        <v>440</v>
      </c>
      <c r="Q273" s="36">
        <f t="shared" si="55"/>
        <v>440</v>
      </c>
      <c r="R273" s="15">
        <v>0</v>
      </c>
      <c r="S273" s="20">
        <v>0</v>
      </c>
      <c r="T273" s="16">
        <v>0</v>
      </c>
      <c r="U273" s="16">
        <v>0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15">
        <f t="shared" si="49"/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30</v>
      </c>
      <c r="AK273" s="15">
        <v>10</v>
      </c>
      <c r="AL273" s="15">
        <v>30</v>
      </c>
      <c r="AM273" s="15">
        <f t="shared" si="48"/>
        <v>70</v>
      </c>
      <c r="AN273" s="29">
        <f t="shared" si="56"/>
        <v>1100</v>
      </c>
      <c r="AO273" s="19">
        <v>980</v>
      </c>
      <c r="AP273" s="21">
        <v>0</v>
      </c>
      <c r="AQ273" s="22">
        <v>43</v>
      </c>
      <c r="AR273" s="26">
        <f t="shared" si="50"/>
        <v>937</v>
      </c>
      <c r="AS273" s="37">
        <f t="shared" si="57"/>
        <v>1</v>
      </c>
      <c r="AT273" s="38">
        <f t="shared" si="52"/>
        <v>0.89090909090909087</v>
      </c>
      <c r="AU273" s="38">
        <f t="shared" si="58"/>
        <v>0.95612244897959187</v>
      </c>
      <c r="AV273" s="27">
        <f t="shared" si="59"/>
        <v>0.85181818181818181</v>
      </c>
    </row>
    <row r="274" spans="1:48" s="1" customFormat="1" ht="23.1" customHeight="1" x14ac:dyDescent="0.25">
      <c r="A274" s="109">
        <v>46042</v>
      </c>
      <c r="B274" s="47" t="s">
        <v>49</v>
      </c>
      <c r="C274" s="78" t="s">
        <v>21</v>
      </c>
      <c r="D274" s="47" t="s">
        <v>88</v>
      </c>
      <c r="E274" s="48">
        <v>98992</v>
      </c>
      <c r="F274" s="48" t="s">
        <v>126</v>
      </c>
      <c r="G274" s="48" t="s">
        <v>87</v>
      </c>
      <c r="H274" s="30">
        <v>13106</v>
      </c>
      <c r="I274" s="30"/>
      <c r="J274" s="30">
        <v>32</v>
      </c>
      <c r="K274" s="28">
        <f t="shared" si="53"/>
        <v>112.5</v>
      </c>
      <c r="L274" s="31">
        <v>0.25</v>
      </c>
      <c r="M274" s="31">
        <v>0.60416666666666696</v>
      </c>
      <c r="N274" s="32">
        <f t="shared" si="51"/>
        <v>0.35416666666666696</v>
      </c>
      <c r="O274" s="36">
        <v>510</v>
      </c>
      <c r="P274" s="36">
        <f t="shared" si="54"/>
        <v>380</v>
      </c>
      <c r="Q274" s="36">
        <f t="shared" si="55"/>
        <v>380</v>
      </c>
      <c r="R274" s="15">
        <v>0</v>
      </c>
      <c r="S274" s="20">
        <v>0</v>
      </c>
      <c r="T274" s="16">
        <v>0</v>
      </c>
      <c r="U274" s="16">
        <v>0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15">
        <f t="shared" si="49"/>
        <v>0</v>
      </c>
      <c r="AE274" s="15">
        <v>0</v>
      </c>
      <c r="AF274" s="15">
        <v>0</v>
      </c>
      <c r="AG274" s="15">
        <v>0</v>
      </c>
      <c r="AH274" s="15">
        <v>60</v>
      </c>
      <c r="AI274" s="15">
        <v>0</v>
      </c>
      <c r="AJ274" s="15">
        <v>30</v>
      </c>
      <c r="AK274" s="15">
        <v>10</v>
      </c>
      <c r="AL274" s="15">
        <v>30</v>
      </c>
      <c r="AM274" s="15">
        <f t="shared" si="48"/>
        <v>130</v>
      </c>
      <c r="AN274" s="29">
        <f t="shared" si="56"/>
        <v>712.5</v>
      </c>
      <c r="AO274" s="19">
        <v>550</v>
      </c>
      <c r="AP274" s="21">
        <v>0</v>
      </c>
      <c r="AQ274" s="22">
        <v>1</v>
      </c>
      <c r="AR274" s="26">
        <f t="shared" si="50"/>
        <v>549</v>
      </c>
      <c r="AS274" s="37">
        <f t="shared" si="57"/>
        <v>1</v>
      </c>
      <c r="AT274" s="38">
        <f t="shared" si="52"/>
        <v>0.77192982456140347</v>
      </c>
      <c r="AU274" s="38">
        <f t="shared" si="58"/>
        <v>0.99818181818181817</v>
      </c>
      <c r="AV274" s="27">
        <f t="shared" si="59"/>
        <v>0.77052631578947361</v>
      </c>
    </row>
    <row r="275" spans="1:48" s="1" customFormat="1" ht="23.1" customHeight="1" x14ac:dyDescent="0.25">
      <c r="A275" s="109">
        <v>46042</v>
      </c>
      <c r="B275" s="47" t="s">
        <v>49</v>
      </c>
      <c r="C275" s="78" t="s">
        <v>21</v>
      </c>
      <c r="D275" s="47" t="s">
        <v>89</v>
      </c>
      <c r="E275" s="48">
        <v>98992</v>
      </c>
      <c r="F275" s="48" t="s">
        <v>169</v>
      </c>
      <c r="G275" s="48" t="s">
        <v>87</v>
      </c>
      <c r="H275" s="30">
        <v>16219</v>
      </c>
      <c r="I275" s="30"/>
      <c r="J275" s="30">
        <v>32</v>
      </c>
      <c r="K275" s="28">
        <f t="shared" si="53"/>
        <v>112.5</v>
      </c>
      <c r="L275" s="31">
        <v>0.25</v>
      </c>
      <c r="M275" s="31">
        <v>0.60416666666666696</v>
      </c>
      <c r="N275" s="32">
        <f t="shared" si="51"/>
        <v>0.35416666666666696</v>
      </c>
      <c r="O275" s="36">
        <v>510</v>
      </c>
      <c r="P275" s="36">
        <f t="shared" si="54"/>
        <v>380</v>
      </c>
      <c r="Q275" s="36">
        <f t="shared" si="55"/>
        <v>380</v>
      </c>
      <c r="R275" s="15">
        <v>0</v>
      </c>
      <c r="S275" s="20">
        <v>0</v>
      </c>
      <c r="T275" s="16">
        <v>0</v>
      </c>
      <c r="U275" s="16">
        <v>0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15">
        <f t="shared" si="49"/>
        <v>0</v>
      </c>
      <c r="AE275" s="15">
        <v>0</v>
      </c>
      <c r="AF275" s="15">
        <v>0</v>
      </c>
      <c r="AG275" s="15">
        <v>0</v>
      </c>
      <c r="AH275" s="15">
        <v>60</v>
      </c>
      <c r="AI275" s="15">
        <v>0</v>
      </c>
      <c r="AJ275" s="15">
        <v>30</v>
      </c>
      <c r="AK275" s="15">
        <v>10</v>
      </c>
      <c r="AL275" s="15">
        <v>30</v>
      </c>
      <c r="AM275" s="15">
        <f t="shared" si="48"/>
        <v>130</v>
      </c>
      <c r="AN275" s="29">
        <f t="shared" si="56"/>
        <v>712.5</v>
      </c>
      <c r="AO275" s="19">
        <v>520</v>
      </c>
      <c r="AP275" s="21">
        <v>0</v>
      </c>
      <c r="AQ275" s="22">
        <v>1</v>
      </c>
      <c r="AR275" s="26">
        <f t="shared" si="50"/>
        <v>519</v>
      </c>
      <c r="AS275" s="37">
        <f t="shared" si="57"/>
        <v>1</v>
      </c>
      <c r="AT275" s="38">
        <f t="shared" si="52"/>
        <v>0.72982456140350882</v>
      </c>
      <c r="AU275" s="38">
        <f t="shared" si="58"/>
        <v>0.99807692307692308</v>
      </c>
      <c r="AV275" s="27">
        <f t="shared" si="59"/>
        <v>0.72842105263157897</v>
      </c>
    </row>
    <row r="276" spans="1:48" s="1" customFormat="1" ht="23.1" customHeight="1" x14ac:dyDescent="0.25">
      <c r="A276" s="109">
        <v>46042</v>
      </c>
      <c r="B276" s="47" t="s">
        <v>49</v>
      </c>
      <c r="C276" s="78" t="s">
        <v>21</v>
      </c>
      <c r="D276" s="47" t="s">
        <v>52</v>
      </c>
      <c r="E276" s="48">
        <v>98992</v>
      </c>
      <c r="F276" s="48" t="s">
        <v>53</v>
      </c>
      <c r="G276" s="48" t="s">
        <v>87</v>
      </c>
      <c r="H276" s="30">
        <v>14957</v>
      </c>
      <c r="I276" s="30"/>
      <c r="J276" s="30">
        <v>32</v>
      </c>
      <c r="K276" s="28">
        <f t="shared" si="53"/>
        <v>112.5</v>
      </c>
      <c r="L276" s="31">
        <v>0.25</v>
      </c>
      <c r="M276" s="31">
        <v>0.60416666666666696</v>
      </c>
      <c r="N276" s="32">
        <f t="shared" si="51"/>
        <v>0.35416666666666696</v>
      </c>
      <c r="O276" s="36">
        <v>510</v>
      </c>
      <c r="P276" s="36">
        <f t="shared" si="54"/>
        <v>440</v>
      </c>
      <c r="Q276" s="36">
        <f t="shared" si="55"/>
        <v>440</v>
      </c>
      <c r="R276" s="15"/>
      <c r="S276" s="20"/>
      <c r="T276" s="16"/>
      <c r="U276" s="16"/>
      <c r="V276" s="20"/>
      <c r="W276" s="20"/>
      <c r="X276" s="20"/>
      <c r="Y276" s="20"/>
      <c r="Z276" s="20"/>
      <c r="AA276" s="20"/>
      <c r="AB276" s="20"/>
      <c r="AC276" s="20"/>
      <c r="AD276" s="15">
        <f t="shared" si="49"/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30</v>
      </c>
      <c r="AK276" s="15">
        <v>10</v>
      </c>
      <c r="AL276" s="15">
        <v>30</v>
      </c>
      <c r="AM276" s="15">
        <f t="shared" si="48"/>
        <v>70</v>
      </c>
      <c r="AN276" s="29">
        <f t="shared" si="56"/>
        <v>825</v>
      </c>
      <c r="AO276" s="19">
        <v>630</v>
      </c>
      <c r="AP276" s="21">
        <v>0</v>
      </c>
      <c r="AQ276" s="22">
        <v>1</v>
      </c>
      <c r="AR276" s="26">
        <f t="shared" si="50"/>
        <v>629</v>
      </c>
      <c r="AS276" s="37">
        <f t="shared" si="57"/>
        <v>1</v>
      </c>
      <c r="AT276" s="38">
        <f t="shared" si="52"/>
        <v>0.76363636363636367</v>
      </c>
      <c r="AU276" s="38">
        <f t="shared" si="58"/>
        <v>0.99841269841269842</v>
      </c>
      <c r="AV276" s="27">
        <f t="shared" si="59"/>
        <v>0.76242424242424245</v>
      </c>
    </row>
    <row r="277" spans="1:48" s="1" customFormat="1" ht="23.1" customHeight="1" x14ac:dyDescent="0.25">
      <c r="A277" s="109">
        <v>46042</v>
      </c>
      <c r="B277" s="47" t="s">
        <v>49</v>
      </c>
      <c r="C277" s="78" t="s">
        <v>21</v>
      </c>
      <c r="D277" s="47" t="s">
        <v>124</v>
      </c>
      <c r="E277" s="48">
        <v>98992</v>
      </c>
      <c r="F277" s="48" t="s">
        <v>215</v>
      </c>
      <c r="G277" s="48" t="s">
        <v>125</v>
      </c>
      <c r="H277" s="30">
        <v>13105</v>
      </c>
      <c r="I277" s="30"/>
      <c r="J277" s="30">
        <v>32</v>
      </c>
      <c r="K277" s="28">
        <f t="shared" si="53"/>
        <v>112.5</v>
      </c>
      <c r="L277" s="31">
        <v>0.25</v>
      </c>
      <c r="M277" s="31">
        <v>0.60416666666666696</v>
      </c>
      <c r="N277" s="32">
        <f t="shared" si="51"/>
        <v>0.35416666666666696</v>
      </c>
      <c r="O277" s="36">
        <v>510</v>
      </c>
      <c r="P277" s="36">
        <f t="shared" si="54"/>
        <v>440</v>
      </c>
      <c r="Q277" s="36">
        <f t="shared" si="55"/>
        <v>440</v>
      </c>
      <c r="R277" s="15"/>
      <c r="S277" s="20"/>
      <c r="T277" s="16"/>
      <c r="U277" s="16"/>
      <c r="V277" s="20"/>
      <c r="W277" s="20"/>
      <c r="X277" s="20"/>
      <c r="Y277" s="20"/>
      <c r="Z277" s="20"/>
      <c r="AA277" s="20"/>
      <c r="AB277" s="20"/>
      <c r="AC277" s="20"/>
      <c r="AD277" s="15">
        <f t="shared" si="49"/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  <c r="AJ277" s="15">
        <v>30</v>
      </c>
      <c r="AK277" s="15">
        <v>10</v>
      </c>
      <c r="AL277" s="15">
        <v>30</v>
      </c>
      <c r="AM277" s="15">
        <f t="shared" si="48"/>
        <v>70</v>
      </c>
      <c r="AN277" s="29">
        <f t="shared" si="56"/>
        <v>825</v>
      </c>
      <c r="AO277" s="19">
        <v>750</v>
      </c>
      <c r="AP277" s="21">
        <v>0</v>
      </c>
      <c r="AQ277" s="22">
        <v>1</v>
      </c>
      <c r="AR277" s="26">
        <f t="shared" si="50"/>
        <v>749</v>
      </c>
      <c r="AS277" s="37">
        <f t="shared" si="57"/>
        <v>1</v>
      </c>
      <c r="AT277" s="38">
        <f t="shared" si="52"/>
        <v>0.90909090909090906</v>
      </c>
      <c r="AU277" s="38">
        <f t="shared" si="58"/>
        <v>0.9986666666666667</v>
      </c>
      <c r="AV277" s="27">
        <f t="shared" si="59"/>
        <v>0.90787878787878784</v>
      </c>
    </row>
    <row r="278" spans="1:48" s="1" customFormat="1" ht="23.1" customHeight="1" x14ac:dyDescent="0.25">
      <c r="A278" s="109">
        <v>46042</v>
      </c>
      <c r="B278" s="47" t="s">
        <v>49</v>
      </c>
      <c r="C278" s="78" t="s">
        <v>21</v>
      </c>
      <c r="D278" s="47" t="s">
        <v>122</v>
      </c>
      <c r="E278" s="48">
        <v>98992</v>
      </c>
      <c r="F278" s="48" t="s">
        <v>169</v>
      </c>
      <c r="G278" s="48" t="s">
        <v>125</v>
      </c>
      <c r="H278" s="30">
        <v>14957</v>
      </c>
      <c r="I278" s="30"/>
      <c r="J278" s="30">
        <v>32</v>
      </c>
      <c r="K278" s="28">
        <f t="shared" si="53"/>
        <v>112.5</v>
      </c>
      <c r="L278" s="31">
        <v>0.25</v>
      </c>
      <c r="M278" s="31">
        <v>0.60416666666666696</v>
      </c>
      <c r="N278" s="32">
        <f t="shared" si="51"/>
        <v>0.35416666666666696</v>
      </c>
      <c r="O278" s="36">
        <v>510</v>
      </c>
      <c r="P278" s="36">
        <f t="shared" si="54"/>
        <v>380</v>
      </c>
      <c r="Q278" s="36">
        <f t="shared" si="55"/>
        <v>380</v>
      </c>
      <c r="R278" s="15">
        <v>0</v>
      </c>
      <c r="S278" s="20">
        <v>0</v>
      </c>
      <c r="T278" s="16">
        <v>0</v>
      </c>
      <c r="U278" s="16">
        <v>0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15">
        <f t="shared" si="49"/>
        <v>0</v>
      </c>
      <c r="AE278" s="15">
        <v>0</v>
      </c>
      <c r="AF278" s="15">
        <v>0</v>
      </c>
      <c r="AG278" s="15">
        <v>0</v>
      </c>
      <c r="AH278" s="15">
        <v>60</v>
      </c>
      <c r="AI278" s="15">
        <v>0</v>
      </c>
      <c r="AJ278" s="15">
        <v>30</v>
      </c>
      <c r="AK278" s="15">
        <v>10</v>
      </c>
      <c r="AL278" s="15">
        <v>30</v>
      </c>
      <c r="AM278" s="15">
        <f t="shared" si="48"/>
        <v>130</v>
      </c>
      <c r="AN278" s="29">
        <f t="shared" si="56"/>
        <v>712.5</v>
      </c>
      <c r="AO278" s="19">
        <v>580</v>
      </c>
      <c r="AP278" s="21">
        <v>0</v>
      </c>
      <c r="AQ278" s="22">
        <v>2</v>
      </c>
      <c r="AR278" s="26">
        <f t="shared" si="50"/>
        <v>578</v>
      </c>
      <c r="AS278" s="37">
        <f t="shared" si="57"/>
        <v>1</v>
      </c>
      <c r="AT278" s="38">
        <f t="shared" si="52"/>
        <v>0.81403508771929822</v>
      </c>
      <c r="AU278" s="38">
        <f t="shared" si="58"/>
        <v>0.99655172413793103</v>
      </c>
      <c r="AV278" s="27">
        <f t="shared" si="59"/>
        <v>0.81122807017543852</v>
      </c>
    </row>
    <row r="279" spans="1:48" s="1" customFormat="1" ht="23.1" customHeight="1" x14ac:dyDescent="0.25">
      <c r="A279" s="109">
        <v>46042</v>
      </c>
      <c r="B279" s="47" t="s">
        <v>49</v>
      </c>
      <c r="C279" s="78" t="s">
        <v>21</v>
      </c>
      <c r="D279" s="47" t="s">
        <v>128</v>
      </c>
      <c r="E279" s="48">
        <v>98992</v>
      </c>
      <c r="F279" s="48" t="s">
        <v>53</v>
      </c>
      <c r="G279" s="48" t="s">
        <v>125</v>
      </c>
      <c r="H279" s="30">
        <v>15710</v>
      </c>
      <c r="I279" s="30"/>
      <c r="J279" s="30">
        <v>32</v>
      </c>
      <c r="K279" s="28">
        <f t="shared" si="53"/>
        <v>112.5</v>
      </c>
      <c r="L279" s="31">
        <v>0.25</v>
      </c>
      <c r="M279" s="31">
        <v>0.60416666666666696</v>
      </c>
      <c r="N279" s="32">
        <f t="shared" si="51"/>
        <v>0.35416666666666696</v>
      </c>
      <c r="O279" s="36">
        <v>510</v>
      </c>
      <c r="P279" s="36">
        <f t="shared" si="54"/>
        <v>380</v>
      </c>
      <c r="Q279" s="36">
        <f t="shared" si="55"/>
        <v>380</v>
      </c>
      <c r="R279" s="15">
        <v>0</v>
      </c>
      <c r="S279" s="20">
        <v>0</v>
      </c>
      <c r="T279" s="16">
        <v>0</v>
      </c>
      <c r="U279" s="16">
        <v>0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15">
        <f t="shared" si="49"/>
        <v>0</v>
      </c>
      <c r="AE279" s="15">
        <v>0</v>
      </c>
      <c r="AF279" s="15">
        <v>0</v>
      </c>
      <c r="AG279" s="15">
        <v>0</v>
      </c>
      <c r="AH279" s="15">
        <v>60</v>
      </c>
      <c r="AI279" s="15">
        <v>0</v>
      </c>
      <c r="AJ279" s="15">
        <v>30</v>
      </c>
      <c r="AK279" s="15">
        <v>10</v>
      </c>
      <c r="AL279" s="15">
        <v>30</v>
      </c>
      <c r="AM279" s="15">
        <f t="shared" ref="AM279:AM342" si="60">SUM(AE279:AL279)</f>
        <v>130</v>
      </c>
      <c r="AN279" s="29">
        <f t="shared" si="56"/>
        <v>712.5</v>
      </c>
      <c r="AO279" s="19">
        <v>519</v>
      </c>
      <c r="AP279" s="21">
        <v>0</v>
      </c>
      <c r="AQ279" s="22">
        <v>1</v>
      </c>
      <c r="AR279" s="26">
        <f t="shared" si="50"/>
        <v>518</v>
      </c>
      <c r="AS279" s="37">
        <f t="shared" si="57"/>
        <v>1</v>
      </c>
      <c r="AT279" s="38">
        <f t="shared" si="52"/>
        <v>0.72842105263157897</v>
      </c>
      <c r="AU279" s="38">
        <f t="shared" si="58"/>
        <v>0.9980732177263969</v>
      </c>
      <c r="AV279" s="27">
        <f t="shared" si="59"/>
        <v>0.72701754385964912</v>
      </c>
    </row>
    <row r="280" spans="1:48" s="1" customFormat="1" ht="23.1" customHeight="1" x14ac:dyDescent="0.25">
      <c r="A280" s="109">
        <v>46042</v>
      </c>
      <c r="B280" s="47" t="s">
        <v>49</v>
      </c>
      <c r="C280" s="78" t="s">
        <v>21</v>
      </c>
      <c r="D280" s="47" t="s">
        <v>170</v>
      </c>
      <c r="E280" s="48">
        <v>98992</v>
      </c>
      <c r="F280" s="48" t="s">
        <v>176</v>
      </c>
      <c r="G280" s="48" t="s">
        <v>125</v>
      </c>
      <c r="H280" s="30">
        <v>15679</v>
      </c>
      <c r="I280" s="30"/>
      <c r="J280" s="30">
        <v>20</v>
      </c>
      <c r="K280" s="28">
        <f t="shared" si="53"/>
        <v>180</v>
      </c>
      <c r="L280" s="31">
        <v>0.25</v>
      </c>
      <c r="M280" s="31">
        <v>0.60416666666666696</v>
      </c>
      <c r="N280" s="32">
        <f t="shared" si="51"/>
        <v>0.35416666666666696</v>
      </c>
      <c r="O280" s="36">
        <v>510</v>
      </c>
      <c r="P280" s="36">
        <f t="shared" si="54"/>
        <v>220</v>
      </c>
      <c r="Q280" s="36">
        <f t="shared" si="55"/>
        <v>220</v>
      </c>
      <c r="R280" s="15">
        <v>0</v>
      </c>
      <c r="S280" s="20">
        <v>0</v>
      </c>
      <c r="T280" s="16">
        <v>0</v>
      </c>
      <c r="U280" s="16">
        <v>0</v>
      </c>
      <c r="V280" s="20">
        <v>0</v>
      </c>
      <c r="W280" s="20">
        <v>0</v>
      </c>
      <c r="X280" s="20">
        <v>0</v>
      </c>
      <c r="Y280" s="20">
        <v>0</v>
      </c>
      <c r="Z280" s="20">
        <v>0</v>
      </c>
      <c r="AA280" s="20">
        <v>0</v>
      </c>
      <c r="AB280" s="20">
        <v>0</v>
      </c>
      <c r="AC280" s="20">
        <v>0</v>
      </c>
      <c r="AD280" s="15">
        <f t="shared" ref="AD280:AD343" si="61">SUM(R280:AC280)</f>
        <v>0</v>
      </c>
      <c r="AE280" s="15">
        <v>0</v>
      </c>
      <c r="AF280" s="15">
        <v>0</v>
      </c>
      <c r="AG280" s="15">
        <v>0</v>
      </c>
      <c r="AH280" s="15">
        <v>220</v>
      </c>
      <c r="AI280" s="15">
        <v>0</v>
      </c>
      <c r="AJ280" s="15">
        <v>30</v>
      </c>
      <c r="AK280" s="15">
        <v>10</v>
      </c>
      <c r="AL280" s="15">
        <v>30</v>
      </c>
      <c r="AM280" s="15">
        <f t="shared" si="60"/>
        <v>290</v>
      </c>
      <c r="AN280" s="29">
        <f t="shared" si="56"/>
        <v>660</v>
      </c>
      <c r="AO280" s="19">
        <v>320</v>
      </c>
      <c r="AP280" s="21">
        <v>0</v>
      </c>
      <c r="AQ280" s="22">
        <v>0</v>
      </c>
      <c r="AR280" s="26">
        <f t="shared" si="50"/>
        <v>320</v>
      </c>
      <c r="AS280" s="37">
        <f t="shared" si="57"/>
        <v>1</v>
      </c>
      <c r="AT280" s="38">
        <f t="shared" si="52"/>
        <v>0.48484848484848486</v>
      </c>
      <c r="AU280" s="38">
        <f t="shared" si="58"/>
        <v>1</v>
      </c>
      <c r="AV280" s="27">
        <f t="shared" si="59"/>
        <v>0.48484848484848486</v>
      </c>
    </row>
    <row r="281" spans="1:48" s="1" customFormat="1" ht="23.1" customHeight="1" x14ac:dyDescent="0.25">
      <c r="A281" s="109">
        <v>46042</v>
      </c>
      <c r="B281" s="47" t="s">
        <v>49</v>
      </c>
      <c r="C281" s="78" t="s">
        <v>21</v>
      </c>
      <c r="D281" s="47" t="s">
        <v>86</v>
      </c>
      <c r="E281" s="48">
        <v>98992</v>
      </c>
      <c r="F281" s="48" t="s">
        <v>176</v>
      </c>
      <c r="G281" s="48" t="s">
        <v>87</v>
      </c>
      <c r="H281" s="30">
        <v>16146</v>
      </c>
      <c r="I281" s="30"/>
      <c r="J281" s="30">
        <v>20</v>
      </c>
      <c r="K281" s="28">
        <f t="shared" si="53"/>
        <v>180</v>
      </c>
      <c r="L281" s="31">
        <v>0.25</v>
      </c>
      <c r="M281" s="31">
        <v>0.60416666666666696</v>
      </c>
      <c r="N281" s="32">
        <f t="shared" si="51"/>
        <v>0.35416666666666696</v>
      </c>
      <c r="O281" s="36">
        <v>510</v>
      </c>
      <c r="P281" s="36">
        <f t="shared" si="54"/>
        <v>260</v>
      </c>
      <c r="Q281" s="36">
        <f t="shared" si="55"/>
        <v>260</v>
      </c>
      <c r="R281" s="15">
        <v>0</v>
      </c>
      <c r="S281" s="20">
        <v>0</v>
      </c>
      <c r="T281" s="16">
        <v>0</v>
      </c>
      <c r="U281" s="16">
        <v>0</v>
      </c>
      <c r="V281" s="20">
        <v>0</v>
      </c>
      <c r="W281" s="20">
        <v>0</v>
      </c>
      <c r="X281" s="20">
        <v>0</v>
      </c>
      <c r="Y281" s="20">
        <v>0</v>
      </c>
      <c r="Z281" s="20">
        <v>0</v>
      </c>
      <c r="AA281" s="20">
        <v>0</v>
      </c>
      <c r="AB281" s="20">
        <v>0</v>
      </c>
      <c r="AC281" s="20">
        <v>0</v>
      </c>
      <c r="AD281" s="15">
        <f t="shared" si="61"/>
        <v>0</v>
      </c>
      <c r="AE281" s="15">
        <v>0</v>
      </c>
      <c r="AF281" s="15">
        <v>0</v>
      </c>
      <c r="AG281" s="15">
        <v>0</v>
      </c>
      <c r="AH281" s="15">
        <v>180</v>
      </c>
      <c r="AI281" s="15">
        <v>0</v>
      </c>
      <c r="AJ281" s="15">
        <v>30</v>
      </c>
      <c r="AK281" s="15">
        <v>10</v>
      </c>
      <c r="AL281" s="15">
        <v>30</v>
      </c>
      <c r="AM281" s="15">
        <f t="shared" si="60"/>
        <v>250</v>
      </c>
      <c r="AN281" s="29">
        <f t="shared" si="56"/>
        <v>780</v>
      </c>
      <c r="AO281" s="19">
        <v>516</v>
      </c>
      <c r="AP281" s="21">
        <v>0</v>
      </c>
      <c r="AQ281" s="22">
        <v>2</v>
      </c>
      <c r="AR281" s="26">
        <f t="shared" si="50"/>
        <v>514</v>
      </c>
      <c r="AS281" s="37">
        <f t="shared" si="57"/>
        <v>1</v>
      </c>
      <c r="AT281" s="38">
        <f t="shared" si="52"/>
        <v>0.66153846153846152</v>
      </c>
      <c r="AU281" s="38">
        <f t="shared" si="58"/>
        <v>0.99612403100775193</v>
      </c>
      <c r="AV281" s="27">
        <f t="shared" si="59"/>
        <v>0.65897435897435896</v>
      </c>
    </row>
    <row r="282" spans="1:48" s="1" customFormat="1" ht="23.1" customHeight="1" x14ac:dyDescent="0.25">
      <c r="A282" s="109">
        <v>46042</v>
      </c>
      <c r="B282" s="47" t="s">
        <v>49</v>
      </c>
      <c r="C282" s="78" t="s">
        <v>21</v>
      </c>
      <c r="D282" s="47" t="s">
        <v>172</v>
      </c>
      <c r="E282" s="48">
        <v>98992</v>
      </c>
      <c r="F282" s="48" t="s">
        <v>175</v>
      </c>
      <c r="G282" s="48" t="s">
        <v>87</v>
      </c>
      <c r="H282" s="30">
        <v>15857</v>
      </c>
      <c r="I282" s="30"/>
      <c r="J282" s="30">
        <v>20</v>
      </c>
      <c r="K282" s="28">
        <f t="shared" si="53"/>
        <v>180</v>
      </c>
      <c r="L282" s="31">
        <v>0.25</v>
      </c>
      <c r="M282" s="31">
        <v>0.60416666666666696</v>
      </c>
      <c r="N282" s="32">
        <f t="shared" si="51"/>
        <v>0.35416666666666696</v>
      </c>
      <c r="O282" s="36">
        <v>510</v>
      </c>
      <c r="P282" s="36">
        <f t="shared" si="54"/>
        <v>260</v>
      </c>
      <c r="Q282" s="36">
        <f t="shared" si="55"/>
        <v>260</v>
      </c>
      <c r="R282" s="15">
        <v>0</v>
      </c>
      <c r="S282" s="20">
        <v>0</v>
      </c>
      <c r="T282" s="16">
        <v>0</v>
      </c>
      <c r="U282" s="16">
        <v>0</v>
      </c>
      <c r="V282" s="20">
        <v>0</v>
      </c>
      <c r="W282" s="20">
        <v>0</v>
      </c>
      <c r="X282" s="20">
        <v>0</v>
      </c>
      <c r="Y282" s="20">
        <v>0</v>
      </c>
      <c r="Z282" s="20">
        <v>0</v>
      </c>
      <c r="AA282" s="20">
        <v>0</v>
      </c>
      <c r="AB282" s="20">
        <v>0</v>
      </c>
      <c r="AC282" s="20">
        <v>0</v>
      </c>
      <c r="AD282" s="15">
        <f t="shared" si="61"/>
        <v>0</v>
      </c>
      <c r="AE282" s="15">
        <v>0</v>
      </c>
      <c r="AF282" s="15">
        <v>0</v>
      </c>
      <c r="AG282" s="15">
        <v>0</v>
      </c>
      <c r="AH282" s="15">
        <v>180</v>
      </c>
      <c r="AI282" s="15">
        <v>0</v>
      </c>
      <c r="AJ282" s="15">
        <v>30</v>
      </c>
      <c r="AK282" s="15">
        <v>10</v>
      </c>
      <c r="AL282" s="15">
        <v>30</v>
      </c>
      <c r="AM282" s="15">
        <f t="shared" si="60"/>
        <v>250</v>
      </c>
      <c r="AN282" s="29">
        <f t="shared" si="56"/>
        <v>780</v>
      </c>
      <c r="AO282" s="19">
        <v>516</v>
      </c>
      <c r="AP282" s="21">
        <v>0</v>
      </c>
      <c r="AQ282" s="22">
        <v>0</v>
      </c>
      <c r="AR282" s="26">
        <f t="shared" si="50"/>
        <v>516</v>
      </c>
      <c r="AS282" s="37">
        <f t="shared" si="57"/>
        <v>1</v>
      </c>
      <c r="AT282" s="38">
        <f t="shared" si="52"/>
        <v>0.66153846153846152</v>
      </c>
      <c r="AU282" s="38">
        <f t="shared" si="58"/>
        <v>1</v>
      </c>
      <c r="AV282" s="27">
        <f t="shared" si="59"/>
        <v>0.66153846153846152</v>
      </c>
    </row>
    <row r="283" spans="1:48" s="1" customFormat="1" ht="23.1" customHeight="1" x14ac:dyDescent="0.25">
      <c r="A283" s="109">
        <v>46042</v>
      </c>
      <c r="B283" s="47" t="s">
        <v>49</v>
      </c>
      <c r="C283" s="78" t="s">
        <v>51</v>
      </c>
      <c r="D283" s="47" t="s">
        <v>94</v>
      </c>
      <c r="E283" s="48">
        <v>98992</v>
      </c>
      <c r="F283" s="48" t="s">
        <v>67</v>
      </c>
      <c r="G283" s="48" t="s">
        <v>174</v>
      </c>
      <c r="H283" s="30">
        <v>13562</v>
      </c>
      <c r="I283" s="30"/>
      <c r="J283" s="30">
        <v>24</v>
      </c>
      <c r="K283" s="28">
        <f t="shared" si="53"/>
        <v>150</v>
      </c>
      <c r="L283" s="31">
        <v>0.58333333333333337</v>
      </c>
      <c r="M283" s="31">
        <v>0.9375</v>
      </c>
      <c r="N283" s="32">
        <f t="shared" si="51"/>
        <v>0.35416666666666663</v>
      </c>
      <c r="O283" s="36">
        <v>510</v>
      </c>
      <c r="P283" s="36">
        <f t="shared" si="54"/>
        <v>220</v>
      </c>
      <c r="Q283" s="36">
        <f t="shared" si="55"/>
        <v>220</v>
      </c>
      <c r="R283" s="15">
        <v>0</v>
      </c>
      <c r="S283" s="20">
        <v>0</v>
      </c>
      <c r="T283" s="16">
        <v>0</v>
      </c>
      <c r="U283" s="16">
        <v>0</v>
      </c>
      <c r="V283" s="20">
        <v>0</v>
      </c>
      <c r="W283" s="20">
        <v>0</v>
      </c>
      <c r="X283" s="20">
        <v>0</v>
      </c>
      <c r="Y283" s="20">
        <v>0</v>
      </c>
      <c r="Z283" s="20">
        <v>0</v>
      </c>
      <c r="AA283" s="20">
        <v>0</v>
      </c>
      <c r="AB283" s="20">
        <v>0</v>
      </c>
      <c r="AC283" s="20">
        <v>0</v>
      </c>
      <c r="AD283" s="15">
        <f t="shared" si="61"/>
        <v>0</v>
      </c>
      <c r="AE283" s="15">
        <v>0</v>
      </c>
      <c r="AF283" s="15">
        <v>0</v>
      </c>
      <c r="AG283" s="15">
        <v>0</v>
      </c>
      <c r="AH283" s="15">
        <v>220</v>
      </c>
      <c r="AI283" s="15">
        <v>0</v>
      </c>
      <c r="AJ283" s="15">
        <v>30</v>
      </c>
      <c r="AK283" s="15">
        <v>10</v>
      </c>
      <c r="AL283" s="15">
        <v>30</v>
      </c>
      <c r="AM283" s="15">
        <f t="shared" si="60"/>
        <v>290</v>
      </c>
      <c r="AN283" s="29">
        <f t="shared" si="56"/>
        <v>550</v>
      </c>
      <c r="AO283" s="19">
        <v>260</v>
      </c>
      <c r="AP283" s="21">
        <v>0</v>
      </c>
      <c r="AQ283" s="22">
        <v>0</v>
      </c>
      <c r="AR283" s="26">
        <f t="shared" si="50"/>
        <v>260</v>
      </c>
      <c r="AS283" s="37">
        <f t="shared" si="57"/>
        <v>1</v>
      </c>
      <c r="AT283" s="38">
        <f t="shared" si="52"/>
        <v>0.47272727272727272</v>
      </c>
      <c r="AU283" s="38">
        <f t="shared" si="58"/>
        <v>1</v>
      </c>
      <c r="AV283" s="27">
        <f t="shared" si="59"/>
        <v>0.47272727272727272</v>
      </c>
    </row>
    <row r="284" spans="1:48" s="1" customFormat="1" ht="23.1" customHeight="1" x14ac:dyDescent="0.25">
      <c r="A284" s="109">
        <v>46042</v>
      </c>
      <c r="B284" s="47" t="s">
        <v>49</v>
      </c>
      <c r="C284" s="78" t="s">
        <v>51</v>
      </c>
      <c r="D284" s="47" t="s">
        <v>88</v>
      </c>
      <c r="E284" s="48">
        <v>98992</v>
      </c>
      <c r="F284" s="48" t="s">
        <v>126</v>
      </c>
      <c r="G284" s="48" t="s">
        <v>87</v>
      </c>
      <c r="H284" s="30">
        <v>15036</v>
      </c>
      <c r="I284" s="30"/>
      <c r="J284" s="30">
        <v>32</v>
      </c>
      <c r="K284" s="28">
        <f t="shared" si="53"/>
        <v>112.5</v>
      </c>
      <c r="L284" s="31">
        <v>0.58333333333333337</v>
      </c>
      <c r="M284" s="31">
        <v>0.9375</v>
      </c>
      <c r="N284" s="32">
        <f t="shared" si="51"/>
        <v>0.35416666666666663</v>
      </c>
      <c r="O284" s="36">
        <v>510</v>
      </c>
      <c r="P284" s="36">
        <f t="shared" si="54"/>
        <v>380</v>
      </c>
      <c r="Q284" s="36">
        <f t="shared" si="55"/>
        <v>380</v>
      </c>
      <c r="R284" s="15">
        <v>0</v>
      </c>
      <c r="S284" s="20">
        <v>0</v>
      </c>
      <c r="T284" s="16">
        <v>0</v>
      </c>
      <c r="U284" s="16">
        <v>0</v>
      </c>
      <c r="V284" s="20">
        <v>0</v>
      </c>
      <c r="W284" s="20">
        <v>0</v>
      </c>
      <c r="X284" s="20">
        <v>0</v>
      </c>
      <c r="Y284" s="20">
        <v>0</v>
      </c>
      <c r="Z284" s="20">
        <v>0</v>
      </c>
      <c r="AA284" s="20">
        <v>0</v>
      </c>
      <c r="AB284" s="20">
        <v>0</v>
      </c>
      <c r="AC284" s="20">
        <v>0</v>
      </c>
      <c r="AD284" s="15">
        <f t="shared" si="61"/>
        <v>0</v>
      </c>
      <c r="AE284" s="15">
        <v>0</v>
      </c>
      <c r="AF284" s="15">
        <v>0</v>
      </c>
      <c r="AG284" s="15">
        <v>0</v>
      </c>
      <c r="AH284" s="15">
        <v>60</v>
      </c>
      <c r="AI284" s="15">
        <v>0</v>
      </c>
      <c r="AJ284" s="15">
        <v>30</v>
      </c>
      <c r="AK284" s="15">
        <v>10</v>
      </c>
      <c r="AL284" s="15">
        <v>30</v>
      </c>
      <c r="AM284" s="15">
        <f t="shared" si="60"/>
        <v>130</v>
      </c>
      <c r="AN284" s="29">
        <f t="shared" si="56"/>
        <v>712.5</v>
      </c>
      <c r="AO284" s="19">
        <v>625</v>
      </c>
      <c r="AP284" s="21">
        <v>0</v>
      </c>
      <c r="AQ284" s="22">
        <v>2</v>
      </c>
      <c r="AR284" s="26">
        <f t="shared" si="50"/>
        <v>623</v>
      </c>
      <c r="AS284" s="37">
        <f t="shared" si="57"/>
        <v>1</v>
      </c>
      <c r="AT284" s="38">
        <f t="shared" si="52"/>
        <v>0.8771929824561403</v>
      </c>
      <c r="AU284" s="38">
        <f t="shared" si="58"/>
        <v>0.99680000000000002</v>
      </c>
      <c r="AV284" s="27">
        <f t="shared" si="59"/>
        <v>0.87438596491228071</v>
      </c>
    </row>
    <row r="285" spans="1:48" s="1" customFormat="1" ht="23.1" customHeight="1" x14ac:dyDescent="0.25">
      <c r="A285" s="109">
        <v>46042</v>
      </c>
      <c r="B285" s="47" t="s">
        <v>49</v>
      </c>
      <c r="C285" s="78" t="s">
        <v>51</v>
      </c>
      <c r="D285" s="47" t="s">
        <v>89</v>
      </c>
      <c r="E285" s="48">
        <v>98992</v>
      </c>
      <c r="F285" s="48" t="s">
        <v>169</v>
      </c>
      <c r="G285" s="48" t="s">
        <v>87</v>
      </c>
      <c r="H285" s="30">
        <v>11682</v>
      </c>
      <c r="I285" s="30"/>
      <c r="J285" s="30">
        <v>32</v>
      </c>
      <c r="K285" s="28">
        <f t="shared" si="53"/>
        <v>112.5</v>
      </c>
      <c r="L285" s="31">
        <v>0.58333333333333337</v>
      </c>
      <c r="M285" s="31">
        <v>0.9375</v>
      </c>
      <c r="N285" s="32">
        <f t="shared" si="51"/>
        <v>0.35416666666666663</v>
      </c>
      <c r="O285" s="36">
        <v>510</v>
      </c>
      <c r="P285" s="36">
        <f t="shared" si="54"/>
        <v>320</v>
      </c>
      <c r="Q285" s="36">
        <f t="shared" si="55"/>
        <v>320</v>
      </c>
      <c r="R285" s="15">
        <v>0</v>
      </c>
      <c r="S285" s="20">
        <v>0</v>
      </c>
      <c r="T285" s="16">
        <v>0</v>
      </c>
      <c r="U285" s="16">
        <v>0</v>
      </c>
      <c r="V285" s="20">
        <v>0</v>
      </c>
      <c r="W285" s="20">
        <v>0</v>
      </c>
      <c r="X285" s="20">
        <v>0</v>
      </c>
      <c r="Y285" s="20">
        <v>0</v>
      </c>
      <c r="Z285" s="20">
        <v>0</v>
      </c>
      <c r="AA285" s="20">
        <v>0</v>
      </c>
      <c r="AB285" s="20">
        <v>0</v>
      </c>
      <c r="AC285" s="20">
        <v>0</v>
      </c>
      <c r="AD285" s="15">
        <f t="shared" si="61"/>
        <v>0</v>
      </c>
      <c r="AE285" s="15">
        <v>0</v>
      </c>
      <c r="AF285" s="15">
        <v>0</v>
      </c>
      <c r="AG285" s="15">
        <v>0</v>
      </c>
      <c r="AH285" s="15">
        <v>120</v>
      </c>
      <c r="AI285" s="15">
        <v>0</v>
      </c>
      <c r="AJ285" s="15">
        <v>30</v>
      </c>
      <c r="AK285" s="15">
        <v>10</v>
      </c>
      <c r="AL285" s="15">
        <v>30</v>
      </c>
      <c r="AM285" s="15">
        <f t="shared" si="60"/>
        <v>190</v>
      </c>
      <c r="AN285" s="29">
        <f t="shared" si="56"/>
        <v>600</v>
      </c>
      <c r="AO285" s="19">
        <v>438</v>
      </c>
      <c r="AP285" s="21">
        <v>0</v>
      </c>
      <c r="AQ285" s="22">
        <v>2</v>
      </c>
      <c r="AR285" s="26">
        <f t="shared" si="50"/>
        <v>436</v>
      </c>
      <c r="AS285" s="37">
        <f t="shared" si="57"/>
        <v>1</v>
      </c>
      <c r="AT285" s="38">
        <f t="shared" si="52"/>
        <v>0.73</v>
      </c>
      <c r="AU285" s="38">
        <f t="shared" si="58"/>
        <v>0.99543378995433784</v>
      </c>
      <c r="AV285" s="27">
        <f t="shared" si="59"/>
        <v>0.72666666666666657</v>
      </c>
    </row>
    <row r="286" spans="1:48" s="1" customFormat="1" ht="23.1" customHeight="1" x14ac:dyDescent="0.25">
      <c r="A286" s="109">
        <v>46042</v>
      </c>
      <c r="B286" s="47" t="s">
        <v>49</v>
      </c>
      <c r="C286" s="78" t="s">
        <v>51</v>
      </c>
      <c r="D286" s="47" t="s">
        <v>52</v>
      </c>
      <c r="E286" s="48">
        <v>98992</v>
      </c>
      <c r="F286" s="48" t="s">
        <v>53</v>
      </c>
      <c r="G286" s="48" t="s">
        <v>87</v>
      </c>
      <c r="H286" s="30">
        <v>15632</v>
      </c>
      <c r="I286" s="30"/>
      <c r="J286" s="30">
        <v>32</v>
      </c>
      <c r="K286" s="28">
        <f t="shared" si="53"/>
        <v>112.5</v>
      </c>
      <c r="L286" s="31">
        <v>0.58333333333333337</v>
      </c>
      <c r="M286" s="31">
        <v>0.9375</v>
      </c>
      <c r="N286" s="32">
        <f t="shared" si="51"/>
        <v>0.35416666666666663</v>
      </c>
      <c r="O286" s="36">
        <v>510</v>
      </c>
      <c r="P286" s="36">
        <f t="shared" si="54"/>
        <v>380</v>
      </c>
      <c r="Q286" s="36">
        <f t="shared" si="55"/>
        <v>380</v>
      </c>
      <c r="R286" s="15">
        <v>0</v>
      </c>
      <c r="S286" s="20">
        <v>0</v>
      </c>
      <c r="T286" s="16">
        <v>0</v>
      </c>
      <c r="U286" s="16">
        <v>0</v>
      </c>
      <c r="V286" s="20">
        <v>0</v>
      </c>
      <c r="W286" s="20">
        <v>0</v>
      </c>
      <c r="X286" s="20">
        <v>0</v>
      </c>
      <c r="Y286" s="20">
        <v>0</v>
      </c>
      <c r="Z286" s="20">
        <v>0</v>
      </c>
      <c r="AA286" s="20">
        <v>0</v>
      </c>
      <c r="AB286" s="20">
        <v>0</v>
      </c>
      <c r="AC286" s="20">
        <v>0</v>
      </c>
      <c r="AD286" s="15">
        <f t="shared" si="61"/>
        <v>0</v>
      </c>
      <c r="AE286" s="15">
        <v>0</v>
      </c>
      <c r="AF286" s="15">
        <v>0</v>
      </c>
      <c r="AG286" s="15">
        <v>0</v>
      </c>
      <c r="AH286" s="15">
        <v>60</v>
      </c>
      <c r="AI286" s="15">
        <v>0</v>
      </c>
      <c r="AJ286" s="15">
        <v>30</v>
      </c>
      <c r="AK286" s="15">
        <v>10</v>
      </c>
      <c r="AL286" s="15">
        <v>30</v>
      </c>
      <c r="AM286" s="15">
        <f t="shared" si="60"/>
        <v>130</v>
      </c>
      <c r="AN286" s="29">
        <f t="shared" si="56"/>
        <v>712.5</v>
      </c>
      <c r="AO286" s="19">
        <v>570</v>
      </c>
      <c r="AP286" s="21">
        <v>0</v>
      </c>
      <c r="AQ286" s="22">
        <v>1</v>
      </c>
      <c r="AR286" s="26">
        <f t="shared" si="50"/>
        <v>569</v>
      </c>
      <c r="AS286" s="37">
        <f t="shared" si="57"/>
        <v>1</v>
      </c>
      <c r="AT286" s="38">
        <f t="shared" si="52"/>
        <v>0.8</v>
      </c>
      <c r="AU286" s="38">
        <f t="shared" si="58"/>
        <v>0.99824561403508771</v>
      </c>
      <c r="AV286" s="27">
        <f t="shared" si="59"/>
        <v>0.79859649122807019</v>
      </c>
    </row>
    <row r="287" spans="1:48" s="1" customFormat="1" ht="23.1" customHeight="1" x14ac:dyDescent="0.25">
      <c r="A287" s="109">
        <v>46042</v>
      </c>
      <c r="B287" s="47" t="s">
        <v>49</v>
      </c>
      <c r="C287" s="78" t="s">
        <v>51</v>
      </c>
      <c r="D287" s="47" t="s">
        <v>86</v>
      </c>
      <c r="E287" s="48">
        <v>98992</v>
      </c>
      <c r="F287" s="48" t="s">
        <v>176</v>
      </c>
      <c r="G287" s="48" t="s">
        <v>87</v>
      </c>
      <c r="H287" s="30">
        <v>15688</v>
      </c>
      <c r="I287" s="30"/>
      <c r="J287" s="30">
        <v>20</v>
      </c>
      <c r="K287" s="28">
        <f t="shared" si="53"/>
        <v>180</v>
      </c>
      <c r="L287" s="31">
        <v>0.58333333333333337</v>
      </c>
      <c r="M287" s="31">
        <v>0.9375</v>
      </c>
      <c r="N287" s="32">
        <f t="shared" si="51"/>
        <v>0.35416666666666663</v>
      </c>
      <c r="O287" s="36">
        <v>510</v>
      </c>
      <c r="P287" s="36">
        <f t="shared" si="54"/>
        <v>320</v>
      </c>
      <c r="Q287" s="36">
        <f t="shared" si="55"/>
        <v>320</v>
      </c>
      <c r="R287" s="15">
        <v>0</v>
      </c>
      <c r="S287" s="20">
        <v>0</v>
      </c>
      <c r="T287" s="16">
        <v>0</v>
      </c>
      <c r="U287" s="16">
        <v>0</v>
      </c>
      <c r="V287" s="20">
        <v>0</v>
      </c>
      <c r="W287" s="20">
        <v>0</v>
      </c>
      <c r="X287" s="20">
        <v>0</v>
      </c>
      <c r="Y287" s="20">
        <v>0</v>
      </c>
      <c r="Z287" s="20">
        <v>0</v>
      </c>
      <c r="AA287" s="20">
        <v>0</v>
      </c>
      <c r="AB287" s="20">
        <v>0</v>
      </c>
      <c r="AC287" s="20">
        <v>0</v>
      </c>
      <c r="AD287" s="15">
        <f t="shared" si="61"/>
        <v>0</v>
      </c>
      <c r="AE287" s="15">
        <v>0</v>
      </c>
      <c r="AF287" s="15">
        <v>0</v>
      </c>
      <c r="AG287" s="15">
        <v>0</v>
      </c>
      <c r="AH287" s="15">
        <v>120</v>
      </c>
      <c r="AI287" s="15">
        <v>0</v>
      </c>
      <c r="AJ287" s="15">
        <v>30</v>
      </c>
      <c r="AK287" s="15">
        <v>10</v>
      </c>
      <c r="AL287" s="15">
        <v>30</v>
      </c>
      <c r="AM287" s="15">
        <f t="shared" si="60"/>
        <v>190</v>
      </c>
      <c r="AN287" s="29">
        <f t="shared" si="56"/>
        <v>960</v>
      </c>
      <c r="AO287" s="19">
        <v>600</v>
      </c>
      <c r="AP287" s="21">
        <v>0</v>
      </c>
      <c r="AQ287" s="22">
        <v>1</v>
      </c>
      <c r="AR287" s="26">
        <f t="shared" si="50"/>
        <v>599</v>
      </c>
      <c r="AS287" s="37">
        <f t="shared" si="57"/>
        <v>1</v>
      </c>
      <c r="AT287" s="38">
        <f t="shared" si="52"/>
        <v>0.625</v>
      </c>
      <c r="AU287" s="38">
        <f t="shared" si="58"/>
        <v>0.99833333333333329</v>
      </c>
      <c r="AV287" s="27">
        <f t="shared" si="59"/>
        <v>0.62395833333333328</v>
      </c>
    </row>
    <row r="288" spans="1:48" s="1" customFormat="1" ht="21" customHeight="1" x14ac:dyDescent="0.25">
      <c r="A288" s="109">
        <v>46042</v>
      </c>
      <c r="B288" s="47" t="s">
        <v>49</v>
      </c>
      <c r="C288" s="78" t="s">
        <v>51</v>
      </c>
      <c r="D288" s="47" t="s">
        <v>172</v>
      </c>
      <c r="E288" s="48">
        <v>98992</v>
      </c>
      <c r="F288" s="48" t="s">
        <v>175</v>
      </c>
      <c r="G288" s="48" t="s">
        <v>87</v>
      </c>
      <c r="H288" s="30">
        <v>15857</v>
      </c>
      <c r="I288" s="30"/>
      <c r="J288" s="30">
        <v>20</v>
      </c>
      <c r="K288" s="28">
        <f t="shared" si="53"/>
        <v>180</v>
      </c>
      <c r="L288" s="31">
        <v>0.58333333333333337</v>
      </c>
      <c r="M288" s="31">
        <v>0.9375</v>
      </c>
      <c r="N288" s="32">
        <f t="shared" ref="N288:N351" si="62">IF(M288&gt;L288,M288-L288,1+M288-L288)</f>
        <v>0.35416666666666663</v>
      </c>
      <c r="O288" s="36">
        <v>510</v>
      </c>
      <c r="P288" s="36">
        <f t="shared" si="54"/>
        <v>320</v>
      </c>
      <c r="Q288" s="36">
        <f t="shared" si="55"/>
        <v>320</v>
      </c>
      <c r="R288" s="15">
        <v>0</v>
      </c>
      <c r="S288" s="20">
        <v>0</v>
      </c>
      <c r="T288" s="16">
        <v>0</v>
      </c>
      <c r="U288" s="16">
        <v>0</v>
      </c>
      <c r="V288" s="20">
        <v>0</v>
      </c>
      <c r="W288" s="20">
        <v>0</v>
      </c>
      <c r="X288" s="20">
        <v>0</v>
      </c>
      <c r="Y288" s="20">
        <v>0</v>
      </c>
      <c r="Z288" s="20">
        <v>0</v>
      </c>
      <c r="AA288" s="20">
        <v>0</v>
      </c>
      <c r="AB288" s="20">
        <v>0</v>
      </c>
      <c r="AC288" s="20">
        <v>0</v>
      </c>
      <c r="AD288" s="15">
        <f t="shared" si="61"/>
        <v>0</v>
      </c>
      <c r="AE288" s="15">
        <v>0</v>
      </c>
      <c r="AF288" s="15">
        <v>0</v>
      </c>
      <c r="AG288" s="15">
        <v>0</v>
      </c>
      <c r="AH288" s="15">
        <v>120</v>
      </c>
      <c r="AI288" s="15">
        <v>0</v>
      </c>
      <c r="AJ288" s="15">
        <v>30</v>
      </c>
      <c r="AK288" s="15">
        <v>10</v>
      </c>
      <c r="AL288" s="15">
        <v>30</v>
      </c>
      <c r="AM288" s="15">
        <f t="shared" si="60"/>
        <v>190</v>
      </c>
      <c r="AN288" s="29">
        <f t="shared" si="56"/>
        <v>960</v>
      </c>
      <c r="AO288" s="19">
        <v>900</v>
      </c>
      <c r="AP288" s="21">
        <v>0</v>
      </c>
      <c r="AQ288" s="22">
        <v>0</v>
      </c>
      <c r="AR288" s="26">
        <f t="shared" si="50"/>
        <v>900</v>
      </c>
      <c r="AS288" s="37">
        <f t="shared" si="57"/>
        <v>1</v>
      </c>
      <c r="AT288" s="38">
        <f t="shared" si="52"/>
        <v>0.9375</v>
      </c>
      <c r="AU288" s="38">
        <f t="shared" si="58"/>
        <v>1</v>
      </c>
      <c r="AV288" s="27">
        <f t="shared" si="59"/>
        <v>0.9375</v>
      </c>
    </row>
    <row r="289" spans="1:48" s="1" customFormat="1" ht="21" customHeight="1" x14ac:dyDescent="0.25">
      <c r="A289" s="109">
        <v>46042</v>
      </c>
      <c r="B289" s="47" t="s">
        <v>49</v>
      </c>
      <c r="C289" s="78" t="s">
        <v>51</v>
      </c>
      <c r="D289" s="47" t="s">
        <v>124</v>
      </c>
      <c r="E289" s="48">
        <v>98992</v>
      </c>
      <c r="F289" s="48" t="s">
        <v>215</v>
      </c>
      <c r="G289" s="48" t="s">
        <v>125</v>
      </c>
      <c r="H289" s="30">
        <v>14972</v>
      </c>
      <c r="I289" s="30"/>
      <c r="J289" s="30">
        <v>32</v>
      </c>
      <c r="K289" s="28">
        <f t="shared" si="53"/>
        <v>112.5</v>
      </c>
      <c r="L289" s="31">
        <v>0.58333333333333337</v>
      </c>
      <c r="M289" s="31">
        <v>0.9375</v>
      </c>
      <c r="N289" s="32">
        <f t="shared" si="62"/>
        <v>0.35416666666666663</v>
      </c>
      <c r="O289" s="36">
        <v>510</v>
      </c>
      <c r="P289" s="36">
        <f t="shared" si="54"/>
        <v>200</v>
      </c>
      <c r="Q289" s="36">
        <f t="shared" si="55"/>
        <v>220</v>
      </c>
      <c r="R289" s="15">
        <v>0</v>
      </c>
      <c r="S289" s="20">
        <v>0</v>
      </c>
      <c r="T289" s="16">
        <v>0</v>
      </c>
      <c r="U289" s="16">
        <v>0</v>
      </c>
      <c r="V289" s="20">
        <v>0</v>
      </c>
      <c r="W289" s="20">
        <v>0</v>
      </c>
      <c r="X289" s="20">
        <v>0</v>
      </c>
      <c r="Y289" s="20">
        <v>0</v>
      </c>
      <c r="Z289" s="20">
        <v>0</v>
      </c>
      <c r="AA289" s="20">
        <v>0</v>
      </c>
      <c r="AB289" s="20">
        <v>20</v>
      </c>
      <c r="AC289" s="20">
        <v>0</v>
      </c>
      <c r="AD289" s="15">
        <f t="shared" si="61"/>
        <v>20</v>
      </c>
      <c r="AE289" s="15">
        <v>0</v>
      </c>
      <c r="AF289" s="15">
        <v>0</v>
      </c>
      <c r="AG289" s="15">
        <v>0</v>
      </c>
      <c r="AH289" s="15">
        <v>220</v>
      </c>
      <c r="AI289" s="15">
        <v>0</v>
      </c>
      <c r="AJ289" s="15">
        <v>30</v>
      </c>
      <c r="AK289" s="15">
        <v>10</v>
      </c>
      <c r="AL289" s="15">
        <v>30</v>
      </c>
      <c r="AM289" s="15">
        <f t="shared" si="60"/>
        <v>290</v>
      </c>
      <c r="AN289" s="29">
        <f t="shared" si="56"/>
        <v>412.5</v>
      </c>
      <c r="AO289" s="19">
        <v>101</v>
      </c>
      <c r="AP289" s="21">
        <v>0</v>
      </c>
      <c r="AQ289" s="22">
        <v>0</v>
      </c>
      <c r="AR289" s="26">
        <f t="shared" si="50"/>
        <v>101</v>
      </c>
      <c r="AS289" s="37">
        <f t="shared" si="57"/>
        <v>0.90909090909090906</v>
      </c>
      <c r="AT289" s="38">
        <f t="shared" si="52"/>
        <v>0.24484848484848484</v>
      </c>
      <c r="AU289" s="38">
        <f t="shared" si="58"/>
        <v>1</v>
      </c>
      <c r="AV289" s="27">
        <f t="shared" si="59"/>
        <v>0.22258953168044077</v>
      </c>
    </row>
    <row r="290" spans="1:48" s="1" customFormat="1" ht="21" customHeight="1" x14ac:dyDescent="0.25">
      <c r="A290" s="109">
        <v>46042</v>
      </c>
      <c r="B290" s="47" t="s">
        <v>49</v>
      </c>
      <c r="C290" s="78" t="s">
        <v>51</v>
      </c>
      <c r="D290" s="47" t="s">
        <v>122</v>
      </c>
      <c r="E290" s="48">
        <v>98992</v>
      </c>
      <c r="F290" s="48" t="s">
        <v>169</v>
      </c>
      <c r="G290" s="48" t="s">
        <v>125</v>
      </c>
      <c r="H290" s="30">
        <v>15676</v>
      </c>
      <c r="I290" s="30"/>
      <c r="J290" s="30">
        <v>32</v>
      </c>
      <c r="K290" s="28">
        <f t="shared" si="53"/>
        <v>112.5</v>
      </c>
      <c r="L290" s="31">
        <v>0.58333333333333337</v>
      </c>
      <c r="M290" s="31">
        <v>0.9375</v>
      </c>
      <c r="N290" s="32">
        <f t="shared" si="62"/>
        <v>0.35416666666666663</v>
      </c>
      <c r="O290" s="36">
        <v>510</v>
      </c>
      <c r="P290" s="36">
        <f t="shared" si="54"/>
        <v>370</v>
      </c>
      <c r="Q290" s="36">
        <f t="shared" si="55"/>
        <v>380</v>
      </c>
      <c r="R290" s="15">
        <v>0</v>
      </c>
      <c r="S290" s="20">
        <v>0</v>
      </c>
      <c r="T290" s="16">
        <v>0</v>
      </c>
      <c r="U290" s="16">
        <v>0</v>
      </c>
      <c r="V290" s="20">
        <v>0</v>
      </c>
      <c r="W290" s="20">
        <v>0</v>
      </c>
      <c r="X290" s="20">
        <v>0</v>
      </c>
      <c r="Y290" s="20">
        <v>0</v>
      </c>
      <c r="Z290" s="20">
        <v>0</v>
      </c>
      <c r="AA290" s="20">
        <v>0</v>
      </c>
      <c r="AB290" s="20">
        <v>10</v>
      </c>
      <c r="AC290" s="20">
        <v>0</v>
      </c>
      <c r="AD290" s="15">
        <f t="shared" si="61"/>
        <v>10</v>
      </c>
      <c r="AE290" s="15">
        <v>0</v>
      </c>
      <c r="AF290" s="15">
        <v>0</v>
      </c>
      <c r="AG290" s="15">
        <v>0</v>
      </c>
      <c r="AH290" s="15">
        <v>60</v>
      </c>
      <c r="AI290" s="15">
        <v>0</v>
      </c>
      <c r="AJ290" s="15">
        <v>30</v>
      </c>
      <c r="AK290" s="15">
        <v>10</v>
      </c>
      <c r="AL290" s="15">
        <v>30</v>
      </c>
      <c r="AM290" s="15">
        <f t="shared" si="60"/>
        <v>130</v>
      </c>
      <c r="AN290" s="29">
        <f t="shared" si="56"/>
        <v>712.5</v>
      </c>
      <c r="AO290" s="19">
        <v>589</v>
      </c>
      <c r="AP290" s="21">
        <v>0</v>
      </c>
      <c r="AQ290" s="22">
        <v>1</v>
      </c>
      <c r="AR290" s="26">
        <f t="shared" si="50"/>
        <v>588</v>
      </c>
      <c r="AS290" s="37">
        <f t="shared" si="57"/>
        <v>0.97368421052631582</v>
      </c>
      <c r="AT290" s="38">
        <f t="shared" si="52"/>
        <v>0.82666666666666666</v>
      </c>
      <c r="AU290" s="38">
        <f t="shared" si="58"/>
        <v>0.99830220713073003</v>
      </c>
      <c r="AV290" s="27">
        <f t="shared" si="59"/>
        <v>0.80354570637119105</v>
      </c>
    </row>
    <row r="291" spans="1:48" s="1" customFormat="1" ht="21" customHeight="1" x14ac:dyDescent="0.25">
      <c r="A291" s="109">
        <v>46042</v>
      </c>
      <c r="B291" s="47" t="s">
        <v>49</v>
      </c>
      <c r="C291" s="78" t="s">
        <v>51</v>
      </c>
      <c r="D291" s="47" t="s">
        <v>128</v>
      </c>
      <c r="E291" s="48">
        <v>98992</v>
      </c>
      <c r="F291" s="48" t="s">
        <v>53</v>
      </c>
      <c r="G291" s="48" t="s">
        <v>125</v>
      </c>
      <c r="H291" s="30">
        <v>16000</v>
      </c>
      <c r="I291" s="30"/>
      <c r="J291" s="30">
        <v>32</v>
      </c>
      <c r="K291" s="28">
        <f t="shared" si="53"/>
        <v>112.5</v>
      </c>
      <c r="L291" s="31">
        <v>0.58333333333333337</v>
      </c>
      <c r="M291" s="31">
        <v>0.9375</v>
      </c>
      <c r="N291" s="32">
        <f t="shared" si="62"/>
        <v>0.35416666666666663</v>
      </c>
      <c r="O291" s="36">
        <v>510</v>
      </c>
      <c r="P291" s="36">
        <f t="shared" si="54"/>
        <v>320</v>
      </c>
      <c r="Q291" s="36">
        <f t="shared" si="55"/>
        <v>320</v>
      </c>
      <c r="R291" s="15">
        <v>0</v>
      </c>
      <c r="S291" s="20">
        <v>0</v>
      </c>
      <c r="T291" s="16">
        <v>0</v>
      </c>
      <c r="U291" s="16">
        <v>0</v>
      </c>
      <c r="V291" s="20">
        <v>0</v>
      </c>
      <c r="W291" s="20">
        <v>0</v>
      </c>
      <c r="X291" s="20">
        <v>0</v>
      </c>
      <c r="Y291" s="20">
        <v>0</v>
      </c>
      <c r="Z291" s="20">
        <v>0</v>
      </c>
      <c r="AA291" s="20">
        <v>0</v>
      </c>
      <c r="AB291" s="20">
        <v>0</v>
      </c>
      <c r="AC291" s="20">
        <v>0</v>
      </c>
      <c r="AD291" s="15">
        <f t="shared" si="61"/>
        <v>0</v>
      </c>
      <c r="AE291" s="15">
        <v>0</v>
      </c>
      <c r="AF291" s="15">
        <v>0</v>
      </c>
      <c r="AG291" s="15">
        <v>0</v>
      </c>
      <c r="AH291" s="15">
        <v>120</v>
      </c>
      <c r="AI291" s="15">
        <v>0</v>
      </c>
      <c r="AJ291" s="15">
        <v>30</v>
      </c>
      <c r="AK291" s="15">
        <v>10</v>
      </c>
      <c r="AL291" s="15">
        <v>30</v>
      </c>
      <c r="AM291" s="15">
        <f t="shared" si="60"/>
        <v>190</v>
      </c>
      <c r="AN291" s="29">
        <f t="shared" si="56"/>
        <v>600</v>
      </c>
      <c r="AO291" s="19">
        <v>490</v>
      </c>
      <c r="AP291" s="21">
        <v>0</v>
      </c>
      <c r="AQ291" s="22">
        <v>1</v>
      </c>
      <c r="AR291" s="26">
        <f t="shared" si="50"/>
        <v>489</v>
      </c>
      <c r="AS291" s="37">
        <f t="shared" si="57"/>
        <v>1</v>
      </c>
      <c r="AT291" s="38">
        <f t="shared" si="52"/>
        <v>0.81666666666666665</v>
      </c>
      <c r="AU291" s="38">
        <f t="shared" si="58"/>
        <v>0.99795918367346936</v>
      </c>
      <c r="AV291" s="27">
        <f t="shared" si="59"/>
        <v>0.81499999999999995</v>
      </c>
    </row>
    <row r="292" spans="1:48" s="1" customFormat="1" ht="21" customHeight="1" x14ac:dyDescent="0.25">
      <c r="A292" s="109">
        <v>46042</v>
      </c>
      <c r="B292" s="47" t="s">
        <v>49</v>
      </c>
      <c r="C292" s="78" t="s">
        <v>51</v>
      </c>
      <c r="D292" s="47" t="s">
        <v>170</v>
      </c>
      <c r="E292" s="48">
        <v>98992</v>
      </c>
      <c r="F292" s="48" t="s">
        <v>176</v>
      </c>
      <c r="G292" s="48" t="s">
        <v>125</v>
      </c>
      <c r="H292" s="30">
        <v>14957</v>
      </c>
      <c r="I292" s="30"/>
      <c r="J292" s="30">
        <v>20</v>
      </c>
      <c r="K292" s="28">
        <f t="shared" si="53"/>
        <v>180</v>
      </c>
      <c r="L292" s="31">
        <v>0.58333333333333337</v>
      </c>
      <c r="M292" s="31">
        <v>0.9375</v>
      </c>
      <c r="N292" s="32">
        <f t="shared" si="62"/>
        <v>0.35416666666666663</v>
      </c>
      <c r="O292" s="36">
        <v>510</v>
      </c>
      <c r="P292" s="36">
        <f t="shared" si="54"/>
        <v>240</v>
      </c>
      <c r="Q292" s="36">
        <f t="shared" si="55"/>
        <v>260</v>
      </c>
      <c r="R292" s="15">
        <v>0</v>
      </c>
      <c r="S292" s="20">
        <v>0</v>
      </c>
      <c r="T292" s="16">
        <v>0</v>
      </c>
      <c r="U292" s="16">
        <v>0</v>
      </c>
      <c r="V292" s="20">
        <v>0</v>
      </c>
      <c r="W292" s="20">
        <v>0</v>
      </c>
      <c r="X292" s="20">
        <v>20</v>
      </c>
      <c r="Y292" s="20">
        <v>0</v>
      </c>
      <c r="Z292" s="20">
        <v>0</v>
      </c>
      <c r="AA292" s="20">
        <v>0</v>
      </c>
      <c r="AB292" s="20">
        <v>0</v>
      </c>
      <c r="AC292" s="20">
        <v>0</v>
      </c>
      <c r="AD292" s="15">
        <f t="shared" si="61"/>
        <v>20</v>
      </c>
      <c r="AE292" s="15">
        <v>0</v>
      </c>
      <c r="AF292" s="15">
        <v>0</v>
      </c>
      <c r="AG292" s="15">
        <v>0</v>
      </c>
      <c r="AH292" s="15">
        <v>180</v>
      </c>
      <c r="AI292" s="15">
        <v>0</v>
      </c>
      <c r="AJ292" s="15">
        <v>30</v>
      </c>
      <c r="AK292" s="15">
        <v>10</v>
      </c>
      <c r="AL292" s="15">
        <v>30</v>
      </c>
      <c r="AM292" s="15">
        <f t="shared" si="60"/>
        <v>250</v>
      </c>
      <c r="AN292" s="29">
        <f t="shared" si="56"/>
        <v>780</v>
      </c>
      <c r="AO292" s="19">
        <v>600</v>
      </c>
      <c r="AP292" s="21">
        <v>0</v>
      </c>
      <c r="AQ292" s="22">
        <v>1</v>
      </c>
      <c r="AR292" s="26">
        <f t="shared" si="50"/>
        <v>599</v>
      </c>
      <c r="AS292" s="37">
        <f t="shared" si="57"/>
        <v>0.92307692307692313</v>
      </c>
      <c r="AT292" s="38">
        <f t="shared" si="52"/>
        <v>0.76923076923076927</v>
      </c>
      <c r="AU292" s="38">
        <f t="shared" si="58"/>
        <v>0.99833333333333329</v>
      </c>
      <c r="AV292" s="27">
        <f t="shared" si="59"/>
        <v>0.70887573964497042</v>
      </c>
    </row>
    <row r="293" spans="1:48" s="1" customFormat="1" ht="21" customHeight="1" x14ac:dyDescent="0.25">
      <c r="A293" s="109">
        <v>46042</v>
      </c>
      <c r="B293" s="47" t="s">
        <v>49</v>
      </c>
      <c r="C293" s="78" t="s">
        <v>51</v>
      </c>
      <c r="D293" s="47" t="s">
        <v>127</v>
      </c>
      <c r="E293" s="48">
        <v>98992</v>
      </c>
      <c r="F293" s="48" t="s">
        <v>175</v>
      </c>
      <c r="G293" s="48" t="s">
        <v>125</v>
      </c>
      <c r="H293" s="30">
        <v>15833</v>
      </c>
      <c r="I293" s="30"/>
      <c r="J293" s="30">
        <v>20</v>
      </c>
      <c r="K293" s="28">
        <f t="shared" si="53"/>
        <v>180</v>
      </c>
      <c r="L293" s="31">
        <v>0.58333333333333337</v>
      </c>
      <c r="M293" s="31">
        <v>0.9375</v>
      </c>
      <c r="N293" s="32">
        <f t="shared" si="62"/>
        <v>0.35416666666666663</v>
      </c>
      <c r="O293" s="36">
        <v>510</v>
      </c>
      <c r="P293" s="36">
        <f t="shared" si="54"/>
        <v>440</v>
      </c>
      <c r="Q293" s="36">
        <f t="shared" si="55"/>
        <v>440</v>
      </c>
      <c r="R293" s="15">
        <v>0</v>
      </c>
      <c r="S293" s="20">
        <v>0</v>
      </c>
      <c r="T293" s="16">
        <v>0</v>
      </c>
      <c r="U293" s="16">
        <v>0</v>
      </c>
      <c r="V293" s="20">
        <v>0</v>
      </c>
      <c r="W293" s="20">
        <v>0</v>
      </c>
      <c r="X293" s="20">
        <v>0</v>
      </c>
      <c r="Y293" s="20">
        <v>0</v>
      </c>
      <c r="Z293" s="20">
        <v>0</v>
      </c>
      <c r="AA293" s="20">
        <v>0</v>
      </c>
      <c r="AB293" s="20">
        <v>0</v>
      </c>
      <c r="AC293" s="20">
        <v>0</v>
      </c>
      <c r="AD293" s="15">
        <f t="shared" si="61"/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  <c r="AJ293" s="15">
        <v>30</v>
      </c>
      <c r="AK293" s="15">
        <v>10</v>
      </c>
      <c r="AL293" s="15">
        <v>30</v>
      </c>
      <c r="AM293" s="15">
        <f t="shared" si="60"/>
        <v>70</v>
      </c>
      <c r="AN293" s="29">
        <f t="shared" si="56"/>
        <v>1320</v>
      </c>
      <c r="AO293" s="19">
        <v>1202</v>
      </c>
      <c r="AP293" s="21">
        <v>0</v>
      </c>
      <c r="AQ293" s="22">
        <v>0</v>
      </c>
      <c r="AR293" s="26">
        <f t="shared" si="50"/>
        <v>1202</v>
      </c>
      <c r="AS293" s="37">
        <f t="shared" si="57"/>
        <v>1</v>
      </c>
      <c r="AT293" s="38">
        <f t="shared" ref="AT293:AT356" si="63">AO293/AN293</f>
        <v>0.91060606060606064</v>
      </c>
      <c r="AU293" s="38">
        <f t="shared" si="58"/>
        <v>1</v>
      </c>
      <c r="AV293" s="27">
        <f t="shared" si="59"/>
        <v>0.91060606060606064</v>
      </c>
    </row>
    <row r="294" spans="1:48" s="1" customFormat="1" ht="21" customHeight="1" x14ac:dyDescent="0.25">
      <c r="A294" s="109">
        <v>46043</v>
      </c>
      <c r="B294" s="47" t="s">
        <v>49</v>
      </c>
      <c r="C294" s="78" t="s">
        <v>21</v>
      </c>
      <c r="D294" s="47" t="s">
        <v>94</v>
      </c>
      <c r="E294" s="48">
        <v>98992</v>
      </c>
      <c r="F294" s="48" t="s">
        <v>67</v>
      </c>
      <c r="G294" s="48" t="s">
        <v>174</v>
      </c>
      <c r="H294" s="30">
        <v>15726</v>
      </c>
      <c r="I294" s="30"/>
      <c r="J294" s="30">
        <v>24</v>
      </c>
      <c r="K294" s="28">
        <f t="shared" si="53"/>
        <v>150</v>
      </c>
      <c r="L294" s="31">
        <v>0.25</v>
      </c>
      <c r="M294" s="31">
        <v>0.60416666666666696</v>
      </c>
      <c r="N294" s="32">
        <f t="shared" si="62"/>
        <v>0.35416666666666696</v>
      </c>
      <c r="O294" s="36">
        <v>510</v>
      </c>
      <c r="P294" s="36">
        <f t="shared" si="54"/>
        <v>320</v>
      </c>
      <c r="Q294" s="36">
        <f t="shared" si="55"/>
        <v>320</v>
      </c>
      <c r="R294" s="15">
        <v>0</v>
      </c>
      <c r="S294" s="20">
        <v>0</v>
      </c>
      <c r="T294" s="16">
        <v>0</v>
      </c>
      <c r="U294" s="16">
        <v>0</v>
      </c>
      <c r="V294" s="20">
        <v>0</v>
      </c>
      <c r="W294" s="20">
        <v>0</v>
      </c>
      <c r="X294" s="20">
        <v>0</v>
      </c>
      <c r="Y294" s="20">
        <v>0</v>
      </c>
      <c r="Z294" s="20">
        <v>0</v>
      </c>
      <c r="AA294" s="20">
        <v>0</v>
      </c>
      <c r="AB294" s="20">
        <v>0</v>
      </c>
      <c r="AC294" s="20">
        <v>0</v>
      </c>
      <c r="AD294" s="15">
        <f t="shared" si="61"/>
        <v>0</v>
      </c>
      <c r="AE294" s="15">
        <v>0</v>
      </c>
      <c r="AF294" s="15">
        <v>0</v>
      </c>
      <c r="AG294" s="15">
        <v>0</v>
      </c>
      <c r="AH294" s="15">
        <v>120</v>
      </c>
      <c r="AI294" s="15">
        <v>0</v>
      </c>
      <c r="AJ294" s="15">
        <v>30</v>
      </c>
      <c r="AK294" s="15">
        <v>10</v>
      </c>
      <c r="AL294" s="15">
        <v>30</v>
      </c>
      <c r="AM294" s="15">
        <f t="shared" si="60"/>
        <v>190</v>
      </c>
      <c r="AN294" s="29">
        <f t="shared" si="56"/>
        <v>800</v>
      </c>
      <c r="AO294" s="19">
        <v>732</v>
      </c>
      <c r="AP294" s="21">
        <v>0</v>
      </c>
      <c r="AQ294" s="22">
        <v>3</v>
      </c>
      <c r="AR294" s="26">
        <f t="shared" si="50"/>
        <v>729</v>
      </c>
      <c r="AS294" s="37">
        <f t="shared" si="57"/>
        <v>1</v>
      </c>
      <c r="AT294" s="38">
        <f t="shared" si="63"/>
        <v>0.91500000000000004</v>
      </c>
      <c r="AU294" s="38">
        <f t="shared" si="58"/>
        <v>0.99590163934426235</v>
      </c>
      <c r="AV294" s="27">
        <f t="shared" si="59"/>
        <v>0.91125000000000012</v>
      </c>
    </row>
    <row r="295" spans="1:48" s="1" customFormat="1" ht="21" customHeight="1" x14ac:dyDescent="0.25">
      <c r="A295" s="109">
        <v>46043</v>
      </c>
      <c r="B295" s="47" t="s">
        <v>49</v>
      </c>
      <c r="C295" s="78" t="s">
        <v>21</v>
      </c>
      <c r="D295" s="47" t="s">
        <v>88</v>
      </c>
      <c r="E295" s="48">
        <v>98992</v>
      </c>
      <c r="F295" s="48" t="s">
        <v>126</v>
      </c>
      <c r="G295" s="48" t="s">
        <v>87</v>
      </c>
      <c r="H295" s="30">
        <v>13106</v>
      </c>
      <c r="I295" s="30"/>
      <c r="J295" s="30">
        <v>32</v>
      </c>
      <c r="K295" s="28">
        <f t="shared" si="53"/>
        <v>112.5</v>
      </c>
      <c r="L295" s="31">
        <v>0.25</v>
      </c>
      <c r="M295" s="31">
        <v>0.60416666666666696</v>
      </c>
      <c r="N295" s="32">
        <f t="shared" si="62"/>
        <v>0.35416666666666696</v>
      </c>
      <c r="O295" s="36">
        <v>510</v>
      </c>
      <c r="P295" s="36">
        <f t="shared" si="54"/>
        <v>300</v>
      </c>
      <c r="Q295" s="36">
        <f t="shared" si="55"/>
        <v>320</v>
      </c>
      <c r="R295" s="15">
        <v>0</v>
      </c>
      <c r="S295" s="20">
        <v>0</v>
      </c>
      <c r="T295" s="16">
        <v>0</v>
      </c>
      <c r="U295" s="16">
        <v>0</v>
      </c>
      <c r="V295" s="20">
        <v>0</v>
      </c>
      <c r="W295" s="20">
        <v>0</v>
      </c>
      <c r="X295" s="20">
        <v>20</v>
      </c>
      <c r="Y295" s="20">
        <v>0</v>
      </c>
      <c r="Z295" s="20">
        <v>0</v>
      </c>
      <c r="AA295" s="20">
        <v>0</v>
      </c>
      <c r="AB295" s="20">
        <v>0</v>
      </c>
      <c r="AC295" s="20">
        <v>0</v>
      </c>
      <c r="AD295" s="15">
        <f t="shared" si="61"/>
        <v>20</v>
      </c>
      <c r="AE295" s="15">
        <v>0</v>
      </c>
      <c r="AF295" s="15">
        <v>0</v>
      </c>
      <c r="AG295" s="15">
        <v>0</v>
      </c>
      <c r="AH295" s="15">
        <v>120</v>
      </c>
      <c r="AI295" s="15">
        <v>0</v>
      </c>
      <c r="AJ295" s="15">
        <v>30</v>
      </c>
      <c r="AK295" s="15">
        <v>10</v>
      </c>
      <c r="AL295" s="15">
        <v>30</v>
      </c>
      <c r="AM295" s="15">
        <f t="shared" si="60"/>
        <v>190</v>
      </c>
      <c r="AN295" s="29">
        <f t="shared" si="56"/>
        <v>600</v>
      </c>
      <c r="AO295" s="19">
        <v>535</v>
      </c>
      <c r="AP295" s="21">
        <v>0</v>
      </c>
      <c r="AQ295" s="22">
        <v>1</v>
      </c>
      <c r="AR295" s="26">
        <f t="shared" si="50"/>
        <v>534</v>
      </c>
      <c r="AS295" s="37">
        <f t="shared" si="57"/>
        <v>0.9375</v>
      </c>
      <c r="AT295" s="38">
        <f t="shared" si="63"/>
        <v>0.89166666666666672</v>
      </c>
      <c r="AU295" s="38">
        <f t="shared" si="58"/>
        <v>0.9981308411214953</v>
      </c>
      <c r="AV295" s="27">
        <f t="shared" si="59"/>
        <v>0.83437499999999998</v>
      </c>
    </row>
    <row r="296" spans="1:48" s="1" customFormat="1" ht="21" customHeight="1" x14ac:dyDescent="0.25">
      <c r="A296" s="109">
        <v>46043</v>
      </c>
      <c r="B296" s="47" t="s">
        <v>49</v>
      </c>
      <c r="C296" s="78" t="s">
        <v>21</v>
      </c>
      <c r="D296" s="47" t="s">
        <v>89</v>
      </c>
      <c r="E296" s="48">
        <v>98992</v>
      </c>
      <c r="F296" s="48" t="s">
        <v>169</v>
      </c>
      <c r="G296" s="48" t="s">
        <v>87</v>
      </c>
      <c r="H296" s="30">
        <v>16219</v>
      </c>
      <c r="I296" s="30"/>
      <c r="J296" s="30">
        <v>32</v>
      </c>
      <c r="K296" s="28">
        <f t="shared" si="53"/>
        <v>112.5</v>
      </c>
      <c r="L296" s="31">
        <v>0.25</v>
      </c>
      <c r="M296" s="31">
        <v>0.60416666666666696</v>
      </c>
      <c r="N296" s="32">
        <f t="shared" si="62"/>
        <v>0.35416666666666696</v>
      </c>
      <c r="O296" s="36">
        <v>510</v>
      </c>
      <c r="P296" s="36">
        <f t="shared" si="54"/>
        <v>320</v>
      </c>
      <c r="Q296" s="36">
        <f t="shared" si="55"/>
        <v>320</v>
      </c>
      <c r="R296" s="15">
        <v>0</v>
      </c>
      <c r="S296" s="20">
        <v>0</v>
      </c>
      <c r="T296" s="16">
        <v>0</v>
      </c>
      <c r="U296" s="16">
        <v>0</v>
      </c>
      <c r="V296" s="20">
        <v>0</v>
      </c>
      <c r="W296" s="20">
        <v>0</v>
      </c>
      <c r="X296" s="20">
        <v>0</v>
      </c>
      <c r="Y296" s="20">
        <v>0</v>
      </c>
      <c r="Z296" s="20">
        <v>0</v>
      </c>
      <c r="AA296" s="20">
        <v>0</v>
      </c>
      <c r="AB296" s="20">
        <v>0</v>
      </c>
      <c r="AC296" s="20">
        <v>0</v>
      </c>
      <c r="AD296" s="15">
        <f t="shared" si="61"/>
        <v>0</v>
      </c>
      <c r="AE296" s="15">
        <v>0</v>
      </c>
      <c r="AF296" s="15">
        <v>0</v>
      </c>
      <c r="AG296" s="15">
        <v>0</v>
      </c>
      <c r="AH296" s="15">
        <v>120</v>
      </c>
      <c r="AI296" s="15">
        <v>0</v>
      </c>
      <c r="AJ296" s="15">
        <v>30</v>
      </c>
      <c r="AK296" s="15">
        <v>10</v>
      </c>
      <c r="AL296" s="15">
        <v>30</v>
      </c>
      <c r="AM296" s="15">
        <f t="shared" si="60"/>
        <v>190</v>
      </c>
      <c r="AN296" s="29">
        <f t="shared" si="56"/>
        <v>600</v>
      </c>
      <c r="AO296" s="19">
        <v>521</v>
      </c>
      <c r="AP296" s="21">
        <v>0</v>
      </c>
      <c r="AQ296" s="22">
        <v>1</v>
      </c>
      <c r="AR296" s="26">
        <f t="shared" si="50"/>
        <v>520</v>
      </c>
      <c r="AS296" s="37">
        <f t="shared" si="57"/>
        <v>1</v>
      </c>
      <c r="AT296" s="38">
        <f t="shared" si="63"/>
        <v>0.86833333333333329</v>
      </c>
      <c r="AU296" s="38">
        <f t="shared" si="58"/>
        <v>0.99808061420345484</v>
      </c>
      <c r="AV296" s="27">
        <f t="shared" si="59"/>
        <v>0.86666666666666659</v>
      </c>
    </row>
    <row r="297" spans="1:48" s="1" customFormat="1" ht="21" customHeight="1" x14ac:dyDescent="0.25">
      <c r="A297" s="109">
        <v>46043</v>
      </c>
      <c r="B297" s="47" t="s">
        <v>49</v>
      </c>
      <c r="C297" s="78" t="s">
        <v>21</v>
      </c>
      <c r="D297" s="47" t="s">
        <v>52</v>
      </c>
      <c r="E297" s="48">
        <v>98992</v>
      </c>
      <c r="F297" s="48" t="s">
        <v>53</v>
      </c>
      <c r="G297" s="48" t="s">
        <v>87</v>
      </c>
      <c r="H297" s="30">
        <v>14957</v>
      </c>
      <c r="I297" s="30"/>
      <c r="J297" s="30">
        <v>32</v>
      </c>
      <c r="K297" s="28">
        <f t="shared" si="53"/>
        <v>112.5</v>
      </c>
      <c r="L297" s="31">
        <v>0.25</v>
      </c>
      <c r="M297" s="31">
        <v>0.60416666666666696</v>
      </c>
      <c r="N297" s="32">
        <f t="shared" si="62"/>
        <v>0.35416666666666696</v>
      </c>
      <c r="O297" s="36">
        <v>510</v>
      </c>
      <c r="P297" s="36">
        <f t="shared" si="54"/>
        <v>440</v>
      </c>
      <c r="Q297" s="36">
        <f t="shared" si="55"/>
        <v>440</v>
      </c>
      <c r="R297" s="15">
        <v>0</v>
      </c>
      <c r="S297" s="20">
        <v>0</v>
      </c>
      <c r="T297" s="16">
        <v>0</v>
      </c>
      <c r="U297" s="16">
        <v>0</v>
      </c>
      <c r="V297" s="20">
        <v>0</v>
      </c>
      <c r="W297" s="20">
        <v>0</v>
      </c>
      <c r="X297" s="20">
        <v>0</v>
      </c>
      <c r="Y297" s="20">
        <v>0</v>
      </c>
      <c r="Z297" s="20">
        <v>0</v>
      </c>
      <c r="AA297" s="20">
        <v>0</v>
      </c>
      <c r="AB297" s="20">
        <v>0</v>
      </c>
      <c r="AC297" s="20">
        <v>0</v>
      </c>
      <c r="AD297" s="15">
        <f t="shared" si="61"/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30</v>
      </c>
      <c r="AK297" s="15">
        <v>10</v>
      </c>
      <c r="AL297" s="15">
        <v>30</v>
      </c>
      <c r="AM297" s="15">
        <f t="shared" si="60"/>
        <v>70</v>
      </c>
      <c r="AN297" s="29">
        <f t="shared" si="56"/>
        <v>825</v>
      </c>
      <c r="AO297" s="19">
        <f>312+388</f>
        <v>700</v>
      </c>
      <c r="AP297" s="21">
        <v>0</v>
      </c>
      <c r="AQ297" s="22">
        <v>0</v>
      </c>
      <c r="AR297" s="26">
        <f t="shared" si="50"/>
        <v>700</v>
      </c>
      <c r="AS297" s="37">
        <f t="shared" si="57"/>
        <v>1</v>
      </c>
      <c r="AT297" s="38">
        <f t="shared" si="63"/>
        <v>0.84848484848484851</v>
      </c>
      <c r="AU297" s="38">
        <f t="shared" si="58"/>
        <v>1</v>
      </c>
      <c r="AV297" s="27">
        <f t="shared" si="59"/>
        <v>0.84848484848484851</v>
      </c>
    </row>
    <row r="298" spans="1:48" s="1" customFormat="1" ht="21" customHeight="1" x14ac:dyDescent="0.25">
      <c r="A298" s="109">
        <v>46043</v>
      </c>
      <c r="B298" s="47" t="s">
        <v>49</v>
      </c>
      <c r="C298" s="78" t="s">
        <v>21</v>
      </c>
      <c r="D298" s="47" t="s">
        <v>86</v>
      </c>
      <c r="E298" s="48">
        <v>98992</v>
      </c>
      <c r="F298" s="48" t="s">
        <v>176</v>
      </c>
      <c r="G298" s="48" t="s">
        <v>87</v>
      </c>
      <c r="H298" s="30">
        <v>15859</v>
      </c>
      <c r="I298" s="30"/>
      <c r="J298" s="30">
        <v>20</v>
      </c>
      <c r="K298" s="28">
        <f t="shared" si="53"/>
        <v>180</v>
      </c>
      <c r="L298" s="31">
        <v>0.25</v>
      </c>
      <c r="M298" s="31">
        <v>0.60416666666666696</v>
      </c>
      <c r="N298" s="32">
        <f t="shared" si="62"/>
        <v>0.35416666666666696</v>
      </c>
      <c r="O298" s="36">
        <v>510</v>
      </c>
      <c r="P298" s="36">
        <f t="shared" si="54"/>
        <v>320</v>
      </c>
      <c r="Q298" s="36">
        <f t="shared" si="55"/>
        <v>320</v>
      </c>
      <c r="R298" s="15">
        <v>0</v>
      </c>
      <c r="S298" s="20">
        <v>0</v>
      </c>
      <c r="T298" s="16">
        <v>0</v>
      </c>
      <c r="U298" s="16">
        <v>0</v>
      </c>
      <c r="V298" s="20">
        <v>0</v>
      </c>
      <c r="W298" s="20">
        <v>0</v>
      </c>
      <c r="X298" s="20">
        <v>0</v>
      </c>
      <c r="Y298" s="20">
        <v>0</v>
      </c>
      <c r="Z298" s="20">
        <v>0</v>
      </c>
      <c r="AA298" s="20">
        <v>0</v>
      </c>
      <c r="AB298" s="20">
        <v>0</v>
      </c>
      <c r="AC298" s="20">
        <v>0</v>
      </c>
      <c r="AD298" s="15">
        <f t="shared" si="61"/>
        <v>0</v>
      </c>
      <c r="AE298" s="15">
        <v>0</v>
      </c>
      <c r="AF298" s="15">
        <v>0</v>
      </c>
      <c r="AG298" s="15">
        <v>0</v>
      </c>
      <c r="AH298" s="15">
        <v>120</v>
      </c>
      <c r="AI298" s="15">
        <v>0</v>
      </c>
      <c r="AJ298" s="15">
        <v>30</v>
      </c>
      <c r="AK298" s="15">
        <v>10</v>
      </c>
      <c r="AL298" s="15">
        <v>30</v>
      </c>
      <c r="AM298" s="15">
        <f t="shared" si="60"/>
        <v>190</v>
      </c>
      <c r="AN298" s="29">
        <f t="shared" si="56"/>
        <v>960</v>
      </c>
      <c r="AO298" s="19">
        <f>564+240</f>
        <v>804</v>
      </c>
      <c r="AP298" s="21">
        <v>0</v>
      </c>
      <c r="AQ298" s="22">
        <v>1</v>
      </c>
      <c r="AR298" s="26">
        <f t="shared" si="50"/>
        <v>803</v>
      </c>
      <c r="AS298" s="37">
        <f t="shared" si="57"/>
        <v>1</v>
      </c>
      <c r="AT298" s="38">
        <f t="shared" si="63"/>
        <v>0.83750000000000002</v>
      </c>
      <c r="AU298" s="38">
        <f t="shared" si="58"/>
        <v>0.99875621890547261</v>
      </c>
      <c r="AV298" s="27">
        <f t="shared" si="59"/>
        <v>0.8364583333333333</v>
      </c>
    </row>
    <row r="299" spans="1:48" s="1" customFormat="1" ht="21" customHeight="1" x14ac:dyDescent="0.25">
      <c r="A299" s="109">
        <v>46043</v>
      </c>
      <c r="B299" s="47" t="s">
        <v>49</v>
      </c>
      <c r="C299" s="78" t="s">
        <v>21</v>
      </c>
      <c r="D299" s="47" t="s">
        <v>172</v>
      </c>
      <c r="E299" s="48">
        <v>98992</v>
      </c>
      <c r="F299" s="48" t="s">
        <v>175</v>
      </c>
      <c r="G299" s="48" t="s">
        <v>87</v>
      </c>
      <c r="H299" s="30">
        <v>15838</v>
      </c>
      <c r="I299" s="30"/>
      <c r="J299" s="30">
        <v>20</v>
      </c>
      <c r="K299" s="28">
        <f t="shared" si="53"/>
        <v>180</v>
      </c>
      <c r="L299" s="31">
        <v>0.25</v>
      </c>
      <c r="M299" s="31">
        <v>0.60416666666666696</v>
      </c>
      <c r="N299" s="32">
        <f t="shared" si="62"/>
        <v>0.35416666666666696</v>
      </c>
      <c r="O299" s="36">
        <v>510</v>
      </c>
      <c r="P299" s="36">
        <f t="shared" si="54"/>
        <v>260</v>
      </c>
      <c r="Q299" s="36">
        <f t="shared" si="55"/>
        <v>260</v>
      </c>
      <c r="R299" s="15">
        <v>0</v>
      </c>
      <c r="S299" s="20">
        <v>0</v>
      </c>
      <c r="T299" s="16">
        <v>0</v>
      </c>
      <c r="U299" s="16">
        <v>0</v>
      </c>
      <c r="V299" s="20">
        <v>0</v>
      </c>
      <c r="W299" s="20">
        <v>0</v>
      </c>
      <c r="X299" s="20">
        <v>0</v>
      </c>
      <c r="Y299" s="20">
        <v>0</v>
      </c>
      <c r="Z299" s="20">
        <v>0</v>
      </c>
      <c r="AA299" s="20">
        <v>0</v>
      </c>
      <c r="AB299" s="20">
        <v>0</v>
      </c>
      <c r="AC299" s="20">
        <v>0</v>
      </c>
      <c r="AD299" s="15">
        <f t="shared" si="61"/>
        <v>0</v>
      </c>
      <c r="AE299" s="15">
        <v>0</v>
      </c>
      <c r="AF299" s="15">
        <v>0</v>
      </c>
      <c r="AG299" s="15">
        <v>0</v>
      </c>
      <c r="AH299" s="15">
        <v>180</v>
      </c>
      <c r="AI299" s="15">
        <v>0</v>
      </c>
      <c r="AJ299" s="15">
        <v>30</v>
      </c>
      <c r="AK299" s="15">
        <v>10</v>
      </c>
      <c r="AL299" s="15">
        <v>30</v>
      </c>
      <c r="AM299" s="15">
        <f t="shared" si="60"/>
        <v>250</v>
      </c>
      <c r="AN299" s="29">
        <f t="shared" si="56"/>
        <v>780</v>
      </c>
      <c r="AO299" s="19">
        <f>444+240</f>
        <v>684</v>
      </c>
      <c r="AP299" s="21">
        <v>0</v>
      </c>
      <c r="AQ299" s="22">
        <v>0</v>
      </c>
      <c r="AR299" s="26">
        <f t="shared" si="50"/>
        <v>684</v>
      </c>
      <c r="AS299" s="37">
        <f t="shared" si="57"/>
        <v>1</v>
      </c>
      <c r="AT299" s="38">
        <f t="shared" si="63"/>
        <v>0.87692307692307692</v>
      </c>
      <c r="AU299" s="38">
        <f t="shared" si="58"/>
        <v>1</v>
      </c>
      <c r="AV299" s="27">
        <f t="shared" si="59"/>
        <v>0.87692307692307692</v>
      </c>
    </row>
    <row r="300" spans="1:48" s="1" customFormat="1" ht="21" customHeight="1" x14ac:dyDescent="0.25">
      <c r="A300" s="109">
        <v>46043</v>
      </c>
      <c r="B300" s="47" t="s">
        <v>49</v>
      </c>
      <c r="C300" s="78" t="s">
        <v>21</v>
      </c>
      <c r="D300" s="47" t="s">
        <v>124</v>
      </c>
      <c r="E300" s="48">
        <v>98992</v>
      </c>
      <c r="F300" s="48" t="s">
        <v>215</v>
      </c>
      <c r="G300" s="48" t="s">
        <v>125</v>
      </c>
      <c r="H300" s="30">
        <v>13105</v>
      </c>
      <c r="I300" s="30"/>
      <c r="J300" s="30">
        <v>32</v>
      </c>
      <c r="K300" s="28">
        <f t="shared" si="53"/>
        <v>112.5</v>
      </c>
      <c r="L300" s="31">
        <v>0.25</v>
      </c>
      <c r="M300" s="31">
        <v>0.60416666666666696</v>
      </c>
      <c r="N300" s="32">
        <f t="shared" si="62"/>
        <v>0.35416666666666696</v>
      </c>
      <c r="O300" s="36">
        <v>510</v>
      </c>
      <c r="P300" s="36">
        <f t="shared" si="54"/>
        <v>200</v>
      </c>
      <c r="Q300" s="36">
        <f t="shared" si="55"/>
        <v>200</v>
      </c>
      <c r="R300" s="15">
        <v>0</v>
      </c>
      <c r="S300" s="20">
        <v>0</v>
      </c>
      <c r="T300" s="16">
        <v>0</v>
      </c>
      <c r="U300" s="16">
        <v>0</v>
      </c>
      <c r="V300" s="20">
        <v>0</v>
      </c>
      <c r="W300" s="20">
        <v>0</v>
      </c>
      <c r="X300" s="20">
        <v>0</v>
      </c>
      <c r="Y300" s="20">
        <v>0</v>
      </c>
      <c r="Z300" s="20">
        <v>0</v>
      </c>
      <c r="AA300" s="20">
        <v>0</v>
      </c>
      <c r="AB300" s="20">
        <v>0</v>
      </c>
      <c r="AC300" s="20">
        <v>0</v>
      </c>
      <c r="AD300" s="15">
        <f t="shared" si="61"/>
        <v>0</v>
      </c>
      <c r="AE300" s="15">
        <v>0</v>
      </c>
      <c r="AF300" s="15">
        <v>0</v>
      </c>
      <c r="AG300" s="15">
        <v>0</v>
      </c>
      <c r="AH300" s="15">
        <v>240</v>
      </c>
      <c r="AI300" s="15">
        <v>0</v>
      </c>
      <c r="AJ300" s="15">
        <v>30</v>
      </c>
      <c r="AK300" s="15">
        <v>10</v>
      </c>
      <c r="AL300" s="15">
        <v>30</v>
      </c>
      <c r="AM300" s="15">
        <f t="shared" si="60"/>
        <v>310</v>
      </c>
      <c r="AN300" s="29">
        <f t="shared" si="56"/>
        <v>375</v>
      </c>
      <c r="AO300" s="19">
        <v>257</v>
      </c>
      <c r="AP300" s="21">
        <v>0</v>
      </c>
      <c r="AQ300" s="22">
        <v>1</v>
      </c>
      <c r="AR300" s="26">
        <f t="shared" si="50"/>
        <v>256</v>
      </c>
      <c r="AS300" s="37">
        <f t="shared" si="57"/>
        <v>1</v>
      </c>
      <c r="AT300" s="38">
        <f t="shared" si="63"/>
        <v>0.68533333333333335</v>
      </c>
      <c r="AU300" s="38">
        <f t="shared" si="58"/>
        <v>0.99610894941634243</v>
      </c>
      <c r="AV300" s="27">
        <f t="shared" si="59"/>
        <v>0.68266666666666664</v>
      </c>
    </row>
    <row r="301" spans="1:48" s="1" customFormat="1" ht="21" customHeight="1" x14ac:dyDescent="0.25">
      <c r="A301" s="109">
        <v>46043</v>
      </c>
      <c r="B301" s="47" t="s">
        <v>49</v>
      </c>
      <c r="C301" s="78" t="s">
        <v>21</v>
      </c>
      <c r="D301" s="47" t="s">
        <v>122</v>
      </c>
      <c r="E301" s="48">
        <v>98992</v>
      </c>
      <c r="F301" s="48" t="s">
        <v>169</v>
      </c>
      <c r="G301" s="48" t="s">
        <v>125</v>
      </c>
      <c r="H301" s="30">
        <v>14957</v>
      </c>
      <c r="I301" s="30"/>
      <c r="J301" s="30">
        <v>32</v>
      </c>
      <c r="K301" s="28">
        <f t="shared" si="53"/>
        <v>112.5</v>
      </c>
      <c r="L301" s="31">
        <v>0.25</v>
      </c>
      <c r="M301" s="31">
        <v>0.60416666666666696</v>
      </c>
      <c r="N301" s="32">
        <f t="shared" si="62"/>
        <v>0.35416666666666696</v>
      </c>
      <c r="O301" s="36">
        <v>510</v>
      </c>
      <c r="P301" s="36">
        <f t="shared" si="54"/>
        <v>260</v>
      </c>
      <c r="Q301" s="36">
        <f t="shared" si="55"/>
        <v>260</v>
      </c>
      <c r="R301" s="15">
        <v>0</v>
      </c>
      <c r="S301" s="20">
        <v>0</v>
      </c>
      <c r="T301" s="16">
        <v>0</v>
      </c>
      <c r="U301" s="16">
        <v>0</v>
      </c>
      <c r="V301" s="20">
        <v>0</v>
      </c>
      <c r="W301" s="20">
        <v>0</v>
      </c>
      <c r="X301" s="20">
        <v>0</v>
      </c>
      <c r="Y301" s="20">
        <v>0</v>
      </c>
      <c r="Z301" s="20">
        <v>0</v>
      </c>
      <c r="AA301" s="20">
        <v>0</v>
      </c>
      <c r="AB301" s="20">
        <v>0</v>
      </c>
      <c r="AC301" s="20">
        <v>0</v>
      </c>
      <c r="AD301" s="15">
        <f t="shared" si="61"/>
        <v>0</v>
      </c>
      <c r="AE301" s="15">
        <v>0</v>
      </c>
      <c r="AF301" s="15">
        <v>0</v>
      </c>
      <c r="AG301" s="15">
        <v>0</v>
      </c>
      <c r="AH301" s="15">
        <v>180</v>
      </c>
      <c r="AI301" s="15">
        <v>0</v>
      </c>
      <c r="AJ301" s="15">
        <v>30</v>
      </c>
      <c r="AK301" s="15">
        <v>10</v>
      </c>
      <c r="AL301" s="15">
        <v>30</v>
      </c>
      <c r="AM301" s="15">
        <f t="shared" si="60"/>
        <v>250</v>
      </c>
      <c r="AN301" s="29">
        <f t="shared" si="56"/>
        <v>487.5</v>
      </c>
      <c r="AO301" s="19">
        <v>248</v>
      </c>
      <c r="AP301" s="21">
        <v>0</v>
      </c>
      <c r="AQ301" s="22">
        <v>2</v>
      </c>
      <c r="AR301" s="26">
        <f t="shared" si="50"/>
        <v>246</v>
      </c>
      <c r="AS301" s="37">
        <f t="shared" si="57"/>
        <v>1</v>
      </c>
      <c r="AT301" s="38">
        <f t="shared" si="63"/>
        <v>0.50871794871794873</v>
      </c>
      <c r="AU301" s="38">
        <f t="shared" si="58"/>
        <v>0.99193548387096775</v>
      </c>
      <c r="AV301" s="27">
        <f t="shared" si="59"/>
        <v>0.50461538461538469</v>
      </c>
    </row>
    <row r="302" spans="1:48" s="1" customFormat="1" ht="21" customHeight="1" x14ac:dyDescent="0.25">
      <c r="A302" s="109">
        <v>46043</v>
      </c>
      <c r="B302" s="47" t="s">
        <v>49</v>
      </c>
      <c r="C302" s="78" t="s">
        <v>21</v>
      </c>
      <c r="D302" s="47" t="s">
        <v>128</v>
      </c>
      <c r="E302" s="48">
        <v>98992</v>
      </c>
      <c r="F302" s="48" t="s">
        <v>53</v>
      </c>
      <c r="G302" s="48" t="s">
        <v>125</v>
      </c>
      <c r="H302" s="30">
        <v>15710</v>
      </c>
      <c r="I302" s="30"/>
      <c r="J302" s="30">
        <v>32</v>
      </c>
      <c r="K302" s="28">
        <f t="shared" si="53"/>
        <v>112.5</v>
      </c>
      <c r="L302" s="31">
        <v>0.25</v>
      </c>
      <c r="M302" s="31">
        <v>0.60416666666666696</v>
      </c>
      <c r="N302" s="32">
        <f t="shared" si="62"/>
        <v>0.35416666666666696</v>
      </c>
      <c r="O302" s="36">
        <v>510</v>
      </c>
      <c r="P302" s="36">
        <f t="shared" si="54"/>
        <v>440</v>
      </c>
      <c r="Q302" s="36">
        <f t="shared" si="55"/>
        <v>440</v>
      </c>
      <c r="R302" s="15">
        <v>0</v>
      </c>
      <c r="S302" s="20">
        <v>0</v>
      </c>
      <c r="T302" s="16">
        <v>0</v>
      </c>
      <c r="U302" s="16">
        <v>0</v>
      </c>
      <c r="V302" s="20">
        <v>0</v>
      </c>
      <c r="W302" s="20">
        <v>0</v>
      </c>
      <c r="X302" s="20">
        <v>0</v>
      </c>
      <c r="Y302" s="20">
        <v>0</v>
      </c>
      <c r="Z302" s="20">
        <v>0</v>
      </c>
      <c r="AA302" s="20">
        <v>0</v>
      </c>
      <c r="AB302" s="20">
        <v>0</v>
      </c>
      <c r="AC302" s="20">
        <v>0</v>
      </c>
      <c r="AD302" s="15">
        <f t="shared" si="61"/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30</v>
      </c>
      <c r="AK302" s="15">
        <v>10</v>
      </c>
      <c r="AL302" s="15">
        <v>30</v>
      </c>
      <c r="AM302" s="15">
        <f t="shared" si="60"/>
        <v>70</v>
      </c>
      <c r="AN302" s="29">
        <f t="shared" si="56"/>
        <v>825</v>
      </c>
      <c r="AO302" s="19">
        <v>670</v>
      </c>
      <c r="AP302" s="21">
        <v>0</v>
      </c>
      <c r="AQ302" s="22">
        <v>0</v>
      </c>
      <c r="AR302" s="26">
        <f t="shared" ref="AR302:AR418" si="64">AO302-(AQ302+AP302)</f>
        <v>670</v>
      </c>
      <c r="AS302" s="37">
        <f t="shared" si="57"/>
        <v>1</v>
      </c>
      <c r="AT302" s="38">
        <f t="shared" si="63"/>
        <v>0.81212121212121213</v>
      </c>
      <c r="AU302" s="38">
        <f t="shared" si="58"/>
        <v>1</v>
      </c>
      <c r="AV302" s="27">
        <f t="shared" si="59"/>
        <v>0.81212121212121213</v>
      </c>
    </row>
    <row r="303" spans="1:48" s="1" customFormat="1" ht="21" customHeight="1" x14ac:dyDescent="0.25">
      <c r="A303" s="109">
        <v>46043</v>
      </c>
      <c r="B303" s="47" t="s">
        <v>49</v>
      </c>
      <c r="C303" s="78" t="s">
        <v>21</v>
      </c>
      <c r="D303" s="47" t="s">
        <v>170</v>
      </c>
      <c r="E303" s="48">
        <v>98992</v>
      </c>
      <c r="F303" s="48" t="s">
        <v>176</v>
      </c>
      <c r="G303" s="48" t="s">
        <v>125</v>
      </c>
      <c r="H303" s="30">
        <v>15679</v>
      </c>
      <c r="I303" s="30"/>
      <c r="J303" s="30">
        <v>20</v>
      </c>
      <c r="K303" s="28">
        <f t="shared" si="53"/>
        <v>180</v>
      </c>
      <c r="L303" s="31">
        <v>0.25</v>
      </c>
      <c r="M303" s="31">
        <v>0.60416666666666696</v>
      </c>
      <c r="N303" s="32">
        <f t="shared" si="62"/>
        <v>0.35416666666666696</v>
      </c>
      <c r="O303" s="36">
        <v>510</v>
      </c>
      <c r="P303" s="36">
        <f t="shared" si="54"/>
        <v>380</v>
      </c>
      <c r="Q303" s="36">
        <f t="shared" si="55"/>
        <v>380</v>
      </c>
      <c r="R303" s="15">
        <v>0</v>
      </c>
      <c r="S303" s="20">
        <v>0</v>
      </c>
      <c r="T303" s="16">
        <v>0</v>
      </c>
      <c r="U303" s="16">
        <v>0</v>
      </c>
      <c r="V303" s="20">
        <v>0</v>
      </c>
      <c r="W303" s="20">
        <v>0</v>
      </c>
      <c r="X303" s="20">
        <v>0</v>
      </c>
      <c r="Y303" s="20">
        <v>0</v>
      </c>
      <c r="Z303" s="20">
        <v>0</v>
      </c>
      <c r="AA303" s="20">
        <v>0</v>
      </c>
      <c r="AB303" s="20">
        <v>0</v>
      </c>
      <c r="AC303" s="20">
        <v>0</v>
      </c>
      <c r="AD303" s="15">
        <f t="shared" si="61"/>
        <v>0</v>
      </c>
      <c r="AE303" s="15">
        <v>0</v>
      </c>
      <c r="AF303" s="15">
        <v>0</v>
      </c>
      <c r="AG303" s="15">
        <v>0</v>
      </c>
      <c r="AH303" s="15">
        <v>60</v>
      </c>
      <c r="AI303" s="15">
        <v>0</v>
      </c>
      <c r="AJ303" s="15">
        <v>30</v>
      </c>
      <c r="AK303" s="15">
        <v>10</v>
      </c>
      <c r="AL303" s="15">
        <v>30</v>
      </c>
      <c r="AM303" s="15">
        <f t="shared" si="60"/>
        <v>130</v>
      </c>
      <c r="AN303" s="29">
        <f t="shared" si="56"/>
        <v>1140</v>
      </c>
      <c r="AO303" s="19">
        <v>930</v>
      </c>
      <c r="AP303" s="21">
        <v>0</v>
      </c>
      <c r="AQ303" s="22">
        <v>2</v>
      </c>
      <c r="AR303" s="26">
        <f t="shared" si="64"/>
        <v>928</v>
      </c>
      <c r="AS303" s="37">
        <f t="shared" si="57"/>
        <v>1</v>
      </c>
      <c r="AT303" s="38">
        <f t="shared" si="63"/>
        <v>0.81578947368421051</v>
      </c>
      <c r="AU303" s="38">
        <f t="shared" si="58"/>
        <v>0.99784946236559136</v>
      </c>
      <c r="AV303" s="27">
        <f t="shared" si="59"/>
        <v>0.81403508771929822</v>
      </c>
    </row>
    <row r="304" spans="1:48" s="1" customFormat="1" ht="21" customHeight="1" x14ac:dyDescent="0.25">
      <c r="A304" s="109">
        <v>46043</v>
      </c>
      <c r="B304" s="47" t="s">
        <v>49</v>
      </c>
      <c r="C304" s="78" t="s">
        <v>21</v>
      </c>
      <c r="D304" s="47" t="s">
        <v>127</v>
      </c>
      <c r="E304" s="48">
        <v>98992</v>
      </c>
      <c r="F304" s="48" t="s">
        <v>175</v>
      </c>
      <c r="G304" s="48" t="s">
        <v>125</v>
      </c>
      <c r="H304" s="30">
        <v>15672</v>
      </c>
      <c r="I304" s="30"/>
      <c r="J304" s="30">
        <v>20</v>
      </c>
      <c r="K304" s="28">
        <f t="shared" si="53"/>
        <v>180</v>
      </c>
      <c r="L304" s="31">
        <v>0.25</v>
      </c>
      <c r="M304" s="31">
        <v>0.60416666666666696</v>
      </c>
      <c r="N304" s="32">
        <f t="shared" si="62"/>
        <v>0.35416666666666696</v>
      </c>
      <c r="O304" s="36">
        <v>510</v>
      </c>
      <c r="P304" s="36">
        <f t="shared" si="54"/>
        <v>320</v>
      </c>
      <c r="Q304" s="36">
        <f t="shared" si="55"/>
        <v>320</v>
      </c>
      <c r="R304" s="15">
        <v>0</v>
      </c>
      <c r="S304" s="20">
        <v>0</v>
      </c>
      <c r="T304" s="16">
        <v>0</v>
      </c>
      <c r="U304" s="16">
        <v>0</v>
      </c>
      <c r="V304" s="20">
        <v>0</v>
      </c>
      <c r="W304" s="20">
        <v>0</v>
      </c>
      <c r="X304" s="20">
        <v>0</v>
      </c>
      <c r="Y304" s="20">
        <v>0</v>
      </c>
      <c r="Z304" s="20">
        <v>0</v>
      </c>
      <c r="AA304" s="20">
        <v>0</v>
      </c>
      <c r="AB304" s="20">
        <v>0</v>
      </c>
      <c r="AC304" s="20">
        <v>0</v>
      </c>
      <c r="AD304" s="15">
        <f t="shared" si="61"/>
        <v>0</v>
      </c>
      <c r="AE304" s="15">
        <v>0</v>
      </c>
      <c r="AF304" s="15">
        <v>0</v>
      </c>
      <c r="AG304" s="15">
        <v>0</v>
      </c>
      <c r="AH304" s="15">
        <v>120</v>
      </c>
      <c r="AI304" s="15">
        <v>0</v>
      </c>
      <c r="AJ304" s="15">
        <v>30</v>
      </c>
      <c r="AK304" s="15">
        <v>10</v>
      </c>
      <c r="AL304" s="15">
        <v>30</v>
      </c>
      <c r="AM304" s="15">
        <f t="shared" si="60"/>
        <v>190</v>
      </c>
      <c r="AN304" s="29">
        <f t="shared" si="56"/>
        <v>960</v>
      </c>
      <c r="AO304" s="19">
        <v>840</v>
      </c>
      <c r="AP304" s="21">
        <v>0</v>
      </c>
      <c r="AQ304" s="22">
        <v>2</v>
      </c>
      <c r="AR304" s="26">
        <f t="shared" si="64"/>
        <v>838</v>
      </c>
      <c r="AS304" s="37">
        <f t="shared" si="57"/>
        <v>1</v>
      </c>
      <c r="AT304" s="38">
        <f t="shared" si="63"/>
        <v>0.875</v>
      </c>
      <c r="AU304" s="38">
        <f t="shared" si="58"/>
        <v>0.99761904761904763</v>
      </c>
      <c r="AV304" s="27">
        <f t="shared" si="59"/>
        <v>0.87291666666666667</v>
      </c>
    </row>
    <row r="305" spans="1:48" s="1" customFormat="1" ht="21" customHeight="1" x14ac:dyDescent="0.25">
      <c r="A305" s="109">
        <v>46043</v>
      </c>
      <c r="B305" s="47" t="s">
        <v>49</v>
      </c>
      <c r="C305" s="78" t="s">
        <v>51</v>
      </c>
      <c r="D305" s="47" t="s">
        <v>94</v>
      </c>
      <c r="E305" s="48">
        <v>98992</v>
      </c>
      <c r="F305" s="48" t="s">
        <v>67</v>
      </c>
      <c r="G305" s="48" t="s">
        <v>174</v>
      </c>
      <c r="H305" s="30">
        <v>13562</v>
      </c>
      <c r="I305" s="30"/>
      <c r="J305" s="30">
        <v>24</v>
      </c>
      <c r="K305" s="28">
        <f t="shared" si="53"/>
        <v>150</v>
      </c>
      <c r="L305" s="31">
        <v>0.58333333333333337</v>
      </c>
      <c r="M305" s="31">
        <v>0.9375</v>
      </c>
      <c r="N305" s="32">
        <f t="shared" si="62"/>
        <v>0.35416666666666663</v>
      </c>
      <c r="O305" s="36">
        <v>510</v>
      </c>
      <c r="P305" s="36">
        <f t="shared" si="54"/>
        <v>320</v>
      </c>
      <c r="Q305" s="36">
        <f t="shared" si="55"/>
        <v>320</v>
      </c>
      <c r="R305" s="15">
        <v>0</v>
      </c>
      <c r="S305" s="20">
        <v>0</v>
      </c>
      <c r="T305" s="16">
        <v>0</v>
      </c>
      <c r="U305" s="16">
        <v>0</v>
      </c>
      <c r="V305" s="20">
        <v>0</v>
      </c>
      <c r="W305" s="20">
        <v>0</v>
      </c>
      <c r="X305" s="20">
        <v>0</v>
      </c>
      <c r="Y305" s="20">
        <v>0</v>
      </c>
      <c r="Z305" s="20">
        <v>0</v>
      </c>
      <c r="AA305" s="20">
        <v>0</v>
      </c>
      <c r="AB305" s="20">
        <v>0</v>
      </c>
      <c r="AC305" s="20">
        <v>0</v>
      </c>
      <c r="AD305" s="15">
        <f t="shared" si="61"/>
        <v>0</v>
      </c>
      <c r="AE305" s="15">
        <v>0</v>
      </c>
      <c r="AF305" s="15">
        <v>0</v>
      </c>
      <c r="AG305" s="15">
        <v>0</v>
      </c>
      <c r="AH305" s="15">
        <v>120</v>
      </c>
      <c r="AI305" s="15">
        <v>0</v>
      </c>
      <c r="AJ305" s="15">
        <v>30</v>
      </c>
      <c r="AK305" s="15">
        <v>10</v>
      </c>
      <c r="AL305" s="15">
        <v>30</v>
      </c>
      <c r="AM305" s="15">
        <f t="shared" si="60"/>
        <v>190</v>
      </c>
      <c r="AN305" s="29">
        <f t="shared" si="56"/>
        <v>800</v>
      </c>
      <c r="AO305" s="19">
        <v>725</v>
      </c>
      <c r="AP305" s="21">
        <v>0</v>
      </c>
      <c r="AQ305" s="22">
        <v>21</v>
      </c>
      <c r="AR305" s="26">
        <f t="shared" si="64"/>
        <v>704</v>
      </c>
      <c r="AS305" s="37">
        <f t="shared" si="57"/>
        <v>1</v>
      </c>
      <c r="AT305" s="38">
        <f t="shared" si="63"/>
        <v>0.90625</v>
      </c>
      <c r="AU305" s="38">
        <f t="shared" si="58"/>
        <v>0.9710344827586207</v>
      </c>
      <c r="AV305" s="27">
        <f t="shared" si="59"/>
        <v>0.88</v>
      </c>
    </row>
    <row r="306" spans="1:48" s="1" customFormat="1" ht="21" customHeight="1" x14ac:dyDescent="0.25">
      <c r="A306" s="109">
        <v>46043</v>
      </c>
      <c r="B306" s="47" t="s">
        <v>49</v>
      </c>
      <c r="C306" s="78" t="s">
        <v>51</v>
      </c>
      <c r="D306" s="47" t="s">
        <v>88</v>
      </c>
      <c r="E306" s="48">
        <v>98992</v>
      </c>
      <c r="F306" s="48" t="s">
        <v>126</v>
      </c>
      <c r="G306" s="48" t="s">
        <v>87</v>
      </c>
      <c r="H306" s="30">
        <v>15936</v>
      </c>
      <c r="I306" s="30"/>
      <c r="J306" s="30">
        <v>32</v>
      </c>
      <c r="K306" s="28">
        <f t="shared" si="53"/>
        <v>112.5</v>
      </c>
      <c r="L306" s="31">
        <v>0.58333333333333337</v>
      </c>
      <c r="M306" s="31">
        <v>0.9375</v>
      </c>
      <c r="N306" s="32">
        <f t="shared" si="62"/>
        <v>0.35416666666666663</v>
      </c>
      <c r="O306" s="36">
        <v>510</v>
      </c>
      <c r="P306" s="36">
        <f t="shared" si="54"/>
        <v>380</v>
      </c>
      <c r="Q306" s="36">
        <f t="shared" si="55"/>
        <v>380</v>
      </c>
      <c r="R306" s="15">
        <v>0</v>
      </c>
      <c r="S306" s="20">
        <v>0</v>
      </c>
      <c r="T306" s="16">
        <v>0</v>
      </c>
      <c r="U306" s="16">
        <v>0</v>
      </c>
      <c r="V306" s="20">
        <v>0</v>
      </c>
      <c r="W306" s="20">
        <v>0</v>
      </c>
      <c r="X306" s="20">
        <v>0</v>
      </c>
      <c r="Y306" s="20">
        <v>0</v>
      </c>
      <c r="Z306" s="20">
        <v>0</v>
      </c>
      <c r="AA306" s="20">
        <v>0</v>
      </c>
      <c r="AB306" s="20">
        <v>0</v>
      </c>
      <c r="AC306" s="20">
        <v>0</v>
      </c>
      <c r="AD306" s="15">
        <f t="shared" si="61"/>
        <v>0</v>
      </c>
      <c r="AE306" s="15">
        <v>0</v>
      </c>
      <c r="AF306" s="15">
        <v>0</v>
      </c>
      <c r="AG306" s="15">
        <v>0</v>
      </c>
      <c r="AH306" s="15">
        <v>60</v>
      </c>
      <c r="AI306" s="15">
        <v>0</v>
      </c>
      <c r="AJ306" s="15">
        <v>30</v>
      </c>
      <c r="AK306" s="15">
        <v>10</v>
      </c>
      <c r="AL306" s="15">
        <v>30</v>
      </c>
      <c r="AM306" s="15">
        <f t="shared" si="60"/>
        <v>130</v>
      </c>
      <c r="AN306" s="29">
        <f t="shared" si="56"/>
        <v>712.5</v>
      </c>
      <c r="AO306" s="19">
        <v>606</v>
      </c>
      <c r="AP306" s="21">
        <v>0</v>
      </c>
      <c r="AQ306" s="22">
        <v>5</v>
      </c>
      <c r="AR306" s="26">
        <f t="shared" si="64"/>
        <v>601</v>
      </c>
      <c r="AS306" s="37">
        <f t="shared" si="57"/>
        <v>1</v>
      </c>
      <c r="AT306" s="38">
        <f t="shared" si="63"/>
        <v>0.85052631578947369</v>
      </c>
      <c r="AU306" s="38">
        <f t="shared" si="58"/>
        <v>0.9917491749174917</v>
      </c>
      <c r="AV306" s="27">
        <f t="shared" si="59"/>
        <v>0.84350877192982454</v>
      </c>
    </row>
    <row r="307" spans="1:48" s="1" customFormat="1" ht="21" customHeight="1" x14ac:dyDescent="0.25">
      <c r="A307" s="109">
        <v>46043</v>
      </c>
      <c r="B307" s="47" t="s">
        <v>49</v>
      </c>
      <c r="C307" s="78" t="s">
        <v>51</v>
      </c>
      <c r="D307" s="47" t="s">
        <v>89</v>
      </c>
      <c r="E307" s="48">
        <v>98992</v>
      </c>
      <c r="F307" s="48" t="s">
        <v>169</v>
      </c>
      <c r="G307" s="48" t="s">
        <v>87</v>
      </c>
      <c r="H307" s="30">
        <v>11682</v>
      </c>
      <c r="I307" s="30"/>
      <c r="J307" s="30">
        <v>32</v>
      </c>
      <c r="K307" s="28">
        <f t="shared" si="53"/>
        <v>112.5</v>
      </c>
      <c r="L307" s="31">
        <v>0.58333333333333337</v>
      </c>
      <c r="M307" s="31">
        <v>0.9375</v>
      </c>
      <c r="N307" s="32">
        <f t="shared" si="62"/>
        <v>0.35416666666666663</v>
      </c>
      <c r="O307" s="36">
        <v>510</v>
      </c>
      <c r="P307" s="36">
        <f t="shared" si="54"/>
        <v>380</v>
      </c>
      <c r="Q307" s="36">
        <f t="shared" si="55"/>
        <v>380</v>
      </c>
      <c r="R307" s="15">
        <v>0</v>
      </c>
      <c r="S307" s="20">
        <v>0</v>
      </c>
      <c r="T307" s="16">
        <v>0</v>
      </c>
      <c r="U307" s="16">
        <v>0</v>
      </c>
      <c r="V307" s="20">
        <v>0</v>
      </c>
      <c r="W307" s="20">
        <v>0</v>
      </c>
      <c r="X307" s="20">
        <v>0</v>
      </c>
      <c r="Y307" s="20">
        <v>0</v>
      </c>
      <c r="Z307" s="20">
        <v>0</v>
      </c>
      <c r="AA307" s="20">
        <v>0</v>
      </c>
      <c r="AB307" s="20">
        <v>0</v>
      </c>
      <c r="AC307" s="20">
        <v>0</v>
      </c>
      <c r="AD307" s="15">
        <f t="shared" si="61"/>
        <v>0</v>
      </c>
      <c r="AE307" s="15">
        <v>0</v>
      </c>
      <c r="AF307" s="15">
        <v>0</v>
      </c>
      <c r="AG307" s="15">
        <v>0</v>
      </c>
      <c r="AH307" s="15">
        <v>60</v>
      </c>
      <c r="AI307" s="15">
        <v>0</v>
      </c>
      <c r="AJ307" s="15">
        <v>30</v>
      </c>
      <c r="AK307" s="15">
        <v>10</v>
      </c>
      <c r="AL307" s="15">
        <v>30</v>
      </c>
      <c r="AM307" s="15">
        <f t="shared" si="60"/>
        <v>130</v>
      </c>
      <c r="AN307" s="29">
        <f t="shared" si="56"/>
        <v>712.5</v>
      </c>
      <c r="AO307" s="19">
        <v>565</v>
      </c>
      <c r="AP307" s="21">
        <v>0</v>
      </c>
      <c r="AQ307" s="22">
        <v>0</v>
      </c>
      <c r="AR307" s="26">
        <f t="shared" si="64"/>
        <v>565</v>
      </c>
      <c r="AS307" s="37">
        <f t="shared" si="57"/>
        <v>1</v>
      </c>
      <c r="AT307" s="38">
        <f t="shared" si="63"/>
        <v>0.7929824561403509</v>
      </c>
      <c r="AU307" s="38">
        <f t="shared" si="58"/>
        <v>1</v>
      </c>
      <c r="AV307" s="27">
        <f t="shared" si="59"/>
        <v>0.7929824561403509</v>
      </c>
    </row>
    <row r="308" spans="1:48" s="1" customFormat="1" ht="21" customHeight="1" x14ac:dyDescent="0.25">
      <c r="A308" s="109">
        <v>46043</v>
      </c>
      <c r="B308" s="47" t="s">
        <v>49</v>
      </c>
      <c r="C308" s="78" t="s">
        <v>51</v>
      </c>
      <c r="D308" s="47" t="s">
        <v>52</v>
      </c>
      <c r="E308" s="48">
        <v>98992</v>
      </c>
      <c r="F308" s="48" t="s">
        <v>53</v>
      </c>
      <c r="G308" s="48" t="s">
        <v>87</v>
      </c>
      <c r="H308" s="30">
        <v>15688</v>
      </c>
      <c r="I308" s="30"/>
      <c r="J308" s="30">
        <v>32</v>
      </c>
      <c r="K308" s="28">
        <f t="shared" si="53"/>
        <v>112.5</v>
      </c>
      <c r="L308" s="31">
        <v>0.58333333333333337</v>
      </c>
      <c r="M308" s="31">
        <v>0.9375</v>
      </c>
      <c r="N308" s="32">
        <f t="shared" si="62"/>
        <v>0.35416666666666663</v>
      </c>
      <c r="O308" s="36">
        <v>510</v>
      </c>
      <c r="P308" s="36">
        <f t="shared" si="54"/>
        <v>440</v>
      </c>
      <c r="Q308" s="36">
        <f t="shared" si="55"/>
        <v>440</v>
      </c>
      <c r="R308" s="15">
        <v>0</v>
      </c>
      <c r="S308" s="20">
        <v>0</v>
      </c>
      <c r="T308" s="16">
        <v>0</v>
      </c>
      <c r="U308" s="16">
        <v>0</v>
      </c>
      <c r="V308" s="20">
        <v>0</v>
      </c>
      <c r="W308" s="20">
        <v>0</v>
      </c>
      <c r="X308" s="20">
        <v>0</v>
      </c>
      <c r="Y308" s="20">
        <v>0</v>
      </c>
      <c r="Z308" s="20">
        <v>0</v>
      </c>
      <c r="AA308" s="20">
        <v>0</v>
      </c>
      <c r="AB308" s="20">
        <v>0</v>
      </c>
      <c r="AC308" s="20">
        <v>0</v>
      </c>
      <c r="AD308" s="15">
        <f t="shared" si="61"/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30</v>
      </c>
      <c r="AK308" s="15">
        <v>10</v>
      </c>
      <c r="AL308" s="15">
        <v>30</v>
      </c>
      <c r="AM308" s="15">
        <f t="shared" si="60"/>
        <v>70</v>
      </c>
      <c r="AN308" s="29">
        <f t="shared" si="56"/>
        <v>825</v>
      </c>
      <c r="AO308" s="19">
        <v>756</v>
      </c>
      <c r="AP308" s="21">
        <v>0</v>
      </c>
      <c r="AQ308" s="22">
        <v>0</v>
      </c>
      <c r="AR308" s="26">
        <f t="shared" si="64"/>
        <v>756</v>
      </c>
      <c r="AS308" s="37">
        <f t="shared" si="57"/>
        <v>1</v>
      </c>
      <c r="AT308" s="38">
        <f t="shared" si="63"/>
        <v>0.91636363636363638</v>
      </c>
      <c r="AU308" s="38">
        <f t="shared" si="58"/>
        <v>1</v>
      </c>
      <c r="AV308" s="27">
        <f t="shared" si="59"/>
        <v>0.91636363636363638</v>
      </c>
    </row>
    <row r="309" spans="1:48" s="1" customFormat="1" ht="21" customHeight="1" x14ac:dyDescent="0.25">
      <c r="A309" s="109">
        <v>46043</v>
      </c>
      <c r="B309" s="47" t="s">
        <v>49</v>
      </c>
      <c r="C309" s="78" t="s">
        <v>51</v>
      </c>
      <c r="D309" s="47" t="s">
        <v>86</v>
      </c>
      <c r="E309" s="48">
        <v>98992</v>
      </c>
      <c r="F309" s="48" t="s">
        <v>176</v>
      </c>
      <c r="G309" s="48" t="s">
        <v>87</v>
      </c>
      <c r="H309" s="30">
        <v>15859</v>
      </c>
      <c r="I309" s="30"/>
      <c r="J309" s="30">
        <v>20</v>
      </c>
      <c r="K309" s="28">
        <f t="shared" si="53"/>
        <v>180</v>
      </c>
      <c r="L309" s="31">
        <v>0.58333333333333337</v>
      </c>
      <c r="M309" s="31">
        <v>0.9375</v>
      </c>
      <c r="N309" s="32">
        <f t="shared" si="62"/>
        <v>0.35416666666666663</v>
      </c>
      <c r="O309" s="36">
        <v>510</v>
      </c>
      <c r="P309" s="36">
        <f t="shared" si="54"/>
        <v>320</v>
      </c>
      <c r="Q309" s="36">
        <f t="shared" si="55"/>
        <v>320</v>
      </c>
      <c r="R309" s="15">
        <v>0</v>
      </c>
      <c r="S309" s="20">
        <v>0</v>
      </c>
      <c r="T309" s="16">
        <v>0</v>
      </c>
      <c r="U309" s="16">
        <v>0</v>
      </c>
      <c r="V309" s="20">
        <v>0</v>
      </c>
      <c r="W309" s="20">
        <v>0</v>
      </c>
      <c r="X309" s="20">
        <v>0</v>
      </c>
      <c r="Y309" s="20">
        <v>0</v>
      </c>
      <c r="Z309" s="20">
        <v>0</v>
      </c>
      <c r="AA309" s="20">
        <v>0</v>
      </c>
      <c r="AB309" s="20">
        <v>0</v>
      </c>
      <c r="AC309" s="20">
        <v>0</v>
      </c>
      <c r="AD309" s="15">
        <f t="shared" si="61"/>
        <v>0</v>
      </c>
      <c r="AE309" s="15">
        <v>0</v>
      </c>
      <c r="AF309" s="15">
        <v>0</v>
      </c>
      <c r="AG309" s="15">
        <v>0</v>
      </c>
      <c r="AH309" s="15">
        <v>120</v>
      </c>
      <c r="AI309" s="15">
        <v>0</v>
      </c>
      <c r="AJ309" s="15">
        <v>30</v>
      </c>
      <c r="AK309" s="15">
        <v>10</v>
      </c>
      <c r="AL309" s="15">
        <v>30</v>
      </c>
      <c r="AM309" s="15">
        <f t="shared" si="60"/>
        <v>190</v>
      </c>
      <c r="AN309" s="29">
        <f t="shared" si="56"/>
        <v>960</v>
      </c>
      <c r="AO309" s="19">
        <v>780</v>
      </c>
      <c r="AP309" s="21">
        <v>0</v>
      </c>
      <c r="AQ309" s="22">
        <v>0</v>
      </c>
      <c r="AR309" s="26">
        <f t="shared" si="64"/>
        <v>780</v>
      </c>
      <c r="AS309" s="37">
        <f t="shared" si="57"/>
        <v>1</v>
      </c>
      <c r="AT309" s="38">
        <f t="shared" si="63"/>
        <v>0.8125</v>
      </c>
      <c r="AU309" s="38">
        <f t="shared" si="58"/>
        <v>1</v>
      </c>
      <c r="AV309" s="27">
        <f t="shared" si="59"/>
        <v>0.8125</v>
      </c>
    </row>
    <row r="310" spans="1:48" s="1" customFormat="1" ht="21" customHeight="1" x14ac:dyDescent="0.25">
      <c r="A310" s="109">
        <v>46043</v>
      </c>
      <c r="B310" s="47" t="s">
        <v>49</v>
      </c>
      <c r="C310" s="78" t="s">
        <v>51</v>
      </c>
      <c r="D310" s="47" t="s">
        <v>172</v>
      </c>
      <c r="E310" s="48">
        <v>98992</v>
      </c>
      <c r="F310" s="48" t="s">
        <v>175</v>
      </c>
      <c r="G310" s="48" t="s">
        <v>87</v>
      </c>
      <c r="H310" s="30">
        <v>15838</v>
      </c>
      <c r="I310" s="30"/>
      <c r="J310" s="30">
        <v>20</v>
      </c>
      <c r="K310" s="28">
        <f t="shared" si="53"/>
        <v>180</v>
      </c>
      <c r="L310" s="31">
        <v>0.58333333333333337</v>
      </c>
      <c r="M310" s="31">
        <v>0.9375</v>
      </c>
      <c r="N310" s="32">
        <f t="shared" si="62"/>
        <v>0.35416666666666663</v>
      </c>
      <c r="O310" s="36">
        <v>510</v>
      </c>
      <c r="P310" s="36">
        <f t="shared" si="54"/>
        <v>260</v>
      </c>
      <c r="Q310" s="36">
        <f t="shared" si="55"/>
        <v>260</v>
      </c>
      <c r="R310" s="15">
        <v>0</v>
      </c>
      <c r="S310" s="20">
        <v>0</v>
      </c>
      <c r="T310" s="16">
        <v>0</v>
      </c>
      <c r="U310" s="16">
        <v>0</v>
      </c>
      <c r="V310" s="20">
        <v>0</v>
      </c>
      <c r="W310" s="20">
        <v>0</v>
      </c>
      <c r="X310" s="20">
        <v>0</v>
      </c>
      <c r="Y310" s="20">
        <v>0</v>
      </c>
      <c r="Z310" s="20">
        <v>0</v>
      </c>
      <c r="AA310" s="20">
        <v>0</v>
      </c>
      <c r="AB310" s="20">
        <v>0</v>
      </c>
      <c r="AC310" s="20">
        <v>0</v>
      </c>
      <c r="AD310" s="15">
        <f t="shared" si="61"/>
        <v>0</v>
      </c>
      <c r="AE310" s="15">
        <v>0</v>
      </c>
      <c r="AF310" s="15">
        <v>0</v>
      </c>
      <c r="AG310" s="15">
        <v>0</v>
      </c>
      <c r="AH310" s="15">
        <v>180</v>
      </c>
      <c r="AI310" s="15">
        <v>0</v>
      </c>
      <c r="AJ310" s="15">
        <v>30</v>
      </c>
      <c r="AK310" s="15">
        <v>10</v>
      </c>
      <c r="AL310" s="15">
        <v>30</v>
      </c>
      <c r="AM310" s="15">
        <f t="shared" si="60"/>
        <v>250</v>
      </c>
      <c r="AN310" s="29">
        <f t="shared" si="56"/>
        <v>780</v>
      </c>
      <c r="AO310" s="19">
        <v>660</v>
      </c>
      <c r="AP310" s="21">
        <v>0</v>
      </c>
      <c r="AQ310" s="22">
        <v>0</v>
      </c>
      <c r="AR310" s="26">
        <f t="shared" si="64"/>
        <v>660</v>
      </c>
      <c r="AS310" s="37">
        <f t="shared" si="57"/>
        <v>1</v>
      </c>
      <c r="AT310" s="38">
        <f t="shared" si="63"/>
        <v>0.84615384615384615</v>
      </c>
      <c r="AU310" s="38">
        <f t="shared" si="58"/>
        <v>1</v>
      </c>
      <c r="AV310" s="27">
        <f t="shared" si="59"/>
        <v>0.84615384615384615</v>
      </c>
    </row>
    <row r="311" spans="1:48" s="1" customFormat="1" ht="21" customHeight="1" x14ac:dyDescent="0.25">
      <c r="A311" s="109">
        <v>46043</v>
      </c>
      <c r="B311" s="47" t="s">
        <v>49</v>
      </c>
      <c r="C311" s="78" t="s">
        <v>51</v>
      </c>
      <c r="D311" s="47" t="s">
        <v>124</v>
      </c>
      <c r="E311" s="48">
        <v>98992</v>
      </c>
      <c r="F311" s="48" t="s">
        <v>215</v>
      </c>
      <c r="G311" s="48" t="s">
        <v>125</v>
      </c>
      <c r="H311" s="30">
        <v>14972</v>
      </c>
      <c r="I311" s="30"/>
      <c r="J311" s="30">
        <v>32</v>
      </c>
      <c r="K311" s="28">
        <f t="shared" si="53"/>
        <v>112.5</v>
      </c>
      <c r="L311" s="31">
        <v>0.58333333333333337</v>
      </c>
      <c r="M311" s="31">
        <v>0.9375</v>
      </c>
      <c r="N311" s="32">
        <f t="shared" si="62"/>
        <v>0.35416666666666663</v>
      </c>
      <c r="O311" s="36">
        <v>510</v>
      </c>
      <c r="P311" s="36">
        <f t="shared" si="54"/>
        <v>380</v>
      </c>
      <c r="Q311" s="36">
        <f t="shared" si="55"/>
        <v>380</v>
      </c>
      <c r="R311" s="15">
        <v>0</v>
      </c>
      <c r="S311" s="20">
        <v>0</v>
      </c>
      <c r="T311" s="16">
        <v>0</v>
      </c>
      <c r="U311" s="16">
        <v>0</v>
      </c>
      <c r="V311" s="20">
        <v>0</v>
      </c>
      <c r="W311" s="20">
        <v>0</v>
      </c>
      <c r="X311" s="20">
        <v>0</v>
      </c>
      <c r="Y311" s="20">
        <v>0</v>
      </c>
      <c r="Z311" s="20">
        <v>0</v>
      </c>
      <c r="AA311" s="20">
        <v>0</v>
      </c>
      <c r="AB311" s="20">
        <v>0</v>
      </c>
      <c r="AC311" s="20">
        <v>0</v>
      </c>
      <c r="AD311" s="15">
        <f t="shared" si="61"/>
        <v>0</v>
      </c>
      <c r="AE311" s="15">
        <v>0</v>
      </c>
      <c r="AF311" s="15">
        <v>0</v>
      </c>
      <c r="AG311" s="15">
        <v>0</v>
      </c>
      <c r="AH311" s="15">
        <v>60</v>
      </c>
      <c r="AI311" s="15">
        <v>0</v>
      </c>
      <c r="AJ311" s="15">
        <v>30</v>
      </c>
      <c r="AK311" s="15">
        <v>10</v>
      </c>
      <c r="AL311" s="15">
        <v>30</v>
      </c>
      <c r="AM311" s="15">
        <f t="shared" si="60"/>
        <v>130</v>
      </c>
      <c r="AN311" s="29">
        <f t="shared" si="56"/>
        <v>712.5</v>
      </c>
      <c r="AO311" s="19">
        <v>650</v>
      </c>
      <c r="AP311" s="21">
        <v>0</v>
      </c>
      <c r="AQ311" s="22">
        <v>3</v>
      </c>
      <c r="AR311" s="26">
        <f t="shared" si="64"/>
        <v>647</v>
      </c>
      <c r="AS311" s="37">
        <f t="shared" si="57"/>
        <v>1</v>
      </c>
      <c r="AT311" s="38">
        <f t="shared" si="63"/>
        <v>0.91228070175438591</v>
      </c>
      <c r="AU311" s="38">
        <f t="shared" si="58"/>
        <v>0.99538461538461542</v>
      </c>
      <c r="AV311" s="27">
        <f t="shared" si="59"/>
        <v>0.90807017543859647</v>
      </c>
    </row>
    <row r="312" spans="1:48" s="1" customFormat="1" ht="21" customHeight="1" x14ac:dyDescent="0.25">
      <c r="A312" s="109">
        <v>46043</v>
      </c>
      <c r="B312" s="47" t="s">
        <v>49</v>
      </c>
      <c r="C312" s="78" t="s">
        <v>51</v>
      </c>
      <c r="D312" s="47" t="s">
        <v>122</v>
      </c>
      <c r="E312" s="48">
        <v>98992</v>
      </c>
      <c r="F312" s="48" t="s">
        <v>169</v>
      </c>
      <c r="G312" s="48" t="s">
        <v>125</v>
      </c>
      <c r="H312" s="30">
        <v>15676</v>
      </c>
      <c r="I312" s="30"/>
      <c r="J312" s="30">
        <v>32</v>
      </c>
      <c r="K312" s="28">
        <f t="shared" si="53"/>
        <v>112.5</v>
      </c>
      <c r="L312" s="31">
        <v>0.58333333333333337</v>
      </c>
      <c r="M312" s="31">
        <v>0.9375</v>
      </c>
      <c r="N312" s="32">
        <f t="shared" si="62"/>
        <v>0.35416666666666663</v>
      </c>
      <c r="O312" s="36">
        <v>510</v>
      </c>
      <c r="P312" s="36">
        <f t="shared" si="54"/>
        <v>380</v>
      </c>
      <c r="Q312" s="36">
        <f t="shared" si="55"/>
        <v>380</v>
      </c>
      <c r="R312" s="15">
        <v>0</v>
      </c>
      <c r="S312" s="20">
        <v>0</v>
      </c>
      <c r="T312" s="16">
        <v>0</v>
      </c>
      <c r="U312" s="16">
        <v>0</v>
      </c>
      <c r="V312" s="20">
        <v>0</v>
      </c>
      <c r="W312" s="20">
        <v>0</v>
      </c>
      <c r="X312" s="20">
        <v>0</v>
      </c>
      <c r="Y312" s="20">
        <v>0</v>
      </c>
      <c r="Z312" s="20">
        <v>0</v>
      </c>
      <c r="AA312" s="20">
        <v>0</v>
      </c>
      <c r="AB312" s="20">
        <v>0</v>
      </c>
      <c r="AC312" s="20">
        <v>0</v>
      </c>
      <c r="AD312" s="15">
        <f t="shared" si="61"/>
        <v>0</v>
      </c>
      <c r="AE312" s="15">
        <v>0</v>
      </c>
      <c r="AF312" s="15">
        <v>0</v>
      </c>
      <c r="AG312" s="15">
        <v>0</v>
      </c>
      <c r="AH312" s="15">
        <v>60</v>
      </c>
      <c r="AI312" s="15">
        <v>0</v>
      </c>
      <c r="AJ312" s="15">
        <v>30</v>
      </c>
      <c r="AK312" s="15">
        <v>10</v>
      </c>
      <c r="AL312" s="15">
        <v>30</v>
      </c>
      <c r="AM312" s="15">
        <f t="shared" si="60"/>
        <v>130</v>
      </c>
      <c r="AN312" s="29">
        <f t="shared" si="56"/>
        <v>712.5</v>
      </c>
      <c r="AO312" s="19">
        <v>551</v>
      </c>
      <c r="AP312" s="21">
        <v>0</v>
      </c>
      <c r="AQ312" s="22">
        <v>4</v>
      </c>
      <c r="AR312" s="26">
        <f t="shared" si="64"/>
        <v>547</v>
      </c>
      <c r="AS312" s="37">
        <f t="shared" si="57"/>
        <v>1</v>
      </c>
      <c r="AT312" s="38">
        <f t="shared" si="63"/>
        <v>0.77333333333333332</v>
      </c>
      <c r="AU312" s="38">
        <f t="shared" si="58"/>
        <v>0.99274047186932846</v>
      </c>
      <c r="AV312" s="27">
        <f t="shared" si="59"/>
        <v>0.76771929824561402</v>
      </c>
    </row>
    <row r="313" spans="1:48" s="1" customFormat="1" ht="21" customHeight="1" x14ac:dyDescent="0.25">
      <c r="A313" s="109">
        <v>46043</v>
      </c>
      <c r="B313" s="47" t="s">
        <v>49</v>
      </c>
      <c r="C313" s="78" t="s">
        <v>51</v>
      </c>
      <c r="D313" s="47" t="s">
        <v>128</v>
      </c>
      <c r="E313" s="48">
        <v>98992</v>
      </c>
      <c r="F313" s="48" t="s">
        <v>53</v>
      </c>
      <c r="G313" s="48" t="s">
        <v>125</v>
      </c>
      <c r="H313" s="30">
        <v>15632</v>
      </c>
      <c r="I313" s="30"/>
      <c r="J313" s="30">
        <v>32</v>
      </c>
      <c r="K313" s="28">
        <f t="shared" si="53"/>
        <v>112.5</v>
      </c>
      <c r="L313" s="31">
        <v>0.58333333333333337</v>
      </c>
      <c r="M313" s="31">
        <v>0.9375</v>
      </c>
      <c r="N313" s="32">
        <f t="shared" si="62"/>
        <v>0.35416666666666663</v>
      </c>
      <c r="O313" s="36">
        <v>510</v>
      </c>
      <c r="P313" s="36">
        <f t="shared" si="54"/>
        <v>440</v>
      </c>
      <c r="Q313" s="36">
        <f t="shared" si="55"/>
        <v>440</v>
      </c>
      <c r="R313" s="15">
        <v>0</v>
      </c>
      <c r="S313" s="20">
        <v>0</v>
      </c>
      <c r="T313" s="16">
        <v>0</v>
      </c>
      <c r="U313" s="16">
        <v>0</v>
      </c>
      <c r="V313" s="20">
        <v>0</v>
      </c>
      <c r="W313" s="20">
        <v>0</v>
      </c>
      <c r="X313" s="20">
        <v>0</v>
      </c>
      <c r="Y313" s="20">
        <v>0</v>
      </c>
      <c r="Z313" s="20">
        <v>0</v>
      </c>
      <c r="AA313" s="20">
        <v>0</v>
      </c>
      <c r="AB313" s="20">
        <v>0</v>
      </c>
      <c r="AC313" s="20">
        <v>0</v>
      </c>
      <c r="AD313" s="15">
        <f t="shared" si="61"/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  <c r="AJ313" s="15">
        <v>30</v>
      </c>
      <c r="AK313" s="15">
        <v>10</v>
      </c>
      <c r="AL313" s="15">
        <v>30</v>
      </c>
      <c r="AM313" s="15">
        <f t="shared" si="60"/>
        <v>70</v>
      </c>
      <c r="AN313" s="29">
        <f t="shared" si="56"/>
        <v>825</v>
      </c>
      <c r="AO313" s="19">
        <f>120+580</f>
        <v>700</v>
      </c>
      <c r="AP313" s="21">
        <v>0</v>
      </c>
      <c r="AQ313" s="22">
        <v>0</v>
      </c>
      <c r="AR313" s="26">
        <f t="shared" si="64"/>
        <v>700</v>
      </c>
      <c r="AS313" s="37">
        <f t="shared" si="57"/>
        <v>1</v>
      </c>
      <c r="AT313" s="38">
        <f t="shared" si="63"/>
        <v>0.84848484848484851</v>
      </c>
      <c r="AU313" s="38">
        <f t="shared" si="58"/>
        <v>1</v>
      </c>
      <c r="AV313" s="27">
        <f t="shared" si="59"/>
        <v>0.84848484848484851</v>
      </c>
    </row>
    <row r="314" spans="1:48" s="1" customFormat="1" ht="21" customHeight="1" x14ac:dyDescent="0.25">
      <c r="A314" s="109">
        <v>46043</v>
      </c>
      <c r="B314" s="47" t="s">
        <v>49</v>
      </c>
      <c r="C314" s="78" t="s">
        <v>51</v>
      </c>
      <c r="D314" s="47" t="s">
        <v>170</v>
      </c>
      <c r="E314" s="48">
        <v>98992</v>
      </c>
      <c r="F314" s="48" t="s">
        <v>176</v>
      </c>
      <c r="G314" s="48" t="s">
        <v>125</v>
      </c>
      <c r="H314" s="30">
        <v>15773</v>
      </c>
      <c r="I314" s="30"/>
      <c r="J314" s="30">
        <v>20</v>
      </c>
      <c r="K314" s="28">
        <f t="shared" si="53"/>
        <v>180</v>
      </c>
      <c r="L314" s="31">
        <v>0.58333333333333337</v>
      </c>
      <c r="M314" s="31">
        <v>0.9375</v>
      </c>
      <c r="N314" s="32">
        <f t="shared" si="62"/>
        <v>0.35416666666666663</v>
      </c>
      <c r="O314" s="36">
        <v>510</v>
      </c>
      <c r="P314" s="36">
        <f t="shared" si="54"/>
        <v>260</v>
      </c>
      <c r="Q314" s="36">
        <f t="shared" si="55"/>
        <v>260</v>
      </c>
      <c r="R314" s="15">
        <v>0</v>
      </c>
      <c r="S314" s="20">
        <v>0</v>
      </c>
      <c r="T314" s="16">
        <v>0</v>
      </c>
      <c r="U314" s="16">
        <v>0</v>
      </c>
      <c r="V314" s="20">
        <v>0</v>
      </c>
      <c r="W314" s="20">
        <v>0</v>
      </c>
      <c r="X314" s="20">
        <v>0</v>
      </c>
      <c r="Y314" s="20">
        <v>0</v>
      </c>
      <c r="Z314" s="20">
        <v>0</v>
      </c>
      <c r="AA314" s="20">
        <v>0</v>
      </c>
      <c r="AB314" s="20">
        <v>0</v>
      </c>
      <c r="AC314" s="20">
        <v>0</v>
      </c>
      <c r="AD314" s="15">
        <f t="shared" si="61"/>
        <v>0</v>
      </c>
      <c r="AE314" s="15">
        <v>0</v>
      </c>
      <c r="AF314" s="15">
        <v>0</v>
      </c>
      <c r="AG314" s="15">
        <v>0</v>
      </c>
      <c r="AH314" s="15">
        <v>180</v>
      </c>
      <c r="AI314" s="15">
        <v>0</v>
      </c>
      <c r="AJ314" s="15">
        <v>30</v>
      </c>
      <c r="AK314" s="15">
        <v>10</v>
      </c>
      <c r="AL314" s="15">
        <v>30</v>
      </c>
      <c r="AM314" s="15">
        <f t="shared" si="60"/>
        <v>250</v>
      </c>
      <c r="AN314" s="29">
        <f t="shared" si="56"/>
        <v>780</v>
      </c>
      <c r="AO314" s="19">
        <f>300+300</f>
        <v>600</v>
      </c>
      <c r="AP314" s="21">
        <v>0</v>
      </c>
      <c r="AQ314" s="22">
        <v>0</v>
      </c>
      <c r="AR314" s="26">
        <f t="shared" si="64"/>
        <v>600</v>
      </c>
      <c r="AS314" s="37">
        <f t="shared" si="57"/>
        <v>1</v>
      </c>
      <c r="AT314" s="38">
        <f t="shared" si="63"/>
        <v>0.76923076923076927</v>
      </c>
      <c r="AU314" s="38">
        <f t="shared" si="58"/>
        <v>1</v>
      </c>
      <c r="AV314" s="27">
        <f t="shared" si="59"/>
        <v>0.76923076923076927</v>
      </c>
    </row>
    <row r="315" spans="1:48" s="1" customFormat="1" ht="21" customHeight="1" x14ac:dyDescent="0.25">
      <c r="A315" s="109">
        <v>46043</v>
      </c>
      <c r="B315" s="47" t="s">
        <v>49</v>
      </c>
      <c r="C315" s="79" t="s">
        <v>51</v>
      </c>
      <c r="D315" s="47" t="s">
        <v>127</v>
      </c>
      <c r="E315" s="48">
        <v>98992</v>
      </c>
      <c r="F315" s="48" t="s">
        <v>175</v>
      </c>
      <c r="G315" s="48" t="s">
        <v>125</v>
      </c>
      <c r="H315" s="30">
        <v>15851</v>
      </c>
      <c r="I315" s="30"/>
      <c r="J315" s="30">
        <v>20</v>
      </c>
      <c r="K315" s="28">
        <f t="shared" si="53"/>
        <v>180</v>
      </c>
      <c r="L315" s="31">
        <v>0.58333333333333337</v>
      </c>
      <c r="M315" s="31">
        <v>0.9375</v>
      </c>
      <c r="N315" s="32">
        <f t="shared" si="62"/>
        <v>0.35416666666666663</v>
      </c>
      <c r="O315" s="36">
        <v>510</v>
      </c>
      <c r="P315" s="36">
        <f t="shared" si="54"/>
        <v>200</v>
      </c>
      <c r="Q315" s="36">
        <f t="shared" si="55"/>
        <v>200</v>
      </c>
      <c r="R315" s="15">
        <v>0</v>
      </c>
      <c r="S315" s="20">
        <v>0</v>
      </c>
      <c r="T315" s="16">
        <v>0</v>
      </c>
      <c r="U315" s="16">
        <v>0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15">
        <f t="shared" si="61"/>
        <v>0</v>
      </c>
      <c r="AE315" s="15">
        <v>0</v>
      </c>
      <c r="AF315" s="15">
        <v>0</v>
      </c>
      <c r="AG315" s="15">
        <v>0</v>
      </c>
      <c r="AH315" s="15">
        <v>240</v>
      </c>
      <c r="AI315" s="15">
        <v>0</v>
      </c>
      <c r="AJ315" s="15">
        <v>30</v>
      </c>
      <c r="AK315" s="15">
        <v>10</v>
      </c>
      <c r="AL315" s="15">
        <v>30</v>
      </c>
      <c r="AM315" s="15">
        <f t="shared" si="60"/>
        <v>310</v>
      </c>
      <c r="AN315" s="29">
        <f t="shared" si="56"/>
        <v>600</v>
      </c>
      <c r="AO315" s="19">
        <v>348</v>
      </c>
      <c r="AP315" s="21">
        <v>0</v>
      </c>
      <c r="AQ315" s="22">
        <v>0</v>
      </c>
      <c r="AR315" s="26">
        <f t="shared" si="64"/>
        <v>348</v>
      </c>
      <c r="AS315" s="37">
        <f t="shared" si="57"/>
        <v>1</v>
      </c>
      <c r="AT315" s="38">
        <f t="shared" si="63"/>
        <v>0.57999999999999996</v>
      </c>
      <c r="AU315" s="38">
        <f t="shared" si="58"/>
        <v>1</v>
      </c>
      <c r="AV315" s="27">
        <f t="shared" si="59"/>
        <v>0.57999999999999996</v>
      </c>
    </row>
    <row r="316" spans="1:48" s="1" customFormat="1" ht="21" customHeight="1" x14ac:dyDescent="0.25">
      <c r="A316" s="109">
        <v>46044</v>
      </c>
      <c r="B316" s="47" t="s">
        <v>49</v>
      </c>
      <c r="C316" s="79" t="s">
        <v>21</v>
      </c>
      <c r="D316" s="47" t="s">
        <v>94</v>
      </c>
      <c r="E316" s="48">
        <v>98992</v>
      </c>
      <c r="F316" s="48" t="s">
        <v>67</v>
      </c>
      <c r="G316" s="48" t="s">
        <v>174</v>
      </c>
      <c r="H316" s="30">
        <v>15728</v>
      </c>
      <c r="I316" s="30"/>
      <c r="J316" s="30">
        <v>24</v>
      </c>
      <c r="K316" s="28">
        <f t="shared" si="53"/>
        <v>150</v>
      </c>
      <c r="L316" s="31">
        <v>0.25</v>
      </c>
      <c r="M316" s="31">
        <v>0.60416666666666696</v>
      </c>
      <c r="N316" s="32">
        <f t="shared" si="62"/>
        <v>0.35416666666666696</v>
      </c>
      <c r="O316" s="36">
        <v>510</v>
      </c>
      <c r="P316" s="36">
        <f t="shared" si="54"/>
        <v>440</v>
      </c>
      <c r="Q316" s="36">
        <f t="shared" si="55"/>
        <v>440</v>
      </c>
      <c r="R316" s="15">
        <v>0</v>
      </c>
      <c r="S316" s="20">
        <v>0</v>
      </c>
      <c r="T316" s="16">
        <v>0</v>
      </c>
      <c r="U316" s="16">
        <v>0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15">
        <f t="shared" si="61"/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0</v>
      </c>
      <c r="AJ316" s="15">
        <v>30</v>
      </c>
      <c r="AK316" s="15">
        <v>10</v>
      </c>
      <c r="AL316" s="15">
        <v>30</v>
      </c>
      <c r="AM316" s="15">
        <f t="shared" si="60"/>
        <v>70</v>
      </c>
      <c r="AN316" s="29">
        <f t="shared" si="56"/>
        <v>1100</v>
      </c>
      <c r="AO316" s="19">
        <v>938</v>
      </c>
      <c r="AP316" s="21">
        <v>0</v>
      </c>
      <c r="AQ316" s="22">
        <v>2</v>
      </c>
      <c r="AR316" s="26">
        <f t="shared" si="64"/>
        <v>936</v>
      </c>
      <c r="AS316" s="37">
        <f t="shared" si="57"/>
        <v>1</v>
      </c>
      <c r="AT316" s="38">
        <f t="shared" si="63"/>
        <v>0.85272727272727278</v>
      </c>
      <c r="AU316" s="38">
        <f t="shared" si="58"/>
        <v>0.99786780383795304</v>
      </c>
      <c r="AV316" s="27">
        <f t="shared" si="59"/>
        <v>0.85090909090909095</v>
      </c>
    </row>
    <row r="317" spans="1:48" s="1" customFormat="1" ht="21" customHeight="1" x14ac:dyDescent="0.25">
      <c r="A317" s="109">
        <v>46044</v>
      </c>
      <c r="B317" s="47" t="s">
        <v>49</v>
      </c>
      <c r="C317" s="79" t="s">
        <v>21</v>
      </c>
      <c r="D317" s="47" t="s">
        <v>124</v>
      </c>
      <c r="E317" s="48">
        <v>98992</v>
      </c>
      <c r="F317" s="48" t="s">
        <v>215</v>
      </c>
      <c r="G317" s="48" t="s">
        <v>125</v>
      </c>
      <c r="H317" s="30">
        <v>13105</v>
      </c>
      <c r="I317" s="30"/>
      <c r="J317" s="30">
        <v>32</v>
      </c>
      <c r="K317" s="28">
        <f t="shared" si="53"/>
        <v>112.5</v>
      </c>
      <c r="L317" s="31">
        <v>0.25</v>
      </c>
      <c r="M317" s="31">
        <v>0.60416666666666696</v>
      </c>
      <c r="N317" s="32">
        <f t="shared" si="62"/>
        <v>0.35416666666666696</v>
      </c>
      <c r="O317" s="36">
        <v>510</v>
      </c>
      <c r="P317" s="36">
        <f t="shared" si="54"/>
        <v>440</v>
      </c>
      <c r="Q317" s="36">
        <f t="shared" si="55"/>
        <v>440</v>
      </c>
      <c r="R317" s="15">
        <v>0</v>
      </c>
      <c r="S317" s="20">
        <v>0</v>
      </c>
      <c r="T317" s="16">
        <v>0</v>
      </c>
      <c r="U317" s="16">
        <v>0</v>
      </c>
      <c r="V317" s="20">
        <v>0</v>
      </c>
      <c r="W317" s="20">
        <v>0</v>
      </c>
      <c r="X317" s="20">
        <v>0</v>
      </c>
      <c r="Y317" s="20">
        <v>0</v>
      </c>
      <c r="Z317" s="20">
        <v>0</v>
      </c>
      <c r="AA317" s="20">
        <v>0</v>
      </c>
      <c r="AB317" s="20">
        <v>0</v>
      </c>
      <c r="AC317" s="20">
        <v>0</v>
      </c>
      <c r="AD317" s="15">
        <f t="shared" si="61"/>
        <v>0</v>
      </c>
      <c r="AE317" s="15">
        <v>0</v>
      </c>
      <c r="AF317" s="15">
        <v>0</v>
      </c>
      <c r="AG317" s="15">
        <v>0</v>
      </c>
      <c r="AH317" s="15">
        <v>0</v>
      </c>
      <c r="AI317" s="15">
        <v>0</v>
      </c>
      <c r="AJ317" s="15">
        <v>30</v>
      </c>
      <c r="AK317" s="15">
        <v>10</v>
      </c>
      <c r="AL317" s="15">
        <v>30</v>
      </c>
      <c r="AM317" s="15">
        <f t="shared" si="60"/>
        <v>70</v>
      </c>
      <c r="AN317" s="29">
        <f t="shared" si="56"/>
        <v>825</v>
      </c>
      <c r="AO317" s="19">
        <v>800</v>
      </c>
      <c r="AP317" s="21">
        <v>0</v>
      </c>
      <c r="AQ317" s="22">
        <v>1</v>
      </c>
      <c r="AR317" s="26">
        <f t="shared" si="64"/>
        <v>799</v>
      </c>
      <c r="AS317" s="37">
        <f t="shared" si="57"/>
        <v>1</v>
      </c>
      <c r="AT317" s="38">
        <f t="shared" si="63"/>
        <v>0.96969696969696972</v>
      </c>
      <c r="AU317" s="38">
        <f t="shared" si="58"/>
        <v>0.99875000000000003</v>
      </c>
      <c r="AV317" s="27">
        <f t="shared" si="59"/>
        <v>0.9684848484848485</v>
      </c>
    </row>
    <row r="318" spans="1:48" s="1" customFormat="1" ht="21" customHeight="1" x14ac:dyDescent="0.25">
      <c r="A318" s="109">
        <v>46044</v>
      </c>
      <c r="B318" s="47" t="s">
        <v>49</v>
      </c>
      <c r="C318" s="79" t="s">
        <v>21</v>
      </c>
      <c r="D318" s="47" t="s">
        <v>128</v>
      </c>
      <c r="E318" s="48">
        <v>98992</v>
      </c>
      <c r="F318" s="48" t="s">
        <v>53</v>
      </c>
      <c r="G318" s="48" t="s">
        <v>125</v>
      </c>
      <c r="H318" s="30">
        <v>15710</v>
      </c>
      <c r="I318" s="30"/>
      <c r="J318" s="30">
        <v>32</v>
      </c>
      <c r="K318" s="28">
        <f t="shared" si="53"/>
        <v>112.5</v>
      </c>
      <c r="L318" s="31">
        <v>0.25</v>
      </c>
      <c r="M318" s="31">
        <v>0.60416666666666696</v>
      </c>
      <c r="N318" s="32">
        <f t="shared" si="62"/>
        <v>0.35416666666666696</v>
      </c>
      <c r="O318" s="36">
        <v>510</v>
      </c>
      <c r="P318" s="36">
        <f t="shared" si="54"/>
        <v>380</v>
      </c>
      <c r="Q318" s="36">
        <f t="shared" si="55"/>
        <v>380</v>
      </c>
      <c r="R318" s="15">
        <v>0</v>
      </c>
      <c r="S318" s="20">
        <v>0</v>
      </c>
      <c r="T318" s="16">
        <v>0</v>
      </c>
      <c r="U318" s="16">
        <v>0</v>
      </c>
      <c r="V318" s="20">
        <v>0</v>
      </c>
      <c r="W318" s="20">
        <v>0</v>
      </c>
      <c r="X318" s="20">
        <v>0</v>
      </c>
      <c r="Y318" s="20">
        <v>0</v>
      </c>
      <c r="Z318" s="20">
        <v>0</v>
      </c>
      <c r="AA318" s="20">
        <v>0</v>
      </c>
      <c r="AB318" s="20">
        <v>0</v>
      </c>
      <c r="AC318" s="20">
        <v>0</v>
      </c>
      <c r="AD318" s="15">
        <f t="shared" si="61"/>
        <v>0</v>
      </c>
      <c r="AE318" s="15">
        <v>0</v>
      </c>
      <c r="AF318" s="15">
        <v>0</v>
      </c>
      <c r="AG318" s="15">
        <v>0</v>
      </c>
      <c r="AH318" s="15">
        <v>60</v>
      </c>
      <c r="AI318" s="15">
        <v>0</v>
      </c>
      <c r="AJ318" s="15">
        <v>30</v>
      </c>
      <c r="AK318" s="15">
        <v>10</v>
      </c>
      <c r="AL318" s="15">
        <v>30</v>
      </c>
      <c r="AM318" s="15">
        <f t="shared" si="60"/>
        <v>130</v>
      </c>
      <c r="AN318" s="29">
        <f t="shared" si="56"/>
        <v>712.5</v>
      </c>
      <c r="AO318" s="19">
        <v>579</v>
      </c>
      <c r="AP318" s="21">
        <v>0</v>
      </c>
      <c r="AQ318" s="22">
        <v>1</v>
      </c>
      <c r="AR318" s="26">
        <f t="shared" si="64"/>
        <v>578</v>
      </c>
      <c r="AS318" s="37">
        <f t="shared" si="57"/>
        <v>1</v>
      </c>
      <c r="AT318" s="38">
        <f t="shared" si="63"/>
        <v>0.81263157894736837</v>
      </c>
      <c r="AU318" s="38">
        <f t="shared" si="58"/>
        <v>0.99827288428324701</v>
      </c>
      <c r="AV318" s="27">
        <f t="shared" si="59"/>
        <v>0.81122807017543852</v>
      </c>
    </row>
    <row r="319" spans="1:48" s="1" customFormat="1" ht="21" customHeight="1" x14ac:dyDescent="0.25">
      <c r="A319" s="109">
        <v>46044</v>
      </c>
      <c r="B319" s="47" t="s">
        <v>49</v>
      </c>
      <c r="C319" s="79" t="s">
        <v>21</v>
      </c>
      <c r="D319" s="47" t="s">
        <v>170</v>
      </c>
      <c r="E319" s="48">
        <v>98992</v>
      </c>
      <c r="F319" s="48" t="s">
        <v>176</v>
      </c>
      <c r="G319" s="48" t="s">
        <v>125</v>
      </c>
      <c r="H319" s="30">
        <v>15859</v>
      </c>
      <c r="I319" s="30"/>
      <c r="J319" s="30">
        <v>20</v>
      </c>
      <c r="K319" s="28">
        <f t="shared" si="53"/>
        <v>180</v>
      </c>
      <c r="L319" s="31">
        <v>0.25</v>
      </c>
      <c r="M319" s="31">
        <v>0.60416666666666696</v>
      </c>
      <c r="N319" s="32">
        <f t="shared" si="62"/>
        <v>0.35416666666666696</v>
      </c>
      <c r="O319" s="36">
        <v>510</v>
      </c>
      <c r="P319" s="36">
        <f t="shared" si="54"/>
        <v>320</v>
      </c>
      <c r="Q319" s="36">
        <f t="shared" si="55"/>
        <v>320</v>
      </c>
      <c r="R319" s="15">
        <v>0</v>
      </c>
      <c r="S319" s="20">
        <v>0</v>
      </c>
      <c r="T319" s="16">
        <v>0</v>
      </c>
      <c r="U319" s="16">
        <v>0</v>
      </c>
      <c r="V319" s="20">
        <v>0</v>
      </c>
      <c r="W319" s="20">
        <v>0</v>
      </c>
      <c r="X319" s="20">
        <v>0</v>
      </c>
      <c r="Y319" s="20">
        <v>0</v>
      </c>
      <c r="Z319" s="20">
        <v>0</v>
      </c>
      <c r="AA319" s="20">
        <v>0</v>
      </c>
      <c r="AB319" s="20">
        <v>0</v>
      </c>
      <c r="AC319" s="20">
        <v>0</v>
      </c>
      <c r="AD319" s="15">
        <f t="shared" si="61"/>
        <v>0</v>
      </c>
      <c r="AE319" s="15">
        <v>0</v>
      </c>
      <c r="AF319" s="15">
        <v>0</v>
      </c>
      <c r="AG319" s="15">
        <v>0</v>
      </c>
      <c r="AH319" s="15">
        <v>120</v>
      </c>
      <c r="AI319" s="15">
        <v>0</v>
      </c>
      <c r="AJ319" s="15">
        <v>30</v>
      </c>
      <c r="AK319" s="15">
        <v>10</v>
      </c>
      <c r="AL319" s="15">
        <v>30</v>
      </c>
      <c r="AM319" s="15">
        <f t="shared" si="60"/>
        <v>190</v>
      </c>
      <c r="AN319" s="29">
        <f t="shared" si="56"/>
        <v>960</v>
      </c>
      <c r="AO319" s="19">
        <v>700</v>
      </c>
      <c r="AP319" s="21">
        <v>0</v>
      </c>
      <c r="AQ319" s="22">
        <v>0</v>
      </c>
      <c r="AR319" s="26">
        <v>700</v>
      </c>
      <c r="AS319" s="37">
        <f t="shared" si="57"/>
        <v>1</v>
      </c>
      <c r="AT319" s="38">
        <f t="shared" si="63"/>
        <v>0.72916666666666663</v>
      </c>
      <c r="AU319" s="38">
        <f t="shared" si="58"/>
        <v>1</v>
      </c>
      <c r="AV319" s="27">
        <f t="shared" si="59"/>
        <v>0.72916666666666663</v>
      </c>
    </row>
    <row r="320" spans="1:48" s="1" customFormat="1" ht="21" customHeight="1" x14ac:dyDescent="0.25">
      <c r="A320" s="109">
        <v>46044</v>
      </c>
      <c r="B320" s="47" t="s">
        <v>49</v>
      </c>
      <c r="C320" s="79" t="s">
        <v>21</v>
      </c>
      <c r="D320" s="47" t="s">
        <v>52</v>
      </c>
      <c r="E320" s="48">
        <v>98992</v>
      </c>
      <c r="F320" s="48" t="s">
        <v>53</v>
      </c>
      <c r="G320" s="48" t="s">
        <v>87</v>
      </c>
      <c r="H320" s="30">
        <v>15830</v>
      </c>
      <c r="I320" s="30"/>
      <c r="J320" s="30">
        <v>32</v>
      </c>
      <c r="K320" s="28">
        <f t="shared" si="53"/>
        <v>112.5</v>
      </c>
      <c r="L320" s="31">
        <v>0.25</v>
      </c>
      <c r="M320" s="31">
        <v>0.60416666666666696</v>
      </c>
      <c r="N320" s="32">
        <f t="shared" si="62"/>
        <v>0.35416666666666696</v>
      </c>
      <c r="O320" s="36">
        <v>510</v>
      </c>
      <c r="P320" s="36">
        <f t="shared" si="54"/>
        <v>380</v>
      </c>
      <c r="Q320" s="36">
        <f t="shared" si="55"/>
        <v>380</v>
      </c>
      <c r="R320" s="15">
        <v>0</v>
      </c>
      <c r="S320" s="20">
        <v>0</v>
      </c>
      <c r="T320" s="16">
        <v>0</v>
      </c>
      <c r="U320" s="16">
        <v>0</v>
      </c>
      <c r="V320" s="20">
        <v>0</v>
      </c>
      <c r="W320" s="20">
        <v>0</v>
      </c>
      <c r="X320" s="20">
        <v>0</v>
      </c>
      <c r="Y320" s="20">
        <v>0</v>
      </c>
      <c r="Z320" s="20">
        <v>0</v>
      </c>
      <c r="AA320" s="20">
        <v>0</v>
      </c>
      <c r="AB320" s="20">
        <v>0</v>
      </c>
      <c r="AC320" s="20">
        <v>0</v>
      </c>
      <c r="AD320" s="15">
        <f t="shared" si="61"/>
        <v>0</v>
      </c>
      <c r="AE320" s="15">
        <v>0</v>
      </c>
      <c r="AF320" s="15">
        <v>0</v>
      </c>
      <c r="AG320" s="15">
        <v>0</v>
      </c>
      <c r="AH320" s="15">
        <v>60</v>
      </c>
      <c r="AI320" s="15">
        <v>0</v>
      </c>
      <c r="AJ320" s="15">
        <v>30</v>
      </c>
      <c r="AK320" s="15">
        <v>10</v>
      </c>
      <c r="AL320" s="15">
        <v>30</v>
      </c>
      <c r="AM320" s="15">
        <f t="shared" si="60"/>
        <v>130</v>
      </c>
      <c r="AN320" s="29">
        <f t="shared" si="56"/>
        <v>712.5</v>
      </c>
      <c r="AO320" s="19">
        <v>502</v>
      </c>
      <c r="AP320" s="21">
        <v>0</v>
      </c>
      <c r="AQ320" s="22">
        <v>0</v>
      </c>
      <c r="AR320" s="26">
        <f t="shared" si="64"/>
        <v>502</v>
      </c>
      <c r="AS320" s="37">
        <f t="shared" si="57"/>
        <v>1</v>
      </c>
      <c r="AT320" s="38">
        <f t="shared" si="63"/>
        <v>0.70456140350877194</v>
      </c>
      <c r="AU320" s="38">
        <f t="shared" si="58"/>
        <v>1</v>
      </c>
      <c r="AV320" s="27">
        <f t="shared" si="59"/>
        <v>0.70456140350877194</v>
      </c>
    </row>
    <row r="321" spans="1:48" s="1" customFormat="1" ht="21" customHeight="1" x14ac:dyDescent="0.25">
      <c r="A321" s="109">
        <v>46044</v>
      </c>
      <c r="B321" s="47" t="s">
        <v>49</v>
      </c>
      <c r="C321" s="79" t="s">
        <v>21</v>
      </c>
      <c r="D321" s="47" t="s">
        <v>88</v>
      </c>
      <c r="E321" s="48">
        <v>98992</v>
      </c>
      <c r="F321" s="48" t="s">
        <v>126</v>
      </c>
      <c r="G321" s="48" t="s">
        <v>87</v>
      </c>
      <c r="H321" s="30">
        <v>13106</v>
      </c>
      <c r="I321" s="30"/>
      <c r="J321" s="30">
        <v>32</v>
      </c>
      <c r="K321" s="28">
        <f t="shared" si="53"/>
        <v>112.5</v>
      </c>
      <c r="L321" s="31">
        <v>0.25</v>
      </c>
      <c r="M321" s="31">
        <v>0.60416666666666696</v>
      </c>
      <c r="N321" s="32">
        <f t="shared" si="62"/>
        <v>0.35416666666666696</v>
      </c>
      <c r="O321" s="36">
        <v>510</v>
      </c>
      <c r="P321" s="36">
        <f t="shared" si="54"/>
        <v>440</v>
      </c>
      <c r="Q321" s="36">
        <f t="shared" si="55"/>
        <v>440</v>
      </c>
      <c r="R321" s="15">
        <v>0</v>
      </c>
      <c r="S321" s="20">
        <v>0</v>
      </c>
      <c r="T321" s="16">
        <v>0</v>
      </c>
      <c r="U321" s="16">
        <v>0</v>
      </c>
      <c r="V321" s="20">
        <v>0</v>
      </c>
      <c r="W321" s="20">
        <v>0</v>
      </c>
      <c r="X321" s="20">
        <v>0</v>
      </c>
      <c r="Y321" s="20">
        <v>0</v>
      </c>
      <c r="Z321" s="20">
        <v>0</v>
      </c>
      <c r="AA321" s="20">
        <v>0</v>
      </c>
      <c r="AB321" s="20">
        <v>0</v>
      </c>
      <c r="AC321" s="20">
        <v>0</v>
      </c>
      <c r="AD321" s="15">
        <f t="shared" si="61"/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0</v>
      </c>
      <c r="AJ321" s="15">
        <v>30</v>
      </c>
      <c r="AK321" s="15">
        <v>10</v>
      </c>
      <c r="AL321" s="15">
        <v>30</v>
      </c>
      <c r="AM321" s="15">
        <f t="shared" si="60"/>
        <v>70</v>
      </c>
      <c r="AN321" s="29">
        <f t="shared" si="56"/>
        <v>825</v>
      </c>
      <c r="AO321" s="19">
        <v>701</v>
      </c>
      <c r="AP321" s="21">
        <v>0</v>
      </c>
      <c r="AQ321" s="22">
        <v>4</v>
      </c>
      <c r="AR321" s="26">
        <f t="shared" si="64"/>
        <v>697</v>
      </c>
      <c r="AS321" s="37">
        <f t="shared" si="57"/>
        <v>1</v>
      </c>
      <c r="AT321" s="38">
        <f t="shared" si="63"/>
        <v>0.84969696969696973</v>
      </c>
      <c r="AU321" s="38">
        <f t="shared" si="58"/>
        <v>0.99429386590584878</v>
      </c>
      <c r="AV321" s="27">
        <f t="shared" si="59"/>
        <v>0.84484848484848485</v>
      </c>
    </row>
    <row r="322" spans="1:48" s="1" customFormat="1" ht="21" customHeight="1" x14ac:dyDescent="0.25">
      <c r="A322" s="109">
        <v>46044</v>
      </c>
      <c r="B322" s="47" t="s">
        <v>49</v>
      </c>
      <c r="C322" s="79" t="s">
        <v>21</v>
      </c>
      <c r="D322" s="47" t="s">
        <v>89</v>
      </c>
      <c r="E322" s="48">
        <v>98992</v>
      </c>
      <c r="F322" s="48" t="s">
        <v>169</v>
      </c>
      <c r="G322" s="48" t="s">
        <v>87</v>
      </c>
      <c r="H322" s="30">
        <v>14957</v>
      </c>
      <c r="I322" s="30"/>
      <c r="J322" s="30">
        <v>32</v>
      </c>
      <c r="K322" s="28">
        <f t="shared" si="53"/>
        <v>112.5</v>
      </c>
      <c r="L322" s="31">
        <v>0.25</v>
      </c>
      <c r="M322" s="31">
        <v>0.60416666666666696</v>
      </c>
      <c r="N322" s="32">
        <f t="shared" si="62"/>
        <v>0.35416666666666696</v>
      </c>
      <c r="O322" s="36">
        <v>510</v>
      </c>
      <c r="P322" s="36">
        <f t="shared" si="54"/>
        <v>320</v>
      </c>
      <c r="Q322" s="36">
        <f t="shared" si="55"/>
        <v>320</v>
      </c>
      <c r="R322" s="15">
        <v>0</v>
      </c>
      <c r="S322" s="20">
        <v>0</v>
      </c>
      <c r="T322" s="16">
        <v>0</v>
      </c>
      <c r="U322" s="16">
        <v>0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15">
        <f t="shared" si="61"/>
        <v>0</v>
      </c>
      <c r="AE322" s="15">
        <v>0</v>
      </c>
      <c r="AF322" s="15">
        <v>0</v>
      </c>
      <c r="AG322" s="15">
        <v>0</v>
      </c>
      <c r="AH322" s="15">
        <v>120</v>
      </c>
      <c r="AI322" s="15">
        <v>0</v>
      </c>
      <c r="AJ322" s="15">
        <v>30</v>
      </c>
      <c r="AK322" s="15">
        <v>10</v>
      </c>
      <c r="AL322" s="15">
        <v>30</v>
      </c>
      <c r="AM322" s="15">
        <f t="shared" si="60"/>
        <v>190</v>
      </c>
      <c r="AN322" s="29">
        <f t="shared" si="56"/>
        <v>600</v>
      </c>
      <c r="AO322" s="19">
        <v>551</v>
      </c>
      <c r="AP322" s="21">
        <v>0</v>
      </c>
      <c r="AQ322" s="22">
        <v>2</v>
      </c>
      <c r="AR322" s="26">
        <f t="shared" si="64"/>
        <v>549</v>
      </c>
      <c r="AS322" s="37">
        <f t="shared" si="57"/>
        <v>1</v>
      </c>
      <c r="AT322" s="38">
        <f t="shared" si="63"/>
        <v>0.91833333333333333</v>
      </c>
      <c r="AU322" s="38">
        <f t="shared" si="58"/>
        <v>0.99637023593466423</v>
      </c>
      <c r="AV322" s="27">
        <f t="shared" si="59"/>
        <v>0.91500000000000004</v>
      </c>
    </row>
    <row r="323" spans="1:48" s="1" customFormat="1" ht="21" customHeight="1" x14ac:dyDescent="0.25">
      <c r="A323" s="109">
        <v>46044</v>
      </c>
      <c r="B323" s="47" t="s">
        <v>49</v>
      </c>
      <c r="C323" s="79" t="s">
        <v>21</v>
      </c>
      <c r="D323" s="47" t="s">
        <v>86</v>
      </c>
      <c r="E323" s="48">
        <v>98992</v>
      </c>
      <c r="F323" s="48" t="s">
        <v>176</v>
      </c>
      <c r="G323" s="48" t="s">
        <v>87</v>
      </c>
      <c r="H323" s="30">
        <v>15679</v>
      </c>
      <c r="I323" s="30"/>
      <c r="J323" s="30">
        <v>20</v>
      </c>
      <c r="K323" s="28">
        <f t="shared" si="53"/>
        <v>180</v>
      </c>
      <c r="L323" s="31">
        <v>0.25</v>
      </c>
      <c r="M323" s="31">
        <v>0.60416666666666696</v>
      </c>
      <c r="N323" s="32">
        <f t="shared" si="62"/>
        <v>0.35416666666666696</v>
      </c>
      <c r="O323" s="36">
        <v>510</v>
      </c>
      <c r="P323" s="36">
        <f t="shared" si="54"/>
        <v>200</v>
      </c>
      <c r="Q323" s="36">
        <f t="shared" si="55"/>
        <v>200</v>
      </c>
      <c r="R323" s="15">
        <v>0</v>
      </c>
      <c r="S323" s="20">
        <v>0</v>
      </c>
      <c r="T323" s="16">
        <v>0</v>
      </c>
      <c r="U323" s="16">
        <v>0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15">
        <f t="shared" si="61"/>
        <v>0</v>
      </c>
      <c r="AE323" s="15">
        <v>0</v>
      </c>
      <c r="AF323" s="15">
        <v>0</v>
      </c>
      <c r="AG323" s="15">
        <v>0</v>
      </c>
      <c r="AH323" s="15">
        <v>240</v>
      </c>
      <c r="AI323" s="15">
        <v>0</v>
      </c>
      <c r="AJ323" s="15">
        <v>30</v>
      </c>
      <c r="AK323" s="15">
        <v>10</v>
      </c>
      <c r="AL323" s="15">
        <v>30</v>
      </c>
      <c r="AM323" s="15">
        <f t="shared" si="60"/>
        <v>310</v>
      </c>
      <c r="AN323" s="29">
        <f t="shared" si="56"/>
        <v>600</v>
      </c>
      <c r="AO323" s="19">
        <v>444</v>
      </c>
      <c r="AP323" s="21">
        <v>0</v>
      </c>
      <c r="AQ323" s="22">
        <v>0</v>
      </c>
      <c r="AR323" s="26">
        <f t="shared" si="64"/>
        <v>444</v>
      </c>
      <c r="AS323" s="37">
        <f t="shared" si="57"/>
        <v>1</v>
      </c>
      <c r="AT323" s="38">
        <f t="shared" si="63"/>
        <v>0.74</v>
      </c>
      <c r="AU323" s="38">
        <f t="shared" si="58"/>
        <v>1</v>
      </c>
      <c r="AV323" s="27">
        <f t="shared" si="59"/>
        <v>0.74</v>
      </c>
    </row>
    <row r="324" spans="1:48" s="1" customFormat="1" ht="21" customHeight="1" x14ac:dyDescent="0.25">
      <c r="A324" s="109">
        <v>46044</v>
      </c>
      <c r="B324" s="47" t="s">
        <v>49</v>
      </c>
      <c r="C324" s="79" t="s">
        <v>21</v>
      </c>
      <c r="D324" s="47" t="s">
        <v>122</v>
      </c>
      <c r="E324" s="48">
        <v>98992</v>
      </c>
      <c r="F324" s="48" t="s">
        <v>169</v>
      </c>
      <c r="G324" s="48" t="s">
        <v>125</v>
      </c>
      <c r="H324" s="30">
        <v>15689</v>
      </c>
      <c r="I324" s="30"/>
      <c r="J324" s="30">
        <v>32</v>
      </c>
      <c r="K324" s="28">
        <f t="shared" si="53"/>
        <v>112.5</v>
      </c>
      <c r="L324" s="31">
        <v>0.25</v>
      </c>
      <c r="M324" s="31">
        <v>0.60416666666666696</v>
      </c>
      <c r="N324" s="32">
        <f t="shared" si="62"/>
        <v>0.35416666666666696</v>
      </c>
      <c r="O324" s="36">
        <v>510</v>
      </c>
      <c r="P324" s="36">
        <f t="shared" si="54"/>
        <v>380</v>
      </c>
      <c r="Q324" s="36">
        <f t="shared" si="55"/>
        <v>380</v>
      </c>
      <c r="R324" s="15">
        <v>0</v>
      </c>
      <c r="S324" s="20">
        <v>0</v>
      </c>
      <c r="T324" s="16">
        <v>0</v>
      </c>
      <c r="U324" s="16">
        <v>0</v>
      </c>
      <c r="V324" s="20">
        <v>0</v>
      </c>
      <c r="W324" s="20">
        <v>0</v>
      </c>
      <c r="X324" s="20">
        <v>0</v>
      </c>
      <c r="Y324" s="20">
        <v>0</v>
      </c>
      <c r="Z324" s="20">
        <v>0</v>
      </c>
      <c r="AA324" s="20">
        <v>0</v>
      </c>
      <c r="AB324" s="20">
        <v>0</v>
      </c>
      <c r="AC324" s="20">
        <v>0</v>
      </c>
      <c r="AD324" s="15">
        <f t="shared" si="61"/>
        <v>0</v>
      </c>
      <c r="AE324" s="15">
        <v>0</v>
      </c>
      <c r="AF324" s="15">
        <v>0</v>
      </c>
      <c r="AG324" s="15">
        <v>0</v>
      </c>
      <c r="AH324" s="15">
        <v>60</v>
      </c>
      <c r="AI324" s="15">
        <v>0</v>
      </c>
      <c r="AJ324" s="15">
        <v>30</v>
      </c>
      <c r="AK324" s="15">
        <v>10</v>
      </c>
      <c r="AL324" s="15">
        <v>30</v>
      </c>
      <c r="AM324" s="15">
        <f t="shared" si="60"/>
        <v>130</v>
      </c>
      <c r="AN324" s="29">
        <f t="shared" si="56"/>
        <v>712.5</v>
      </c>
      <c r="AO324" s="19">
        <v>544</v>
      </c>
      <c r="AP324" s="21">
        <v>0</v>
      </c>
      <c r="AQ324" s="22">
        <v>0</v>
      </c>
      <c r="AR324" s="26">
        <f t="shared" si="64"/>
        <v>544</v>
      </c>
      <c r="AS324" s="37">
        <f t="shared" si="57"/>
        <v>1</v>
      </c>
      <c r="AT324" s="38">
        <f t="shared" si="63"/>
        <v>0.76350877192982458</v>
      </c>
      <c r="AU324" s="38">
        <f t="shared" si="58"/>
        <v>1</v>
      </c>
      <c r="AV324" s="27">
        <f t="shared" si="59"/>
        <v>0.76350877192982458</v>
      </c>
    </row>
    <row r="325" spans="1:48" s="1" customFormat="1" ht="21" customHeight="1" x14ac:dyDescent="0.25">
      <c r="A325" s="109">
        <v>46044</v>
      </c>
      <c r="B325" s="47" t="s">
        <v>49</v>
      </c>
      <c r="C325" s="79" t="s">
        <v>21</v>
      </c>
      <c r="D325" s="47" t="s">
        <v>127</v>
      </c>
      <c r="E325" s="48">
        <v>98992</v>
      </c>
      <c r="F325" s="48" t="s">
        <v>175</v>
      </c>
      <c r="G325" s="48" t="s">
        <v>125</v>
      </c>
      <c r="H325" s="30">
        <v>15882</v>
      </c>
      <c r="I325" s="30"/>
      <c r="J325" s="30">
        <v>20</v>
      </c>
      <c r="K325" s="28">
        <f t="shared" si="53"/>
        <v>180</v>
      </c>
      <c r="L325" s="31">
        <v>0.25</v>
      </c>
      <c r="M325" s="31">
        <v>0.60416666666666696</v>
      </c>
      <c r="N325" s="32">
        <f t="shared" si="62"/>
        <v>0.35416666666666696</v>
      </c>
      <c r="O325" s="36">
        <v>510</v>
      </c>
      <c r="P325" s="36">
        <f t="shared" si="54"/>
        <v>320</v>
      </c>
      <c r="Q325" s="36">
        <f t="shared" si="55"/>
        <v>320</v>
      </c>
      <c r="R325" s="15">
        <v>0</v>
      </c>
      <c r="S325" s="20">
        <v>0</v>
      </c>
      <c r="T325" s="16">
        <v>0</v>
      </c>
      <c r="U325" s="16">
        <v>0</v>
      </c>
      <c r="V325" s="20">
        <v>0</v>
      </c>
      <c r="W325" s="20">
        <v>0</v>
      </c>
      <c r="X325" s="20">
        <v>0</v>
      </c>
      <c r="Y325" s="20">
        <v>0</v>
      </c>
      <c r="Z325" s="20">
        <v>0</v>
      </c>
      <c r="AA325" s="20">
        <v>0</v>
      </c>
      <c r="AB325" s="20">
        <v>0</v>
      </c>
      <c r="AC325" s="20">
        <v>0</v>
      </c>
      <c r="AD325" s="15">
        <f t="shared" si="61"/>
        <v>0</v>
      </c>
      <c r="AE325" s="15">
        <v>0</v>
      </c>
      <c r="AF325" s="15">
        <v>0</v>
      </c>
      <c r="AG325" s="15">
        <v>0</v>
      </c>
      <c r="AH325" s="15">
        <v>120</v>
      </c>
      <c r="AI325" s="15">
        <v>0</v>
      </c>
      <c r="AJ325" s="15">
        <v>30</v>
      </c>
      <c r="AK325" s="15">
        <v>10</v>
      </c>
      <c r="AL325" s="15">
        <v>30</v>
      </c>
      <c r="AM325" s="15">
        <f t="shared" si="60"/>
        <v>190</v>
      </c>
      <c r="AN325" s="29">
        <f t="shared" si="56"/>
        <v>960</v>
      </c>
      <c r="AO325" s="19">
        <v>600</v>
      </c>
      <c r="AP325" s="21">
        <v>0</v>
      </c>
      <c r="AQ325" s="22">
        <v>0</v>
      </c>
      <c r="AR325" s="26">
        <f t="shared" si="64"/>
        <v>600</v>
      </c>
      <c r="AS325" s="37">
        <f t="shared" si="57"/>
        <v>1</v>
      </c>
      <c r="AT325" s="38">
        <f t="shared" si="63"/>
        <v>0.625</v>
      </c>
      <c r="AU325" s="38">
        <f t="shared" si="58"/>
        <v>1</v>
      </c>
      <c r="AV325" s="27">
        <f t="shared" si="59"/>
        <v>0.625</v>
      </c>
    </row>
    <row r="326" spans="1:48" s="1" customFormat="1" ht="21" customHeight="1" x14ac:dyDescent="0.25">
      <c r="A326" s="109">
        <v>46044</v>
      </c>
      <c r="B326" s="47" t="s">
        <v>49</v>
      </c>
      <c r="C326" s="79" t="s">
        <v>51</v>
      </c>
      <c r="D326" s="47" t="s">
        <v>88</v>
      </c>
      <c r="E326" s="48">
        <v>98992</v>
      </c>
      <c r="F326" s="48" t="s">
        <v>126</v>
      </c>
      <c r="G326" s="48" t="s">
        <v>87</v>
      </c>
      <c r="H326" s="30">
        <v>15036</v>
      </c>
      <c r="I326" s="30"/>
      <c r="J326" s="30">
        <v>32</v>
      </c>
      <c r="K326" s="28">
        <f t="shared" si="53"/>
        <v>112.5</v>
      </c>
      <c r="L326" s="31">
        <v>0.58333333333333337</v>
      </c>
      <c r="M326" s="31">
        <v>0.9375</v>
      </c>
      <c r="N326" s="32">
        <f t="shared" si="62"/>
        <v>0.35416666666666663</v>
      </c>
      <c r="O326" s="36">
        <v>510</v>
      </c>
      <c r="P326" s="36">
        <f t="shared" si="54"/>
        <v>440</v>
      </c>
      <c r="Q326" s="36">
        <f t="shared" si="55"/>
        <v>440</v>
      </c>
      <c r="R326" s="15">
        <v>0</v>
      </c>
      <c r="S326" s="20">
        <v>0</v>
      </c>
      <c r="T326" s="16">
        <v>0</v>
      </c>
      <c r="U326" s="16">
        <v>0</v>
      </c>
      <c r="V326" s="20">
        <v>0</v>
      </c>
      <c r="W326" s="20">
        <v>0</v>
      </c>
      <c r="X326" s="20">
        <v>0</v>
      </c>
      <c r="Y326" s="20">
        <v>0</v>
      </c>
      <c r="Z326" s="20">
        <v>0</v>
      </c>
      <c r="AA326" s="20">
        <v>0</v>
      </c>
      <c r="AB326" s="20">
        <v>0</v>
      </c>
      <c r="AC326" s="20">
        <v>0</v>
      </c>
      <c r="AD326" s="15">
        <f t="shared" si="61"/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0</v>
      </c>
      <c r="AJ326" s="15">
        <v>30</v>
      </c>
      <c r="AK326" s="15">
        <v>10</v>
      </c>
      <c r="AL326" s="15">
        <v>30</v>
      </c>
      <c r="AM326" s="15">
        <f t="shared" si="60"/>
        <v>70</v>
      </c>
      <c r="AN326" s="29">
        <f t="shared" si="56"/>
        <v>825</v>
      </c>
      <c r="AO326" s="19">
        <v>705</v>
      </c>
      <c r="AP326" s="21">
        <v>0</v>
      </c>
      <c r="AQ326" s="22">
        <v>3</v>
      </c>
      <c r="AR326" s="26">
        <f t="shared" si="64"/>
        <v>702</v>
      </c>
      <c r="AS326" s="37">
        <f t="shared" si="57"/>
        <v>1</v>
      </c>
      <c r="AT326" s="38">
        <f t="shared" si="63"/>
        <v>0.8545454545454545</v>
      </c>
      <c r="AU326" s="38">
        <f t="shared" si="58"/>
        <v>0.99574468085106382</v>
      </c>
      <c r="AV326" s="27">
        <f t="shared" si="59"/>
        <v>0.85090909090909084</v>
      </c>
    </row>
    <row r="327" spans="1:48" s="1" customFormat="1" ht="21" customHeight="1" x14ac:dyDescent="0.25">
      <c r="A327" s="109">
        <v>46044</v>
      </c>
      <c r="B327" s="47" t="s">
        <v>49</v>
      </c>
      <c r="C327" s="79" t="s">
        <v>51</v>
      </c>
      <c r="D327" s="47" t="s">
        <v>89</v>
      </c>
      <c r="E327" s="48">
        <v>98992</v>
      </c>
      <c r="F327" s="48" t="s">
        <v>169</v>
      </c>
      <c r="G327" s="48" t="s">
        <v>87</v>
      </c>
      <c r="H327" s="30">
        <v>11682</v>
      </c>
      <c r="I327" s="30"/>
      <c r="J327" s="30">
        <v>32</v>
      </c>
      <c r="K327" s="28">
        <f t="shared" si="53"/>
        <v>112.5</v>
      </c>
      <c r="L327" s="31">
        <v>0.58333333333333337</v>
      </c>
      <c r="M327" s="31">
        <v>0.9375</v>
      </c>
      <c r="N327" s="32">
        <f t="shared" si="62"/>
        <v>0.35416666666666663</v>
      </c>
      <c r="O327" s="36">
        <v>510</v>
      </c>
      <c r="P327" s="36">
        <f t="shared" si="54"/>
        <v>380</v>
      </c>
      <c r="Q327" s="36">
        <f t="shared" si="55"/>
        <v>380</v>
      </c>
      <c r="R327" s="15">
        <v>0</v>
      </c>
      <c r="S327" s="20">
        <v>0</v>
      </c>
      <c r="T327" s="16">
        <v>0</v>
      </c>
      <c r="U327" s="16">
        <v>0</v>
      </c>
      <c r="V327" s="20">
        <v>0</v>
      </c>
      <c r="W327" s="20">
        <v>0</v>
      </c>
      <c r="X327" s="20">
        <v>0</v>
      </c>
      <c r="Y327" s="20">
        <v>0</v>
      </c>
      <c r="Z327" s="20">
        <v>0</v>
      </c>
      <c r="AA327" s="20">
        <v>0</v>
      </c>
      <c r="AB327" s="20">
        <v>0</v>
      </c>
      <c r="AC327" s="20">
        <v>0</v>
      </c>
      <c r="AD327" s="15">
        <f t="shared" si="61"/>
        <v>0</v>
      </c>
      <c r="AE327" s="15">
        <v>0</v>
      </c>
      <c r="AF327" s="15">
        <v>0</v>
      </c>
      <c r="AG327" s="15">
        <v>0</v>
      </c>
      <c r="AH327" s="15">
        <v>60</v>
      </c>
      <c r="AI327" s="15">
        <v>0</v>
      </c>
      <c r="AJ327" s="15">
        <v>30</v>
      </c>
      <c r="AK327" s="15">
        <v>10</v>
      </c>
      <c r="AL327" s="15">
        <v>30</v>
      </c>
      <c r="AM327" s="15">
        <f t="shared" si="60"/>
        <v>130</v>
      </c>
      <c r="AN327" s="29">
        <f t="shared" si="56"/>
        <v>712.5</v>
      </c>
      <c r="AO327" s="19">
        <v>676</v>
      </c>
      <c r="AP327" s="21">
        <v>0</v>
      </c>
      <c r="AQ327" s="22">
        <v>3</v>
      </c>
      <c r="AR327" s="26">
        <f t="shared" si="64"/>
        <v>673</v>
      </c>
      <c r="AS327" s="37">
        <f t="shared" si="57"/>
        <v>1</v>
      </c>
      <c r="AT327" s="38">
        <f t="shared" si="63"/>
        <v>0.94877192982456138</v>
      </c>
      <c r="AU327" s="38">
        <f t="shared" si="58"/>
        <v>0.99556213017751483</v>
      </c>
      <c r="AV327" s="27">
        <f t="shared" si="59"/>
        <v>0.94456140350877194</v>
      </c>
    </row>
    <row r="328" spans="1:48" s="1" customFormat="1" ht="21" customHeight="1" x14ac:dyDescent="0.25">
      <c r="A328" s="109">
        <v>46044</v>
      </c>
      <c r="B328" s="47" t="s">
        <v>49</v>
      </c>
      <c r="C328" s="79" t="s">
        <v>51</v>
      </c>
      <c r="D328" s="47" t="s">
        <v>52</v>
      </c>
      <c r="E328" s="48">
        <v>98992</v>
      </c>
      <c r="F328" s="48" t="s">
        <v>53</v>
      </c>
      <c r="G328" s="48" t="s">
        <v>87</v>
      </c>
      <c r="H328" s="30">
        <v>16146</v>
      </c>
      <c r="I328" s="30"/>
      <c r="J328" s="30">
        <v>32</v>
      </c>
      <c r="K328" s="28">
        <f t="shared" si="53"/>
        <v>112.5</v>
      </c>
      <c r="L328" s="31">
        <v>0.58333333333333337</v>
      </c>
      <c r="M328" s="31">
        <v>0.9375</v>
      </c>
      <c r="N328" s="32">
        <f t="shared" si="62"/>
        <v>0.35416666666666663</v>
      </c>
      <c r="O328" s="36">
        <v>510</v>
      </c>
      <c r="P328" s="36">
        <f t="shared" si="54"/>
        <v>320</v>
      </c>
      <c r="Q328" s="36">
        <f t="shared" si="55"/>
        <v>320</v>
      </c>
      <c r="R328" s="15">
        <v>0</v>
      </c>
      <c r="S328" s="20">
        <v>0</v>
      </c>
      <c r="T328" s="16">
        <v>0</v>
      </c>
      <c r="U328" s="16">
        <v>0</v>
      </c>
      <c r="V328" s="20">
        <v>0</v>
      </c>
      <c r="W328" s="20">
        <v>0</v>
      </c>
      <c r="X328" s="20">
        <v>0</v>
      </c>
      <c r="Y328" s="20">
        <v>0</v>
      </c>
      <c r="Z328" s="20">
        <v>0</v>
      </c>
      <c r="AA328" s="20">
        <v>0</v>
      </c>
      <c r="AB328" s="20">
        <v>0</v>
      </c>
      <c r="AC328" s="20">
        <v>0</v>
      </c>
      <c r="AD328" s="15">
        <f t="shared" si="61"/>
        <v>0</v>
      </c>
      <c r="AE328" s="15">
        <v>0</v>
      </c>
      <c r="AF328" s="15">
        <v>0</v>
      </c>
      <c r="AG328" s="15">
        <v>0</v>
      </c>
      <c r="AH328" s="15">
        <v>120</v>
      </c>
      <c r="AI328" s="15">
        <v>0</v>
      </c>
      <c r="AJ328" s="15">
        <v>30</v>
      </c>
      <c r="AK328" s="15">
        <v>10</v>
      </c>
      <c r="AL328" s="15">
        <v>30</v>
      </c>
      <c r="AM328" s="15">
        <f t="shared" si="60"/>
        <v>190</v>
      </c>
      <c r="AN328" s="29">
        <f t="shared" si="56"/>
        <v>600</v>
      </c>
      <c r="AO328" s="19">
        <v>516</v>
      </c>
      <c r="AP328" s="21">
        <v>0</v>
      </c>
      <c r="AQ328" s="22">
        <v>1</v>
      </c>
      <c r="AR328" s="26">
        <f t="shared" si="64"/>
        <v>515</v>
      </c>
      <c r="AS328" s="37">
        <f t="shared" si="57"/>
        <v>1</v>
      </c>
      <c r="AT328" s="38">
        <f t="shared" si="63"/>
        <v>0.86</v>
      </c>
      <c r="AU328" s="38">
        <f t="shared" si="58"/>
        <v>0.99806201550387597</v>
      </c>
      <c r="AV328" s="27">
        <f t="shared" si="59"/>
        <v>0.85833333333333328</v>
      </c>
    </row>
    <row r="329" spans="1:48" s="1" customFormat="1" ht="21" customHeight="1" x14ac:dyDescent="0.25">
      <c r="A329" s="109">
        <v>46044</v>
      </c>
      <c r="B329" s="47" t="s">
        <v>49</v>
      </c>
      <c r="C329" s="79" t="s">
        <v>51</v>
      </c>
      <c r="D329" s="47" t="s">
        <v>86</v>
      </c>
      <c r="E329" s="48">
        <v>98992</v>
      </c>
      <c r="F329" s="48" t="s">
        <v>176</v>
      </c>
      <c r="G329" s="48" t="s">
        <v>87</v>
      </c>
      <c r="H329" s="30">
        <v>16146</v>
      </c>
      <c r="I329" s="30"/>
      <c r="J329" s="30">
        <v>20</v>
      </c>
      <c r="K329" s="28">
        <f t="shared" si="53"/>
        <v>180</v>
      </c>
      <c r="L329" s="31">
        <v>0.58333333333333337</v>
      </c>
      <c r="M329" s="31">
        <v>0.9375</v>
      </c>
      <c r="N329" s="32">
        <f t="shared" si="62"/>
        <v>0.35416666666666663</v>
      </c>
      <c r="O329" s="36">
        <v>510</v>
      </c>
      <c r="P329" s="36">
        <f t="shared" si="54"/>
        <v>140</v>
      </c>
      <c r="Q329" s="36">
        <f t="shared" si="55"/>
        <v>140</v>
      </c>
      <c r="R329" s="15">
        <v>0</v>
      </c>
      <c r="S329" s="20">
        <v>0</v>
      </c>
      <c r="T329" s="16">
        <v>0</v>
      </c>
      <c r="U329" s="16">
        <v>0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15">
        <f t="shared" si="61"/>
        <v>0</v>
      </c>
      <c r="AE329" s="15">
        <v>0</v>
      </c>
      <c r="AF329" s="15">
        <v>0</v>
      </c>
      <c r="AG329" s="15">
        <v>0</v>
      </c>
      <c r="AH329" s="15">
        <v>300</v>
      </c>
      <c r="AI329" s="15">
        <v>0</v>
      </c>
      <c r="AJ329" s="15">
        <v>30</v>
      </c>
      <c r="AK329" s="15">
        <v>10</v>
      </c>
      <c r="AL329" s="15">
        <v>30</v>
      </c>
      <c r="AM329" s="15">
        <f t="shared" si="60"/>
        <v>370</v>
      </c>
      <c r="AN329" s="29">
        <f t="shared" si="56"/>
        <v>420</v>
      </c>
      <c r="AO329" s="19">
        <v>192</v>
      </c>
      <c r="AP329" s="21">
        <v>0</v>
      </c>
      <c r="AQ329" s="22">
        <v>0</v>
      </c>
      <c r="AR329" s="26">
        <f t="shared" si="64"/>
        <v>192</v>
      </c>
      <c r="AS329" s="37">
        <f t="shared" si="57"/>
        <v>1</v>
      </c>
      <c r="AT329" s="38">
        <f t="shared" si="63"/>
        <v>0.45714285714285713</v>
      </c>
      <c r="AU329" s="38">
        <f t="shared" si="58"/>
        <v>1</v>
      </c>
      <c r="AV329" s="27">
        <f t="shared" si="59"/>
        <v>0.45714285714285713</v>
      </c>
    </row>
    <row r="330" spans="1:48" s="1" customFormat="1" ht="21" customHeight="1" x14ac:dyDescent="0.25">
      <c r="A330" s="109">
        <v>46044</v>
      </c>
      <c r="B330" s="47" t="s">
        <v>49</v>
      </c>
      <c r="C330" s="79" t="s">
        <v>51</v>
      </c>
      <c r="D330" s="47" t="s">
        <v>172</v>
      </c>
      <c r="E330" s="48">
        <v>98992</v>
      </c>
      <c r="F330" s="48" t="s">
        <v>175</v>
      </c>
      <c r="G330" s="48" t="s">
        <v>87</v>
      </c>
      <c r="H330" s="30">
        <v>15838</v>
      </c>
      <c r="I330" s="30"/>
      <c r="J330" s="30">
        <v>20</v>
      </c>
      <c r="K330" s="28">
        <f t="shared" si="53"/>
        <v>180</v>
      </c>
      <c r="L330" s="31">
        <v>0.58333333333333337</v>
      </c>
      <c r="M330" s="31">
        <v>0.9375</v>
      </c>
      <c r="N330" s="32">
        <f t="shared" si="62"/>
        <v>0.35416666666666663</v>
      </c>
      <c r="O330" s="36">
        <v>510</v>
      </c>
      <c r="P330" s="36">
        <f t="shared" si="54"/>
        <v>260</v>
      </c>
      <c r="Q330" s="36">
        <f t="shared" si="55"/>
        <v>260</v>
      </c>
      <c r="R330" s="15">
        <v>0</v>
      </c>
      <c r="S330" s="20">
        <v>0</v>
      </c>
      <c r="T330" s="16">
        <v>0</v>
      </c>
      <c r="U330" s="16">
        <v>0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15">
        <f t="shared" si="61"/>
        <v>0</v>
      </c>
      <c r="AE330" s="15">
        <v>0</v>
      </c>
      <c r="AF330" s="15">
        <v>0</v>
      </c>
      <c r="AG330" s="15">
        <v>0</v>
      </c>
      <c r="AH330" s="15">
        <v>180</v>
      </c>
      <c r="AI330" s="15">
        <v>0</v>
      </c>
      <c r="AJ330" s="15">
        <v>30</v>
      </c>
      <c r="AK330" s="15">
        <v>10</v>
      </c>
      <c r="AL330" s="15">
        <v>30</v>
      </c>
      <c r="AM330" s="15">
        <f t="shared" si="60"/>
        <v>250</v>
      </c>
      <c r="AN330" s="29">
        <f t="shared" si="56"/>
        <v>780</v>
      </c>
      <c r="AO330" s="19">
        <v>600</v>
      </c>
      <c r="AP330" s="21">
        <v>0</v>
      </c>
      <c r="AQ330" s="22">
        <v>0</v>
      </c>
      <c r="AR330" s="26">
        <f t="shared" si="64"/>
        <v>600</v>
      </c>
      <c r="AS330" s="37">
        <f t="shared" si="57"/>
        <v>1</v>
      </c>
      <c r="AT330" s="38">
        <f t="shared" si="63"/>
        <v>0.76923076923076927</v>
      </c>
      <c r="AU330" s="38">
        <f t="shared" si="58"/>
        <v>1</v>
      </c>
      <c r="AV330" s="27">
        <f t="shared" si="59"/>
        <v>0.76923076923076927</v>
      </c>
    </row>
    <row r="331" spans="1:48" s="1" customFormat="1" ht="21" customHeight="1" x14ac:dyDescent="0.25">
      <c r="A331" s="109">
        <v>46044</v>
      </c>
      <c r="B331" s="47" t="s">
        <v>49</v>
      </c>
      <c r="C331" s="79" t="s">
        <v>51</v>
      </c>
      <c r="D331" s="47" t="s">
        <v>124</v>
      </c>
      <c r="E331" s="48">
        <v>98992</v>
      </c>
      <c r="F331" s="48" t="s">
        <v>215</v>
      </c>
      <c r="G331" s="48" t="s">
        <v>125</v>
      </c>
      <c r="H331" s="30">
        <v>14972</v>
      </c>
      <c r="I331" s="30"/>
      <c r="J331" s="30">
        <v>32</v>
      </c>
      <c r="K331" s="28">
        <f t="shared" si="53"/>
        <v>112.5</v>
      </c>
      <c r="L331" s="31">
        <v>0.58333333333333337</v>
      </c>
      <c r="M331" s="31">
        <v>0.9375</v>
      </c>
      <c r="N331" s="32">
        <f t="shared" si="62"/>
        <v>0.35416666666666663</v>
      </c>
      <c r="O331" s="36">
        <v>510</v>
      </c>
      <c r="P331" s="36">
        <f t="shared" si="54"/>
        <v>440</v>
      </c>
      <c r="Q331" s="36">
        <f t="shared" si="55"/>
        <v>440</v>
      </c>
      <c r="R331" s="15">
        <v>0</v>
      </c>
      <c r="S331" s="20">
        <v>0</v>
      </c>
      <c r="T331" s="16">
        <v>0</v>
      </c>
      <c r="U331" s="16">
        <v>0</v>
      </c>
      <c r="V331" s="20">
        <v>0</v>
      </c>
      <c r="W331" s="20">
        <v>0</v>
      </c>
      <c r="X331" s="20">
        <v>0</v>
      </c>
      <c r="Y331" s="20">
        <v>0</v>
      </c>
      <c r="Z331" s="20">
        <v>0</v>
      </c>
      <c r="AA331" s="20">
        <v>0</v>
      </c>
      <c r="AB331" s="20">
        <v>0</v>
      </c>
      <c r="AC331" s="20">
        <v>0</v>
      </c>
      <c r="AD331" s="15">
        <f t="shared" si="61"/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  <c r="AJ331" s="15">
        <v>30</v>
      </c>
      <c r="AK331" s="15">
        <v>10</v>
      </c>
      <c r="AL331" s="15">
        <v>30</v>
      </c>
      <c r="AM331" s="15">
        <f t="shared" si="60"/>
        <v>70</v>
      </c>
      <c r="AN331" s="29">
        <f t="shared" si="56"/>
        <v>825</v>
      </c>
      <c r="AO331" s="19">
        <v>800</v>
      </c>
      <c r="AP331" s="21">
        <v>0</v>
      </c>
      <c r="AQ331" s="22">
        <v>4</v>
      </c>
      <c r="AR331" s="26">
        <f t="shared" si="64"/>
        <v>796</v>
      </c>
      <c r="AS331" s="37">
        <f t="shared" si="57"/>
        <v>1</v>
      </c>
      <c r="AT331" s="38">
        <f t="shared" si="63"/>
        <v>0.96969696969696972</v>
      </c>
      <c r="AU331" s="38">
        <f t="shared" si="58"/>
        <v>0.995</v>
      </c>
      <c r="AV331" s="27">
        <f t="shared" si="59"/>
        <v>0.96484848484848484</v>
      </c>
    </row>
    <row r="332" spans="1:48" s="1" customFormat="1" ht="21" customHeight="1" x14ac:dyDescent="0.25">
      <c r="A332" s="109">
        <v>46044</v>
      </c>
      <c r="B332" s="47" t="s">
        <v>49</v>
      </c>
      <c r="C332" s="79" t="s">
        <v>51</v>
      </c>
      <c r="D332" s="47" t="s">
        <v>122</v>
      </c>
      <c r="E332" s="48">
        <v>98992</v>
      </c>
      <c r="F332" s="48" t="s">
        <v>169</v>
      </c>
      <c r="G332" s="48" t="s">
        <v>125</v>
      </c>
      <c r="H332" s="30">
        <v>15676</v>
      </c>
      <c r="I332" s="30"/>
      <c r="J332" s="30">
        <v>32</v>
      </c>
      <c r="K332" s="28">
        <f t="shared" ref="K332:K395" si="65">3600/J332</f>
        <v>112.5</v>
      </c>
      <c r="L332" s="31">
        <v>0.58333333333333337</v>
      </c>
      <c r="M332" s="31">
        <v>0.9375</v>
      </c>
      <c r="N332" s="32">
        <f t="shared" si="62"/>
        <v>0.35416666666666663</v>
      </c>
      <c r="O332" s="36">
        <v>510</v>
      </c>
      <c r="P332" s="36">
        <f t="shared" ref="P332:P395" si="66">Q332-AD332</f>
        <v>380</v>
      </c>
      <c r="Q332" s="36">
        <f t="shared" ref="Q332:Q395" si="67">O332-AM332</f>
        <v>380</v>
      </c>
      <c r="R332" s="15">
        <v>0</v>
      </c>
      <c r="S332" s="20">
        <v>0</v>
      </c>
      <c r="T332" s="16">
        <v>0</v>
      </c>
      <c r="U332" s="16">
        <v>0</v>
      </c>
      <c r="V332" s="20">
        <v>0</v>
      </c>
      <c r="W332" s="20">
        <v>0</v>
      </c>
      <c r="X332" s="20">
        <v>0</v>
      </c>
      <c r="Y332" s="20">
        <v>0</v>
      </c>
      <c r="Z332" s="20">
        <v>0</v>
      </c>
      <c r="AA332" s="20">
        <v>0</v>
      </c>
      <c r="AB332" s="20">
        <v>0</v>
      </c>
      <c r="AC332" s="20">
        <v>0</v>
      </c>
      <c r="AD332" s="15">
        <f t="shared" si="61"/>
        <v>0</v>
      </c>
      <c r="AE332" s="15">
        <v>0</v>
      </c>
      <c r="AF332" s="15">
        <v>0</v>
      </c>
      <c r="AG332" s="15">
        <v>0</v>
      </c>
      <c r="AH332" s="15">
        <v>60</v>
      </c>
      <c r="AI332" s="15">
        <v>0</v>
      </c>
      <c r="AJ332" s="15">
        <v>30</v>
      </c>
      <c r="AK332" s="15">
        <v>10</v>
      </c>
      <c r="AL332" s="15">
        <v>30</v>
      </c>
      <c r="AM332" s="15">
        <f t="shared" si="60"/>
        <v>130</v>
      </c>
      <c r="AN332" s="29">
        <f t="shared" ref="AN332:AN395" si="68">Q332*(K332/60)</f>
        <v>712.5</v>
      </c>
      <c r="AO332" s="19">
        <v>601</v>
      </c>
      <c r="AP332" s="21">
        <v>0</v>
      </c>
      <c r="AQ332" s="22">
        <v>3</v>
      </c>
      <c r="AR332" s="26">
        <f t="shared" si="64"/>
        <v>598</v>
      </c>
      <c r="AS332" s="37">
        <f t="shared" si="57"/>
        <v>1</v>
      </c>
      <c r="AT332" s="38">
        <f t="shared" si="63"/>
        <v>0.84350877192982454</v>
      </c>
      <c r="AU332" s="38">
        <f t="shared" si="58"/>
        <v>0.99500831946755408</v>
      </c>
      <c r="AV332" s="27">
        <f t="shared" si="59"/>
        <v>0.8392982456140351</v>
      </c>
    </row>
    <row r="333" spans="1:48" s="1" customFormat="1" ht="21" customHeight="1" x14ac:dyDescent="0.25">
      <c r="A333" s="109">
        <v>46044</v>
      </c>
      <c r="B333" s="47" t="s">
        <v>49</v>
      </c>
      <c r="C333" s="79" t="s">
        <v>51</v>
      </c>
      <c r="D333" s="47" t="s">
        <v>128</v>
      </c>
      <c r="E333" s="48">
        <v>98992</v>
      </c>
      <c r="F333" s="48" t="s">
        <v>53</v>
      </c>
      <c r="G333" s="48" t="s">
        <v>125</v>
      </c>
      <c r="H333" s="30">
        <v>15632</v>
      </c>
      <c r="I333" s="30"/>
      <c r="J333" s="30">
        <v>32</v>
      </c>
      <c r="K333" s="28">
        <f t="shared" si="65"/>
        <v>112.5</v>
      </c>
      <c r="L333" s="31">
        <v>0.58333333333333337</v>
      </c>
      <c r="M333" s="31">
        <v>0.9375</v>
      </c>
      <c r="N333" s="32">
        <f t="shared" si="62"/>
        <v>0.35416666666666663</v>
      </c>
      <c r="O333" s="36">
        <v>510</v>
      </c>
      <c r="P333" s="36">
        <f t="shared" si="66"/>
        <v>260</v>
      </c>
      <c r="Q333" s="36">
        <f t="shared" si="67"/>
        <v>260</v>
      </c>
      <c r="R333" s="15">
        <v>0</v>
      </c>
      <c r="S333" s="20">
        <v>0</v>
      </c>
      <c r="T333" s="16">
        <v>0</v>
      </c>
      <c r="U333" s="16">
        <v>0</v>
      </c>
      <c r="V333" s="20">
        <v>0</v>
      </c>
      <c r="W333" s="20">
        <v>0</v>
      </c>
      <c r="X333" s="20">
        <v>0</v>
      </c>
      <c r="Y333" s="20">
        <v>0</v>
      </c>
      <c r="Z333" s="20">
        <v>0</v>
      </c>
      <c r="AA333" s="20">
        <v>0</v>
      </c>
      <c r="AB333" s="20">
        <v>0</v>
      </c>
      <c r="AC333" s="20">
        <v>0</v>
      </c>
      <c r="AD333" s="15">
        <f t="shared" si="61"/>
        <v>0</v>
      </c>
      <c r="AE333" s="15">
        <v>0</v>
      </c>
      <c r="AF333" s="15">
        <v>0</v>
      </c>
      <c r="AG333" s="15">
        <v>0</v>
      </c>
      <c r="AH333" s="15">
        <v>180</v>
      </c>
      <c r="AI333" s="15">
        <v>0</v>
      </c>
      <c r="AJ333" s="15">
        <v>30</v>
      </c>
      <c r="AK333" s="15">
        <v>10</v>
      </c>
      <c r="AL333" s="15">
        <v>30</v>
      </c>
      <c r="AM333" s="15">
        <f t="shared" si="60"/>
        <v>250</v>
      </c>
      <c r="AN333" s="29">
        <f t="shared" si="68"/>
        <v>487.5</v>
      </c>
      <c r="AO333" s="19">
        <v>300</v>
      </c>
      <c r="AP333" s="21">
        <v>0</v>
      </c>
      <c r="AQ333" s="22">
        <v>0</v>
      </c>
      <c r="AR333" s="26">
        <f t="shared" si="64"/>
        <v>300</v>
      </c>
      <c r="AS333" s="37">
        <f t="shared" si="57"/>
        <v>1</v>
      </c>
      <c r="AT333" s="38">
        <f t="shared" si="63"/>
        <v>0.61538461538461542</v>
      </c>
      <c r="AU333" s="38">
        <f t="shared" si="58"/>
        <v>1</v>
      </c>
      <c r="AV333" s="27">
        <f t="shared" si="59"/>
        <v>0.61538461538461542</v>
      </c>
    </row>
    <row r="334" spans="1:48" s="1" customFormat="1" ht="21" customHeight="1" x14ac:dyDescent="0.25">
      <c r="A334" s="109">
        <v>46044</v>
      </c>
      <c r="B334" s="47" t="s">
        <v>49</v>
      </c>
      <c r="C334" s="79" t="s">
        <v>51</v>
      </c>
      <c r="D334" s="47" t="s">
        <v>170</v>
      </c>
      <c r="E334" s="48">
        <v>98992</v>
      </c>
      <c r="F334" s="48" t="s">
        <v>176</v>
      </c>
      <c r="G334" s="48" t="s">
        <v>125</v>
      </c>
      <c r="H334" s="30">
        <v>11662</v>
      </c>
      <c r="I334" s="30"/>
      <c r="J334" s="30">
        <v>20</v>
      </c>
      <c r="K334" s="28">
        <f t="shared" si="65"/>
        <v>180</v>
      </c>
      <c r="L334" s="31">
        <v>0.58333333333333337</v>
      </c>
      <c r="M334" s="31">
        <v>0.9375</v>
      </c>
      <c r="N334" s="32">
        <f t="shared" si="62"/>
        <v>0.35416666666666663</v>
      </c>
      <c r="O334" s="36">
        <v>510</v>
      </c>
      <c r="P334" s="36">
        <f t="shared" si="66"/>
        <v>140</v>
      </c>
      <c r="Q334" s="36">
        <f t="shared" si="67"/>
        <v>140</v>
      </c>
      <c r="R334" s="15">
        <v>0</v>
      </c>
      <c r="S334" s="20">
        <v>0</v>
      </c>
      <c r="T334" s="16">
        <v>0</v>
      </c>
      <c r="U334" s="16">
        <v>0</v>
      </c>
      <c r="V334" s="20">
        <v>0</v>
      </c>
      <c r="W334" s="20">
        <v>0</v>
      </c>
      <c r="X334" s="20">
        <v>0</v>
      </c>
      <c r="Y334" s="20">
        <v>0</v>
      </c>
      <c r="Z334" s="20">
        <v>0</v>
      </c>
      <c r="AA334" s="20">
        <v>0</v>
      </c>
      <c r="AB334" s="20">
        <v>0</v>
      </c>
      <c r="AC334" s="20">
        <v>0</v>
      </c>
      <c r="AD334" s="15">
        <f t="shared" si="61"/>
        <v>0</v>
      </c>
      <c r="AE334" s="15">
        <v>0</v>
      </c>
      <c r="AF334" s="15">
        <v>0</v>
      </c>
      <c r="AG334" s="15">
        <v>0</v>
      </c>
      <c r="AH334" s="15">
        <v>300</v>
      </c>
      <c r="AI334" s="15">
        <v>0</v>
      </c>
      <c r="AJ334" s="15">
        <v>30</v>
      </c>
      <c r="AK334" s="15">
        <v>10</v>
      </c>
      <c r="AL334" s="15">
        <v>30</v>
      </c>
      <c r="AM334" s="15">
        <f t="shared" si="60"/>
        <v>370</v>
      </c>
      <c r="AN334" s="29">
        <f t="shared" si="68"/>
        <v>420</v>
      </c>
      <c r="AO334" s="19">
        <v>390</v>
      </c>
      <c r="AP334" s="21">
        <v>0</v>
      </c>
      <c r="AQ334" s="22">
        <v>0</v>
      </c>
      <c r="AR334" s="26">
        <f t="shared" si="64"/>
        <v>390</v>
      </c>
      <c r="AS334" s="37">
        <f t="shared" si="57"/>
        <v>1</v>
      </c>
      <c r="AT334" s="38">
        <f t="shared" si="63"/>
        <v>0.9285714285714286</v>
      </c>
      <c r="AU334" s="38">
        <f t="shared" si="58"/>
        <v>1</v>
      </c>
      <c r="AV334" s="27">
        <f t="shared" si="59"/>
        <v>0.9285714285714286</v>
      </c>
    </row>
    <row r="335" spans="1:48" s="1" customFormat="1" ht="21" customHeight="1" x14ac:dyDescent="0.25">
      <c r="A335" s="109">
        <v>46044</v>
      </c>
      <c r="B335" s="47" t="s">
        <v>49</v>
      </c>
      <c r="C335" s="79" t="s">
        <v>51</v>
      </c>
      <c r="D335" s="47" t="s">
        <v>127</v>
      </c>
      <c r="E335" s="48">
        <v>98992</v>
      </c>
      <c r="F335" s="48" t="s">
        <v>175</v>
      </c>
      <c r="G335" s="48" t="s">
        <v>125</v>
      </c>
      <c r="H335" s="30">
        <v>16037</v>
      </c>
      <c r="I335" s="30"/>
      <c r="J335" s="30">
        <v>20</v>
      </c>
      <c r="K335" s="28">
        <f t="shared" si="65"/>
        <v>180</v>
      </c>
      <c r="L335" s="31">
        <v>0.58333333333333337</v>
      </c>
      <c r="M335" s="31">
        <v>0.9375</v>
      </c>
      <c r="N335" s="32">
        <f t="shared" si="62"/>
        <v>0.35416666666666663</v>
      </c>
      <c r="O335" s="36">
        <v>510</v>
      </c>
      <c r="P335" s="36">
        <f t="shared" si="66"/>
        <v>140</v>
      </c>
      <c r="Q335" s="36">
        <f t="shared" si="67"/>
        <v>140</v>
      </c>
      <c r="R335" s="15">
        <v>0</v>
      </c>
      <c r="S335" s="20">
        <v>0</v>
      </c>
      <c r="T335" s="16">
        <v>0</v>
      </c>
      <c r="U335" s="16">
        <v>0</v>
      </c>
      <c r="V335" s="20">
        <v>0</v>
      </c>
      <c r="W335" s="20">
        <v>0</v>
      </c>
      <c r="X335" s="20">
        <v>0</v>
      </c>
      <c r="Y335" s="20">
        <v>0</v>
      </c>
      <c r="Z335" s="20">
        <v>0</v>
      </c>
      <c r="AA335" s="20">
        <v>0</v>
      </c>
      <c r="AB335" s="20">
        <v>0</v>
      </c>
      <c r="AC335" s="20">
        <v>0</v>
      </c>
      <c r="AD335" s="15">
        <f t="shared" si="61"/>
        <v>0</v>
      </c>
      <c r="AE335" s="15">
        <v>0</v>
      </c>
      <c r="AF335" s="15">
        <v>0</v>
      </c>
      <c r="AG335" s="15">
        <v>0</v>
      </c>
      <c r="AH335" s="15">
        <v>300</v>
      </c>
      <c r="AI335" s="15">
        <v>0</v>
      </c>
      <c r="AJ335" s="15">
        <v>30</v>
      </c>
      <c r="AK335" s="15">
        <v>10</v>
      </c>
      <c r="AL335" s="15">
        <v>30</v>
      </c>
      <c r="AM335" s="15">
        <f t="shared" si="60"/>
        <v>370</v>
      </c>
      <c r="AN335" s="29">
        <f t="shared" si="68"/>
        <v>420</v>
      </c>
      <c r="AO335" s="19">
        <v>390</v>
      </c>
      <c r="AP335" s="21">
        <v>0</v>
      </c>
      <c r="AQ335" s="22">
        <v>9</v>
      </c>
      <c r="AR335" s="26">
        <f t="shared" si="64"/>
        <v>381</v>
      </c>
      <c r="AS335" s="37">
        <f t="shared" ref="AS335:AS398" si="69">P335/Q335</f>
        <v>1</v>
      </c>
      <c r="AT335" s="38">
        <f t="shared" si="63"/>
        <v>0.9285714285714286</v>
      </c>
      <c r="AU335" s="38">
        <f t="shared" ref="AU335:AU398" si="70">AR335/AO335</f>
        <v>0.97692307692307689</v>
      </c>
      <c r="AV335" s="27">
        <f t="shared" ref="AV335:AV398" si="71">AS335*AT335*AU335</f>
        <v>0.90714285714285714</v>
      </c>
    </row>
    <row r="336" spans="1:48" s="1" customFormat="1" ht="21" customHeight="1" x14ac:dyDescent="0.25">
      <c r="A336" s="109">
        <v>46045</v>
      </c>
      <c r="B336" s="47" t="s">
        <v>49</v>
      </c>
      <c r="C336" s="79" t="s">
        <v>21</v>
      </c>
      <c r="D336" s="47" t="s">
        <v>124</v>
      </c>
      <c r="E336" s="48">
        <v>98992</v>
      </c>
      <c r="F336" s="48" t="s">
        <v>215</v>
      </c>
      <c r="G336" s="48" t="s">
        <v>125</v>
      </c>
      <c r="H336" s="30">
        <v>13105</v>
      </c>
      <c r="I336" s="30"/>
      <c r="J336" s="30">
        <v>32</v>
      </c>
      <c r="K336" s="28">
        <f t="shared" si="65"/>
        <v>112.5</v>
      </c>
      <c r="L336" s="31">
        <v>0.25</v>
      </c>
      <c r="M336" s="31">
        <v>0.60416666666666696</v>
      </c>
      <c r="N336" s="32">
        <f t="shared" si="62"/>
        <v>0.35416666666666696</v>
      </c>
      <c r="O336" s="36">
        <v>510</v>
      </c>
      <c r="P336" s="36">
        <f t="shared" si="66"/>
        <v>440</v>
      </c>
      <c r="Q336" s="36">
        <f t="shared" si="67"/>
        <v>440</v>
      </c>
      <c r="R336" s="15">
        <v>0</v>
      </c>
      <c r="S336" s="20">
        <v>0</v>
      </c>
      <c r="T336" s="16">
        <v>0</v>
      </c>
      <c r="U336" s="16">
        <v>0</v>
      </c>
      <c r="V336" s="20">
        <v>0</v>
      </c>
      <c r="W336" s="20">
        <v>0</v>
      </c>
      <c r="X336" s="20">
        <v>0</v>
      </c>
      <c r="Y336" s="20">
        <v>0</v>
      </c>
      <c r="Z336" s="20">
        <v>0</v>
      </c>
      <c r="AA336" s="20">
        <v>0</v>
      </c>
      <c r="AB336" s="20">
        <v>0</v>
      </c>
      <c r="AC336" s="20">
        <v>0</v>
      </c>
      <c r="AD336" s="15">
        <f t="shared" si="61"/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30</v>
      </c>
      <c r="AK336" s="15">
        <v>10</v>
      </c>
      <c r="AL336" s="15">
        <v>30</v>
      </c>
      <c r="AM336" s="15">
        <f t="shared" si="60"/>
        <v>70</v>
      </c>
      <c r="AN336" s="29">
        <f t="shared" si="68"/>
        <v>825</v>
      </c>
      <c r="AO336" s="19">
        <v>700</v>
      </c>
      <c r="AP336" s="21">
        <v>0</v>
      </c>
      <c r="AQ336" s="22">
        <v>32</v>
      </c>
      <c r="AR336" s="26">
        <f t="shared" si="64"/>
        <v>668</v>
      </c>
      <c r="AS336" s="37">
        <f t="shared" si="69"/>
        <v>1</v>
      </c>
      <c r="AT336" s="38">
        <f t="shared" si="63"/>
        <v>0.84848484848484851</v>
      </c>
      <c r="AU336" s="38">
        <f t="shared" si="70"/>
        <v>0.95428571428571429</v>
      </c>
      <c r="AV336" s="27">
        <f t="shared" si="71"/>
        <v>0.80969696969696969</v>
      </c>
    </row>
    <row r="337" spans="1:48" s="1" customFormat="1" ht="21" customHeight="1" x14ac:dyDescent="0.25">
      <c r="A337" s="109">
        <v>46045</v>
      </c>
      <c r="B337" s="47" t="s">
        <v>49</v>
      </c>
      <c r="C337" s="79" t="s">
        <v>21</v>
      </c>
      <c r="D337" s="47" t="s">
        <v>122</v>
      </c>
      <c r="E337" s="48">
        <v>98992</v>
      </c>
      <c r="F337" s="48" t="s">
        <v>169</v>
      </c>
      <c r="G337" s="48" t="s">
        <v>125</v>
      </c>
      <c r="H337" s="30">
        <v>14957</v>
      </c>
      <c r="I337" s="30"/>
      <c r="J337" s="30">
        <v>32</v>
      </c>
      <c r="K337" s="28">
        <f t="shared" si="65"/>
        <v>112.5</v>
      </c>
      <c r="L337" s="31">
        <v>0.25</v>
      </c>
      <c r="M337" s="31">
        <v>0.60416666666666696</v>
      </c>
      <c r="N337" s="32">
        <f t="shared" si="62"/>
        <v>0.35416666666666696</v>
      </c>
      <c r="O337" s="36">
        <v>510</v>
      </c>
      <c r="P337" s="36">
        <f t="shared" si="66"/>
        <v>320</v>
      </c>
      <c r="Q337" s="36">
        <f t="shared" si="67"/>
        <v>320</v>
      </c>
      <c r="R337" s="15">
        <v>0</v>
      </c>
      <c r="S337" s="20">
        <v>0</v>
      </c>
      <c r="T337" s="16">
        <v>0</v>
      </c>
      <c r="U337" s="16">
        <v>0</v>
      </c>
      <c r="V337" s="20">
        <v>0</v>
      </c>
      <c r="W337" s="20">
        <v>0</v>
      </c>
      <c r="X337" s="20">
        <v>0</v>
      </c>
      <c r="Y337" s="20">
        <v>0</v>
      </c>
      <c r="Z337" s="20">
        <v>0</v>
      </c>
      <c r="AA337" s="20">
        <v>0</v>
      </c>
      <c r="AB337" s="20">
        <v>0</v>
      </c>
      <c r="AC337" s="20">
        <v>0</v>
      </c>
      <c r="AD337" s="15">
        <f t="shared" si="61"/>
        <v>0</v>
      </c>
      <c r="AE337" s="15">
        <v>0</v>
      </c>
      <c r="AF337" s="15">
        <v>0</v>
      </c>
      <c r="AG337" s="15">
        <v>0</v>
      </c>
      <c r="AH337" s="15">
        <v>120</v>
      </c>
      <c r="AI337" s="15">
        <v>0</v>
      </c>
      <c r="AJ337" s="15">
        <v>30</v>
      </c>
      <c r="AK337" s="15">
        <v>10</v>
      </c>
      <c r="AL337" s="15">
        <v>30</v>
      </c>
      <c r="AM337" s="15">
        <f t="shared" si="60"/>
        <v>190</v>
      </c>
      <c r="AN337" s="29">
        <f t="shared" si="68"/>
        <v>600</v>
      </c>
      <c r="AO337" s="19">
        <v>501</v>
      </c>
      <c r="AP337" s="21">
        <v>0</v>
      </c>
      <c r="AQ337" s="22">
        <v>2</v>
      </c>
      <c r="AR337" s="26">
        <f t="shared" si="64"/>
        <v>499</v>
      </c>
      <c r="AS337" s="37">
        <f t="shared" si="69"/>
        <v>1</v>
      </c>
      <c r="AT337" s="38">
        <f t="shared" si="63"/>
        <v>0.83499999999999996</v>
      </c>
      <c r="AU337" s="38">
        <f t="shared" si="70"/>
        <v>0.99600798403193613</v>
      </c>
      <c r="AV337" s="27">
        <f t="shared" si="71"/>
        <v>0.83166666666666667</v>
      </c>
    </row>
    <row r="338" spans="1:48" s="1" customFormat="1" ht="21" customHeight="1" x14ac:dyDescent="0.25">
      <c r="A338" s="109">
        <v>46045</v>
      </c>
      <c r="B338" s="47" t="s">
        <v>49</v>
      </c>
      <c r="C338" s="79" t="s">
        <v>21</v>
      </c>
      <c r="D338" s="47" t="s">
        <v>128</v>
      </c>
      <c r="E338" s="48">
        <v>98992</v>
      </c>
      <c r="F338" s="48" t="s">
        <v>53</v>
      </c>
      <c r="G338" s="48" t="s">
        <v>125</v>
      </c>
      <c r="H338" s="30">
        <v>16146</v>
      </c>
      <c r="I338" s="30"/>
      <c r="J338" s="30">
        <v>32</v>
      </c>
      <c r="K338" s="28">
        <f t="shared" si="65"/>
        <v>112.5</v>
      </c>
      <c r="L338" s="31">
        <v>0.25</v>
      </c>
      <c r="M338" s="31">
        <v>0.60416666666666696</v>
      </c>
      <c r="N338" s="32">
        <f t="shared" si="62"/>
        <v>0.35416666666666696</v>
      </c>
      <c r="O338" s="36">
        <v>510</v>
      </c>
      <c r="P338" s="36">
        <f t="shared" si="66"/>
        <v>320</v>
      </c>
      <c r="Q338" s="36">
        <f t="shared" si="67"/>
        <v>320</v>
      </c>
      <c r="R338" s="15">
        <v>0</v>
      </c>
      <c r="S338" s="20">
        <v>0</v>
      </c>
      <c r="T338" s="16">
        <v>0</v>
      </c>
      <c r="U338" s="16">
        <v>0</v>
      </c>
      <c r="V338" s="20">
        <v>0</v>
      </c>
      <c r="W338" s="20">
        <v>0</v>
      </c>
      <c r="X338" s="20">
        <v>0</v>
      </c>
      <c r="Y338" s="20">
        <v>0</v>
      </c>
      <c r="Z338" s="20">
        <v>0</v>
      </c>
      <c r="AA338" s="20">
        <v>0</v>
      </c>
      <c r="AB338" s="20">
        <v>0</v>
      </c>
      <c r="AC338" s="20">
        <v>0</v>
      </c>
      <c r="AD338" s="15">
        <f t="shared" si="61"/>
        <v>0</v>
      </c>
      <c r="AE338" s="15">
        <v>0</v>
      </c>
      <c r="AF338" s="15">
        <v>0</v>
      </c>
      <c r="AG338" s="15">
        <v>0</v>
      </c>
      <c r="AH338" s="15">
        <v>120</v>
      </c>
      <c r="AI338" s="15">
        <v>0</v>
      </c>
      <c r="AJ338" s="15">
        <v>30</v>
      </c>
      <c r="AK338" s="15">
        <v>10</v>
      </c>
      <c r="AL338" s="15">
        <v>30</v>
      </c>
      <c r="AM338" s="15">
        <f t="shared" si="60"/>
        <v>190</v>
      </c>
      <c r="AN338" s="29">
        <f t="shared" si="68"/>
        <v>600</v>
      </c>
      <c r="AO338" s="19">
        <v>420</v>
      </c>
      <c r="AP338" s="21">
        <v>0</v>
      </c>
      <c r="AQ338" s="22">
        <v>0</v>
      </c>
      <c r="AR338" s="26">
        <f t="shared" si="64"/>
        <v>420</v>
      </c>
      <c r="AS338" s="37">
        <f t="shared" si="69"/>
        <v>1</v>
      </c>
      <c r="AT338" s="38">
        <f t="shared" si="63"/>
        <v>0.7</v>
      </c>
      <c r="AU338" s="38">
        <f t="shared" si="70"/>
        <v>1</v>
      </c>
      <c r="AV338" s="27">
        <f t="shared" si="71"/>
        <v>0.7</v>
      </c>
    </row>
    <row r="339" spans="1:48" s="1" customFormat="1" ht="21" customHeight="1" x14ac:dyDescent="0.25">
      <c r="A339" s="109">
        <v>46045</v>
      </c>
      <c r="B339" s="47" t="s">
        <v>49</v>
      </c>
      <c r="C339" s="79" t="s">
        <v>21</v>
      </c>
      <c r="D339" s="47" t="s">
        <v>88</v>
      </c>
      <c r="E339" s="48">
        <v>98992</v>
      </c>
      <c r="F339" s="48" t="s">
        <v>126</v>
      </c>
      <c r="G339" s="48" t="s">
        <v>87</v>
      </c>
      <c r="H339" s="30">
        <v>13106</v>
      </c>
      <c r="I339" s="30"/>
      <c r="J339" s="30">
        <v>32</v>
      </c>
      <c r="K339" s="28">
        <f t="shared" si="65"/>
        <v>112.5</v>
      </c>
      <c r="L339" s="31">
        <v>0.25</v>
      </c>
      <c r="M339" s="31">
        <v>0.60416666666666696</v>
      </c>
      <c r="N339" s="32">
        <f t="shared" si="62"/>
        <v>0.35416666666666696</v>
      </c>
      <c r="O339" s="36">
        <v>510</v>
      </c>
      <c r="P339" s="36">
        <f t="shared" si="66"/>
        <v>380</v>
      </c>
      <c r="Q339" s="36">
        <f t="shared" si="67"/>
        <v>380</v>
      </c>
      <c r="R339" s="15">
        <v>0</v>
      </c>
      <c r="S339" s="20">
        <v>0</v>
      </c>
      <c r="T339" s="16">
        <v>0</v>
      </c>
      <c r="U339" s="16">
        <v>0</v>
      </c>
      <c r="V339" s="20">
        <v>0</v>
      </c>
      <c r="W339" s="20">
        <v>0</v>
      </c>
      <c r="X339" s="20">
        <v>0</v>
      </c>
      <c r="Y339" s="20">
        <v>0</v>
      </c>
      <c r="Z339" s="20">
        <v>0</v>
      </c>
      <c r="AA339" s="20">
        <v>0</v>
      </c>
      <c r="AB339" s="20">
        <v>0</v>
      </c>
      <c r="AC339" s="20">
        <v>0</v>
      </c>
      <c r="AD339" s="15">
        <f t="shared" si="61"/>
        <v>0</v>
      </c>
      <c r="AE339" s="15">
        <v>0</v>
      </c>
      <c r="AF339" s="15">
        <v>0</v>
      </c>
      <c r="AG339" s="15">
        <v>0</v>
      </c>
      <c r="AH339" s="15">
        <v>60</v>
      </c>
      <c r="AI339" s="15">
        <v>0</v>
      </c>
      <c r="AJ339" s="15">
        <v>30</v>
      </c>
      <c r="AK339" s="15">
        <v>10</v>
      </c>
      <c r="AL339" s="15">
        <v>30</v>
      </c>
      <c r="AM339" s="15">
        <f t="shared" si="60"/>
        <v>130</v>
      </c>
      <c r="AN339" s="29">
        <f t="shared" si="68"/>
        <v>712.5</v>
      </c>
      <c r="AO339" s="19">
        <v>640</v>
      </c>
      <c r="AP339" s="21">
        <v>0</v>
      </c>
      <c r="AQ339" s="22">
        <v>6</v>
      </c>
      <c r="AR339" s="26">
        <f t="shared" si="64"/>
        <v>634</v>
      </c>
      <c r="AS339" s="37">
        <f t="shared" si="69"/>
        <v>1</v>
      </c>
      <c r="AT339" s="38">
        <f t="shared" si="63"/>
        <v>0.89824561403508774</v>
      </c>
      <c r="AU339" s="38">
        <f t="shared" si="70"/>
        <v>0.99062499999999998</v>
      </c>
      <c r="AV339" s="27">
        <f t="shared" si="71"/>
        <v>0.88982456140350874</v>
      </c>
    </row>
    <row r="340" spans="1:48" s="1" customFormat="1" ht="21" customHeight="1" x14ac:dyDescent="0.25">
      <c r="A340" s="109">
        <v>46045</v>
      </c>
      <c r="B340" s="47" t="s">
        <v>49</v>
      </c>
      <c r="C340" s="79" t="s">
        <v>21</v>
      </c>
      <c r="D340" s="47" t="s">
        <v>89</v>
      </c>
      <c r="E340" s="48">
        <v>98992</v>
      </c>
      <c r="F340" s="48" t="s">
        <v>169</v>
      </c>
      <c r="G340" s="48" t="s">
        <v>87</v>
      </c>
      <c r="H340" s="30">
        <v>16219</v>
      </c>
      <c r="I340" s="30"/>
      <c r="J340" s="30">
        <v>32</v>
      </c>
      <c r="K340" s="28">
        <f t="shared" si="65"/>
        <v>112.5</v>
      </c>
      <c r="L340" s="31">
        <v>0.25</v>
      </c>
      <c r="M340" s="31">
        <v>0.60416666666666696</v>
      </c>
      <c r="N340" s="32">
        <f t="shared" si="62"/>
        <v>0.35416666666666696</v>
      </c>
      <c r="O340" s="36">
        <v>510</v>
      </c>
      <c r="P340" s="36">
        <f t="shared" si="66"/>
        <v>380</v>
      </c>
      <c r="Q340" s="36">
        <f t="shared" si="67"/>
        <v>380</v>
      </c>
      <c r="R340" s="15">
        <v>0</v>
      </c>
      <c r="S340" s="20">
        <v>0</v>
      </c>
      <c r="T340" s="16">
        <v>0</v>
      </c>
      <c r="U340" s="16">
        <v>0</v>
      </c>
      <c r="V340" s="20">
        <v>0</v>
      </c>
      <c r="W340" s="20">
        <v>0</v>
      </c>
      <c r="X340" s="20">
        <v>0</v>
      </c>
      <c r="Y340" s="20">
        <v>0</v>
      </c>
      <c r="Z340" s="20">
        <v>0</v>
      </c>
      <c r="AA340" s="20">
        <v>0</v>
      </c>
      <c r="AB340" s="20">
        <v>0</v>
      </c>
      <c r="AC340" s="20">
        <v>0</v>
      </c>
      <c r="AD340" s="15">
        <f t="shared" si="61"/>
        <v>0</v>
      </c>
      <c r="AE340" s="15">
        <v>0</v>
      </c>
      <c r="AF340" s="15">
        <v>0</v>
      </c>
      <c r="AG340" s="15">
        <v>0</v>
      </c>
      <c r="AH340" s="15">
        <v>60</v>
      </c>
      <c r="AI340" s="15">
        <v>0</v>
      </c>
      <c r="AJ340" s="15">
        <v>30</v>
      </c>
      <c r="AK340" s="15">
        <v>10</v>
      </c>
      <c r="AL340" s="15">
        <v>30</v>
      </c>
      <c r="AM340" s="15">
        <f t="shared" si="60"/>
        <v>130</v>
      </c>
      <c r="AN340" s="29">
        <f t="shared" si="68"/>
        <v>712.5</v>
      </c>
      <c r="AO340" s="19">
        <v>623</v>
      </c>
      <c r="AP340" s="21">
        <v>0</v>
      </c>
      <c r="AQ340" s="22">
        <v>0</v>
      </c>
      <c r="AR340" s="26">
        <f t="shared" si="64"/>
        <v>623</v>
      </c>
      <c r="AS340" s="37">
        <f t="shared" si="69"/>
        <v>1</v>
      </c>
      <c r="AT340" s="38">
        <f t="shared" si="63"/>
        <v>0.87438596491228071</v>
      </c>
      <c r="AU340" s="38">
        <f t="shared" si="70"/>
        <v>1</v>
      </c>
      <c r="AV340" s="27">
        <f t="shared" si="71"/>
        <v>0.87438596491228071</v>
      </c>
    </row>
    <row r="341" spans="1:48" s="1" customFormat="1" ht="21" customHeight="1" x14ac:dyDescent="0.25">
      <c r="A341" s="109">
        <v>46045</v>
      </c>
      <c r="B341" s="47" t="s">
        <v>49</v>
      </c>
      <c r="C341" s="79" t="s">
        <v>21</v>
      </c>
      <c r="D341" s="47" t="s">
        <v>94</v>
      </c>
      <c r="E341" s="48">
        <v>98992</v>
      </c>
      <c r="F341" s="48" t="s">
        <v>67</v>
      </c>
      <c r="G341" s="48" t="s">
        <v>174</v>
      </c>
      <c r="H341" s="30">
        <v>15726</v>
      </c>
      <c r="I341" s="30"/>
      <c r="J341" s="30">
        <v>24</v>
      </c>
      <c r="K341" s="28">
        <f t="shared" si="65"/>
        <v>150</v>
      </c>
      <c r="L341" s="31">
        <v>0.25</v>
      </c>
      <c r="M341" s="31">
        <v>0.60416666666666696</v>
      </c>
      <c r="N341" s="32">
        <f t="shared" si="62"/>
        <v>0.35416666666666696</v>
      </c>
      <c r="O341" s="36">
        <v>510</v>
      </c>
      <c r="P341" s="36">
        <f t="shared" si="66"/>
        <v>260</v>
      </c>
      <c r="Q341" s="36">
        <f t="shared" si="67"/>
        <v>260</v>
      </c>
      <c r="R341" s="15">
        <v>0</v>
      </c>
      <c r="S341" s="20">
        <v>0</v>
      </c>
      <c r="T341" s="16">
        <v>0</v>
      </c>
      <c r="U341" s="16">
        <v>0</v>
      </c>
      <c r="V341" s="20">
        <v>0</v>
      </c>
      <c r="W341" s="20">
        <v>0</v>
      </c>
      <c r="X341" s="20">
        <v>0</v>
      </c>
      <c r="Y341" s="20">
        <v>0</v>
      </c>
      <c r="Z341" s="20">
        <v>0</v>
      </c>
      <c r="AA341" s="20">
        <v>0</v>
      </c>
      <c r="AB341" s="20">
        <v>0</v>
      </c>
      <c r="AC341" s="20">
        <v>0</v>
      </c>
      <c r="AD341" s="15">
        <f t="shared" si="61"/>
        <v>0</v>
      </c>
      <c r="AE341" s="15">
        <v>0</v>
      </c>
      <c r="AF341" s="15">
        <v>0</v>
      </c>
      <c r="AG341" s="15">
        <v>0</v>
      </c>
      <c r="AH341" s="15">
        <v>180</v>
      </c>
      <c r="AI341" s="15">
        <v>0</v>
      </c>
      <c r="AJ341" s="15">
        <v>30</v>
      </c>
      <c r="AK341" s="15">
        <v>10</v>
      </c>
      <c r="AL341" s="15">
        <v>30</v>
      </c>
      <c r="AM341" s="15">
        <f t="shared" si="60"/>
        <v>250</v>
      </c>
      <c r="AN341" s="29">
        <f t="shared" si="68"/>
        <v>650</v>
      </c>
      <c r="AO341" s="19">
        <v>434</v>
      </c>
      <c r="AP341" s="21">
        <v>0</v>
      </c>
      <c r="AQ341" s="22">
        <v>13</v>
      </c>
      <c r="AR341" s="26">
        <f t="shared" si="64"/>
        <v>421</v>
      </c>
      <c r="AS341" s="37">
        <f t="shared" si="69"/>
        <v>1</v>
      </c>
      <c r="AT341" s="38">
        <f t="shared" si="63"/>
        <v>0.6676923076923077</v>
      </c>
      <c r="AU341" s="38">
        <f t="shared" si="70"/>
        <v>0.97004608294930872</v>
      </c>
      <c r="AV341" s="27">
        <f t="shared" si="71"/>
        <v>0.64769230769230768</v>
      </c>
    </row>
    <row r="342" spans="1:48" s="1" customFormat="1" ht="21" customHeight="1" x14ac:dyDescent="0.25">
      <c r="A342" s="109">
        <v>46045</v>
      </c>
      <c r="B342" s="47" t="s">
        <v>49</v>
      </c>
      <c r="C342" s="79" t="s">
        <v>51</v>
      </c>
      <c r="D342" s="47" t="s">
        <v>94</v>
      </c>
      <c r="E342" s="48">
        <v>98992</v>
      </c>
      <c r="F342" s="48" t="s">
        <v>67</v>
      </c>
      <c r="G342" s="48" t="s">
        <v>174</v>
      </c>
      <c r="H342" s="30">
        <v>13562</v>
      </c>
      <c r="I342" s="30"/>
      <c r="J342" s="30">
        <v>24</v>
      </c>
      <c r="K342" s="28">
        <f t="shared" si="65"/>
        <v>150</v>
      </c>
      <c r="L342" s="31">
        <v>0.58333333333333337</v>
      </c>
      <c r="M342" s="31">
        <v>0.9375</v>
      </c>
      <c r="N342" s="32">
        <f t="shared" si="62"/>
        <v>0.35416666666666663</v>
      </c>
      <c r="O342" s="36">
        <v>510</v>
      </c>
      <c r="P342" s="36">
        <f t="shared" si="66"/>
        <v>440</v>
      </c>
      <c r="Q342" s="36">
        <f t="shared" si="67"/>
        <v>440</v>
      </c>
      <c r="R342" s="15">
        <v>0</v>
      </c>
      <c r="S342" s="20">
        <v>0</v>
      </c>
      <c r="T342" s="16">
        <v>0</v>
      </c>
      <c r="U342" s="16">
        <v>0</v>
      </c>
      <c r="V342" s="20">
        <v>0</v>
      </c>
      <c r="W342" s="20">
        <v>0</v>
      </c>
      <c r="X342" s="20">
        <v>0</v>
      </c>
      <c r="Y342" s="20">
        <v>0</v>
      </c>
      <c r="Z342" s="20">
        <v>0</v>
      </c>
      <c r="AA342" s="20">
        <v>0</v>
      </c>
      <c r="AB342" s="20">
        <v>0</v>
      </c>
      <c r="AC342" s="20">
        <v>0</v>
      </c>
      <c r="AD342" s="15">
        <f t="shared" si="61"/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30</v>
      </c>
      <c r="AK342" s="15">
        <v>10</v>
      </c>
      <c r="AL342" s="15">
        <v>30</v>
      </c>
      <c r="AM342" s="15">
        <f t="shared" si="60"/>
        <v>70</v>
      </c>
      <c r="AN342" s="29">
        <f t="shared" si="68"/>
        <v>1100</v>
      </c>
      <c r="AO342" s="19">
        <v>1016</v>
      </c>
      <c r="AP342" s="21">
        <v>0</v>
      </c>
      <c r="AQ342" s="22">
        <v>225</v>
      </c>
      <c r="AR342" s="26">
        <f t="shared" si="64"/>
        <v>791</v>
      </c>
      <c r="AS342" s="37">
        <f t="shared" si="69"/>
        <v>1</v>
      </c>
      <c r="AT342" s="38">
        <f t="shared" si="63"/>
        <v>0.92363636363636359</v>
      </c>
      <c r="AU342" s="38">
        <f t="shared" si="70"/>
        <v>0.77854330708661412</v>
      </c>
      <c r="AV342" s="27">
        <f t="shared" si="71"/>
        <v>0.719090909090909</v>
      </c>
    </row>
    <row r="343" spans="1:48" s="1" customFormat="1" ht="21" customHeight="1" x14ac:dyDescent="0.25">
      <c r="A343" s="109">
        <v>46045</v>
      </c>
      <c r="B343" s="47" t="s">
        <v>49</v>
      </c>
      <c r="C343" s="79" t="s">
        <v>51</v>
      </c>
      <c r="D343" s="47" t="s">
        <v>88</v>
      </c>
      <c r="E343" s="48">
        <v>98992</v>
      </c>
      <c r="F343" s="48" t="s">
        <v>126</v>
      </c>
      <c r="G343" s="48" t="s">
        <v>87</v>
      </c>
      <c r="H343" s="30">
        <v>15036</v>
      </c>
      <c r="I343" s="30"/>
      <c r="J343" s="30">
        <v>32</v>
      </c>
      <c r="K343" s="28">
        <f t="shared" si="65"/>
        <v>112.5</v>
      </c>
      <c r="L343" s="31">
        <v>0.58333333333333337</v>
      </c>
      <c r="M343" s="31">
        <v>0.9375</v>
      </c>
      <c r="N343" s="32">
        <f t="shared" si="62"/>
        <v>0.35416666666666663</v>
      </c>
      <c r="O343" s="36">
        <v>510</v>
      </c>
      <c r="P343" s="36">
        <f t="shared" si="66"/>
        <v>380</v>
      </c>
      <c r="Q343" s="36">
        <f t="shared" si="67"/>
        <v>380</v>
      </c>
      <c r="R343" s="15">
        <v>0</v>
      </c>
      <c r="S343" s="20">
        <v>0</v>
      </c>
      <c r="T343" s="16">
        <v>0</v>
      </c>
      <c r="U343" s="16">
        <v>0</v>
      </c>
      <c r="V343" s="20">
        <v>0</v>
      </c>
      <c r="W343" s="20">
        <v>0</v>
      </c>
      <c r="X343" s="20">
        <v>0</v>
      </c>
      <c r="Y343" s="20">
        <v>0</v>
      </c>
      <c r="Z343" s="20">
        <v>0</v>
      </c>
      <c r="AA343" s="20">
        <v>0</v>
      </c>
      <c r="AB343" s="20">
        <v>0</v>
      </c>
      <c r="AC343" s="20">
        <v>0</v>
      </c>
      <c r="AD343" s="15">
        <f t="shared" si="61"/>
        <v>0</v>
      </c>
      <c r="AE343" s="15">
        <v>0</v>
      </c>
      <c r="AF343" s="15">
        <v>0</v>
      </c>
      <c r="AG343" s="15">
        <v>0</v>
      </c>
      <c r="AH343" s="15">
        <v>60</v>
      </c>
      <c r="AI343" s="15">
        <v>0</v>
      </c>
      <c r="AJ343" s="15">
        <v>30</v>
      </c>
      <c r="AK343" s="15">
        <v>10</v>
      </c>
      <c r="AL343" s="15">
        <v>30</v>
      </c>
      <c r="AM343" s="15">
        <f t="shared" ref="AM343:AM372" si="72">SUM(AE343:AL343)</f>
        <v>130</v>
      </c>
      <c r="AN343" s="29">
        <f t="shared" si="68"/>
        <v>712.5</v>
      </c>
      <c r="AO343" s="19">
        <v>652</v>
      </c>
      <c r="AP343" s="21">
        <v>0</v>
      </c>
      <c r="AQ343" s="22">
        <v>2</v>
      </c>
      <c r="AR343" s="26">
        <f t="shared" si="64"/>
        <v>650</v>
      </c>
      <c r="AS343" s="37">
        <f t="shared" si="69"/>
        <v>1</v>
      </c>
      <c r="AT343" s="38">
        <f t="shared" si="63"/>
        <v>0.91508771929824562</v>
      </c>
      <c r="AU343" s="38">
        <f t="shared" si="70"/>
        <v>0.99693251533742333</v>
      </c>
      <c r="AV343" s="27">
        <f t="shared" si="71"/>
        <v>0.91228070175438603</v>
      </c>
    </row>
    <row r="344" spans="1:48" s="1" customFormat="1" ht="21" customHeight="1" x14ac:dyDescent="0.25">
      <c r="A344" s="109">
        <v>46045</v>
      </c>
      <c r="B344" s="47" t="s">
        <v>49</v>
      </c>
      <c r="C344" s="79" t="s">
        <v>51</v>
      </c>
      <c r="D344" s="47" t="s">
        <v>89</v>
      </c>
      <c r="E344" s="48">
        <v>98992</v>
      </c>
      <c r="F344" s="48" t="s">
        <v>169</v>
      </c>
      <c r="G344" s="48" t="s">
        <v>87</v>
      </c>
      <c r="H344" s="30">
        <v>11682</v>
      </c>
      <c r="I344" s="30"/>
      <c r="J344" s="30">
        <v>32</v>
      </c>
      <c r="K344" s="28">
        <f t="shared" si="65"/>
        <v>112.5</v>
      </c>
      <c r="L344" s="31">
        <v>0.58333333333333337</v>
      </c>
      <c r="M344" s="31">
        <v>0.9375</v>
      </c>
      <c r="N344" s="32">
        <f t="shared" si="62"/>
        <v>0.35416666666666663</v>
      </c>
      <c r="O344" s="36">
        <v>510</v>
      </c>
      <c r="P344" s="36">
        <f t="shared" si="66"/>
        <v>320</v>
      </c>
      <c r="Q344" s="36">
        <f t="shared" si="67"/>
        <v>320</v>
      </c>
      <c r="R344" s="15">
        <v>0</v>
      </c>
      <c r="S344" s="20">
        <v>0</v>
      </c>
      <c r="T344" s="16">
        <v>0</v>
      </c>
      <c r="U344" s="16">
        <v>0</v>
      </c>
      <c r="V344" s="20">
        <v>0</v>
      </c>
      <c r="W344" s="20">
        <v>0</v>
      </c>
      <c r="X344" s="20">
        <v>0</v>
      </c>
      <c r="Y344" s="20">
        <v>0</v>
      </c>
      <c r="Z344" s="20">
        <v>0</v>
      </c>
      <c r="AA344" s="20">
        <v>0</v>
      </c>
      <c r="AB344" s="20">
        <v>0</v>
      </c>
      <c r="AC344" s="20">
        <v>0</v>
      </c>
      <c r="AD344" s="15">
        <f t="shared" ref="AD344:AD372" si="73">SUM(R344:AC344)</f>
        <v>0</v>
      </c>
      <c r="AE344" s="15">
        <v>0</v>
      </c>
      <c r="AF344" s="15">
        <v>0</v>
      </c>
      <c r="AG344" s="15">
        <v>0</v>
      </c>
      <c r="AH344" s="15">
        <v>120</v>
      </c>
      <c r="AI344" s="15">
        <v>0</v>
      </c>
      <c r="AJ344" s="15">
        <v>30</v>
      </c>
      <c r="AK344" s="15">
        <v>10</v>
      </c>
      <c r="AL344" s="15">
        <v>30</v>
      </c>
      <c r="AM344" s="15">
        <f t="shared" si="72"/>
        <v>190</v>
      </c>
      <c r="AN344" s="29">
        <f t="shared" si="68"/>
        <v>600</v>
      </c>
      <c r="AO344" s="19">
        <v>460</v>
      </c>
      <c r="AP344" s="21">
        <v>0</v>
      </c>
      <c r="AQ344" s="22">
        <v>2</v>
      </c>
      <c r="AR344" s="26">
        <f t="shared" si="64"/>
        <v>458</v>
      </c>
      <c r="AS344" s="37">
        <f t="shared" si="69"/>
        <v>1</v>
      </c>
      <c r="AT344" s="38">
        <f t="shared" si="63"/>
        <v>0.76666666666666672</v>
      </c>
      <c r="AU344" s="38">
        <f t="shared" si="70"/>
        <v>0.9956521739130435</v>
      </c>
      <c r="AV344" s="27">
        <f t="shared" si="71"/>
        <v>0.76333333333333342</v>
      </c>
    </row>
    <row r="345" spans="1:48" s="1" customFormat="1" ht="21" customHeight="1" x14ac:dyDescent="0.25">
      <c r="A345" s="109">
        <v>46045</v>
      </c>
      <c r="B345" s="47" t="s">
        <v>49</v>
      </c>
      <c r="C345" s="79" t="s">
        <v>51</v>
      </c>
      <c r="D345" s="47" t="s">
        <v>52</v>
      </c>
      <c r="E345" s="48">
        <v>98992</v>
      </c>
      <c r="F345" s="48" t="s">
        <v>53</v>
      </c>
      <c r="G345" s="48" t="s">
        <v>87</v>
      </c>
      <c r="H345" s="30">
        <v>16000</v>
      </c>
      <c r="I345" s="30"/>
      <c r="J345" s="30">
        <v>32</v>
      </c>
      <c r="K345" s="28">
        <f t="shared" si="65"/>
        <v>112.5</v>
      </c>
      <c r="L345" s="31">
        <v>0.58333333333333337</v>
      </c>
      <c r="M345" s="31">
        <v>0.9375</v>
      </c>
      <c r="N345" s="32">
        <f t="shared" si="62"/>
        <v>0.35416666666666663</v>
      </c>
      <c r="O345" s="36">
        <v>510</v>
      </c>
      <c r="P345" s="36">
        <f t="shared" si="66"/>
        <v>260</v>
      </c>
      <c r="Q345" s="36">
        <f t="shared" si="67"/>
        <v>260</v>
      </c>
      <c r="R345" s="15">
        <v>0</v>
      </c>
      <c r="S345" s="20">
        <v>0</v>
      </c>
      <c r="T345" s="16">
        <v>0</v>
      </c>
      <c r="U345" s="16">
        <v>0</v>
      </c>
      <c r="V345" s="20">
        <v>0</v>
      </c>
      <c r="W345" s="20">
        <v>0</v>
      </c>
      <c r="X345" s="20">
        <v>0</v>
      </c>
      <c r="Y345" s="20">
        <v>0</v>
      </c>
      <c r="Z345" s="20">
        <v>0</v>
      </c>
      <c r="AA345" s="20">
        <v>0</v>
      </c>
      <c r="AB345" s="20">
        <v>0</v>
      </c>
      <c r="AC345" s="20">
        <v>0</v>
      </c>
      <c r="AD345" s="15">
        <f t="shared" si="73"/>
        <v>0</v>
      </c>
      <c r="AE345" s="15">
        <v>0</v>
      </c>
      <c r="AF345" s="15">
        <v>0</v>
      </c>
      <c r="AG345" s="15">
        <v>0</v>
      </c>
      <c r="AH345" s="15">
        <v>180</v>
      </c>
      <c r="AI345" s="15">
        <v>0</v>
      </c>
      <c r="AJ345" s="15">
        <v>30</v>
      </c>
      <c r="AK345" s="15">
        <v>10</v>
      </c>
      <c r="AL345" s="15">
        <v>30</v>
      </c>
      <c r="AM345" s="15">
        <f t="shared" si="72"/>
        <v>250</v>
      </c>
      <c r="AN345" s="29">
        <f t="shared" si="68"/>
        <v>487.5</v>
      </c>
      <c r="AO345" s="19">
        <v>340</v>
      </c>
      <c r="AP345" s="21">
        <v>0</v>
      </c>
      <c r="AQ345" s="22">
        <v>1</v>
      </c>
      <c r="AR345" s="26">
        <f t="shared" si="64"/>
        <v>339</v>
      </c>
      <c r="AS345" s="37">
        <f t="shared" si="69"/>
        <v>1</v>
      </c>
      <c r="AT345" s="38">
        <f t="shared" si="63"/>
        <v>0.6974358974358974</v>
      </c>
      <c r="AU345" s="38">
        <f t="shared" si="70"/>
        <v>0.99705882352941178</v>
      </c>
      <c r="AV345" s="27">
        <f t="shared" si="71"/>
        <v>0.69538461538461538</v>
      </c>
    </row>
    <row r="346" spans="1:48" s="1" customFormat="1" ht="21" customHeight="1" x14ac:dyDescent="0.25">
      <c r="A346" s="109">
        <v>46045</v>
      </c>
      <c r="B346" s="47" t="s">
        <v>49</v>
      </c>
      <c r="C346" s="79" t="s">
        <v>51</v>
      </c>
      <c r="D346" s="47" t="s">
        <v>86</v>
      </c>
      <c r="E346" s="48">
        <v>98992</v>
      </c>
      <c r="F346" s="48" t="s">
        <v>176</v>
      </c>
      <c r="G346" s="48" t="s">
        <v>87</v>
      </c>
      <c r="H346" s="30">
        <v>15688</v>
      </c>
      <c r="I346" s="30"/>
      <c r="J346" s="30">
        <v>20</v>
      </c>
      <c r="K346" s="28">
        <f t="shared" si="65"/>
        <v>180</v>
      </c>
      <c r="L346" s="31">
        <v>0.58333333333333337</v>
      </c>
      <c r="M346" s="31">
        <v>0.9375</v>
      </c>
      <c r="N346" s="32">
        <f t="shared" si="62"/>
        <v>0.35416666666666663</v>
      </c>
      <c r="O346" s="36">
        <v>510</v>
      </c>
      <c r="P346" s="36">
        <f t="shared" si="66"/>
        <v>200</v>
      </c>
      <c r="Q346" s="36">
        <f t="shared" si="67"/>
        <v>200</v>
      </c>
      <c r="R346" s="15">
        <v>0</v>
      </c>
      <c r="S346" s="20">
        <v>0</v>
      </c>
      <c r="T346" s="16">
        <v>0</v>
      </c>
      <c r="U346" s="16">
        <v>0</v>
      </c>
      <c r="V346" s="20">
        <v>0</v>
      </c>
      <c r="W346" s="20">
        <v>0</v>
      </c>
      <c r="X346" s="20">
        <v>0</v>
      </c>
      <c r="Y346" s="20">
        <v>0</v>
      </c>
      <c r="Z346" s="20">
        <v>0</v>
      </c>
      <c r="AA346" s="20">
        <v>0</v>
      </c>
      <c r="AB346" s="20">
        <v>0</v>
      </c>
      <c r="AC346" s="20">
        <v>0</v>
      </c>
      <c r="AD346" s="15">
        <f t="shared" si="73"/>
        <v>0</v>
      </c>
      <c r="AE346" s="15">
        <v>0</v>
      </c>
      <c r="AF346" s="15">
        <v>0</v>
      </c>
      <c r="AG346" s="15">
        <v>0</v>
      </c>
      <c r="AH346" s="15">
        <v>240</v>
      </c>
      <c r="AI346" s="15">
        <v>0</v>
      </c>
      <c r="AJ346" s="15">
        <v>30</v>
      </c>
      <c r="AK346" s="15">
        <v>10</v>
      </c>
      <c r="AL346" s="15">
        <v>30</v>
      </c>
      <c r="AM346" s="15">
        <f t="shared" si="72"/>
        <v>310</v>
      </c>
      <c r="AN346" s="29">
        <f t="shared" si="68"/>
        <v>600</v>
      </c>
      <c r="AO346" s="19">
        <v>432</v>
      </c>
      <c r="AP346" s="21">
        <v>0</v>
      </c>
      <c r="AQ346" s="22">
        <v>0</v>
      </c>
      <c r="AR346" s="26">
        <f t="shared" si="64"/>
        <v>432</v>
      </c>
      <c r="AS346" s="37">
        <f t="shared" si="69"/>
        <v>1</v>
      </c>
      <c r="AT346" s="38">
        <f t="shared" si="63"/>
        <v>0.72</v>
      </c>
      <c r="AU346" s="38">
        <f t="shared" si="70"/>
        <v>1</v>
      </c>
      <c r="AV346" s="27">
        <f t="shared" si="71"/>
        <v>0.72</v>
      </c>
    </row>
    <row r="347" spans="1:48" s="1" customFormat="1" ht="21" customHeight="1" x14ac:dyDescent="0.25">
      <c r="A347" s="109">
        <v>46045</v>
      </c>
      <c r="B347" s="47" t="s">
        <v>49</v>
      </c>
      <c r="C347" s="79" t="s">
        <v>51</v>
      </c>
      <c r="D347" s="47" t="s">
        <v>172</v>
      </c>
      <c r="E347" s="48">
        <v>98992</v>
      </c>
      <c r="F347" s="48" t="s">
        <v>175</v>
      </c>
      <c r="G347" s="48" t="s">
        <v>87</v>
      </c>
      <c r="H347" s="30">
        <v>15679</v>
      </c>
      <c r="I347" s="30"/>
      <c r="J347" s="30">
        <v>20</v>
      </c>
      <c r="K347" s="28">
        <f t="shared" si="65"/>
        <v>180</v>
      </c>
      <c r="L347" s="31">
        <v>0.58333333333333337</v>
      </c>
      <c r="M347" s="31">
        <v>0.9375</v>
      </c>
      <c r="N347" s="32">
        <f t="shared" si="62"/>
        <v>0.35416666666666663</v>
      </c>
      <c r="O347" s="36">
        <v>510</v>
      </c>
      <c r="P347" s="36">
        <f t="shared" si="66"/>
        <v>200</v>
      </c>
      <c r="Q347" s="36">
        <f t="shared" si="67"/>
        <v>200</v>
      </c>
      <c r="R347" s="15">
        <v>0</v>
      </c>
      <c r="S347" s="20">
        <v>0</v>
      </c>
      <c r="T347" s="16">
        <v>0</v>
      </c>
      <c r="U347" s="16">
        <v>0</v>
      </c>
      <c r="V347" s="20">
        <v>0</v>
      </c>
      <c r="W347" s="20">
        <v>0</v>
      </c>
      <c r="X347" s="20">
        <v>0</v>
      </c>
      <c r="Y347" s="20">
        <v>0</v>
      </c>
      <c r="Z347" s="20">
        <v>0</v>
      </c>
      <c r="AA347" s="20">
        <v>0</v>
      </c>
      <c r="AB347" s="20">
        <v>0</v>
      </c>
      <c r="AC347" s="20">
        <v>0</v>
      </c>
      <c r="AD347" s="15">
        <f t="shared" si="73"/>
        <v>0</v>
      </c>
      <c r="AE347" s="15">
        <v>0</v>
      </c>
      <c r="AF347" s="15">
        <v>0</v>
      </c>
      <c r="AG347" s="15">
        <v>0</v>
      </c>
      <c r="AH347" s="15">
        <v>240</v>
      </c>
      <c r="AI347" s="15">
        <v>0</v>
      </c>
      <c r="AJ347" s="15">
        <v>30</v>
      </c>
      <c r="AK347" s="15">
        <v>10</v>
      </c>
      <c r="AL347" s="15">
        <v>30</v>
      </c>
      <c r="AM347" s="15">
        <f t="shared" si="72"/>
        <v>310</v>
      </c>
      <c r="AN347" s="29">
        <f t="shared" si="68"/>
        <v>600</v>
      </c>
      <c r="AO347" s="19">
        <v>300</v>
      </c>
      <c r="AP347" s="21">
        <v>0</v>
      </c>
      <c r="AQ347" s="22">
        <v>0</v>
      </c>
      <c r="AR347" s="26">
        <f t="shared" si="64"/>
        <v>300</v>
      </c>
      <c r="AS347" s="37">
        <f t="shared" si="69"/>
        <v>1</v>
      </c>
      <c r="AT347" s="38">
        <f t="shared" si="63"/>
        <v>0.5</v>
      </c>
      <c r="AU347" s="38">
        <f t="shared" si="70"/>
        <v>1</v>
      </c>
      <c r="AV347" s="27">
        <f t="shared" si="71"/>
        <v>0.5</v>
      </c>
    </row>
    <row r="348" spans="1:48" s="1" customFormat="1" ht="21" customHeight="1" x14ac:dyDescent="0.25">
      <c r="A348" s="109">
        <v>46045</v>
      </c>
      <c r="B348" s="47" t="s">
        <v>49</v>
      </c>
      <c r="C348" s="79" t="s">
        <v>51</v>
      </c>
      <c r="D348" s="47" t="s">
        <v>124</v>
      </c>
      <c r="E348" s="48">
        <v>98992</v>
      </c>
      <c r="F348" s="48" t="s">
        <v>215</v>
      </c>
      <c r="G348" s="48" t="s">
        <v>125</v>
      </c>
      <c r="H348" s="30">
        <v>14972</v>
      </c>
      <c r="I348" s="30"/>
      <c r="J348" s="30">
        <v>32</v>
      </c>
      <c r="K348" s="28">
        <f t="shared" si="65"/>
        <v>112.5</v>
      </c>
      <c r="L348" s="31">
        <v>0.58333333333333337</v>
      </c>
      <c r="M348" s="31">
        <v>0.9375</v>
      </c>
      <c r="N348" s="32">
        <f t="shared" si="62"/>
        <v>0.35416666666666663</v>
      </c>
      <c r="O348" s="36">
        <v>510</v>
      </c>
      <c r="P348" s="36">
        <f t="shared" si="66"/>
        <v>380</v>
      </c>
      <c r="Q348" s="36">
        <f t="shared" si="67"/>
        <v>380</v>
      </c>
      <c r="R348" s="15">
        <v>0</v>
      </c>
      <c r="S348" s="20">
        <v>0</v>
      </c>
      <c r="T348" s="16">
        <v>0</v>
      </c>
      <c r="U348" s="16">
        <v>0</v>
      </c>
      <c r="V348" s="20">
        <v>0</v>
      </c>
      <c r="W348" s="20">
        <v>0</v>
      </c>
      <c r="X348" s="20">
        <v>0</v>
      </c>
      <c r="Y348" s="20">
        <v>0</v>
      </c>
      <c r="Z348" s="20">
        <v>0</v>
      </c>
      <c r="AA348" s="20">
        <v>0</v>
      </c>
      <c r="AB348" s="20">
        <v>0</v>
      </c>
      <c r="AC348" s="20">
        <v>0</v>
      </c>
      <c r="AD348" s="15">
        <f t="shared" si="73"/>
        <v>0</v>
      </c>
      <c r="AE348" s="15">
        <v>0</v>
      </c>
      <c r="AF348" s="15">
        <v>0</v>
      </c>
      <c r="AG348" s="15">
        <v>0</v>
      </c>
      <c r="AH348" s="15">
        <v>60</v>
      </c>
      <c r="AI348" s="15">
        <v>0</v>
      </c>
      <c r="AJ348" s="15">
        <v>30</v>
      </c>
      <c r="AK348" s="15">
        <v>10</v>
      </c>
      <c r="AL348" s="15">
        <v>30</v>
      </c>
      <c r="AM348" s="15">
        <f t="shared" si="72"/>
        <v>130</v>
      </c>
      <c r="AN348" s="29">
        <f t="shared" si="68"/>
        <v>712.5</v>
      </c>
      <c r="AO348" s="19">
        <v>680</v>
      </c>
      <c r="AP348" s="21">
        <v>0</v>
      </c>
      <c r="AQ348" s="22">
        <v>5</v>
      </c>
      <c r="AR348" s="26">
        <f t="shared" si="64"/>
        <v>675</v>
      </c>
      <c r="AS348" s="37">
        <f t="shared" si="69"/>
        <v>1</v>
      </c>
      <c r="AT348" s="38">
        <f t="shared" si="63"/>
        <v>0.95438596491228067</v>
      </c>
      <c r="AU348" s="38">
        <f t="shared" si="70"/>
        <v>0.99264705882352944</v>
      </c>
      <c r="AV348" s="27">
        <f t="shared" si="71"/>
        <v>0.94736842105263153</v>
      </c>
    </row>
    <row r="349" spans="1:48" s="1" customFormat="1" ht="21" customHeight="1" x14ac:dyDescent="0.25">
      <c r="A349" s="109">
        <v>46045</v>
      </c>
      <c r="B349" s="47" t="s">
        <v>49</v>
      </c>
      <c r="C349" s="79" t="s">
        <v>51</v>
      </c>
      <c r="D349" s="47" t="s">
        <v>122</v>
      </c>
      <c r="E349" s="48">
        <v>98992</v>
      </c>
      <c r="F349" s="48" t="s">
        <v>169</v>
      </c>
      <c r="G349" s="48" t="s">
        <v>125</v>
      </c>
      <c r="H349" s="30">
        <v>15672</v>
      </c>
      <c r="I349" s="30"/>
      <c r="J349" s="30">
        <v>32</v>
      </c>
      <c r="K349" s="28">
        <f t="shared" si="65"/>
        <v>112.5</v>
      </c>
      <c r="L349" s="31">
        <v>0.58333333333333337</v>
      </c>
      <c r="M349" s="31">
        <v>0.9375</v>
      </c>
      <c r="N349" s="32">
        <f t="shared" si="62"/>
        <v>0.35416666666666663</v>
      </c>
      <c r="O349" s="36">
        <v>510</v>
      </c>
      <c r="P349" s="36">
        <f t="shared" si="66"/>
        <v>320</v>
      </c>
      <c r="Q349" s="36">
        <f t="shared" si="67"/>
        <v>320</v>
      </c>
      <c r="R349" s="15">
        <v>0</v>
      </c>
      <c r="S349" s="20">
        <v>0</v>
      </c>
      <c r="T349" s="16">
        <v>0</v>
      </c>
      <c r="U349" s="16">
        <v>0</v>
      </c>
      <c r="V349" s="20">
        <v>0</v>
      </c>
      <c r="W349" s="20">
        <v>0</v>
      </c>
      <c r="X349" s="20">
        <v>0</v>
      </c>
      <c r="Y349" s="20">
        <v>0</v>
      </c>
      <c r="Z349" s="20">
        <v>0</v>
      </c>
      <c r="AA349" s="20">
        <v>0</v>
      </c>
      <c r="AB349" s="20">
        <v>0</v>
      </c>
      <c r="AC349" s="20">
        <v>0</v>
      </c>
      <c r="AD349" s="15">
        <f t="shared" si="73"/>
        <v>0</v>
      </c>
      <c r="AE349" s="15">
        <v>0</v>
      </c>
      <c r="AF349" s="15">
        <v>0</v>
      </c>
      <c r="AG349" s="15">
        <v>0</v>
      </c>
      <c r="AH349" s="15">
        <v>120</v>
      </c>
      <c r="AI349" s="15">
        <v>0</v>
      </c>
      <c r="AJ349" s="15">
        <v>30</v>
      </c>
      <c r="AK349" s="15">
        <v>10</v>
      </c>
      <c r="AL349" s="15">
        <v>30</v>
      </c>
      <c r="AM349" s="15">
        <f t="shared" si="72"/>
        <v>190</v>
      </c>
      <c r="AN349" s="29">
        <f t="shared" si="68"/>
        <v>600</v>
      </c>
      <c r="AO349" s="19">
        <v>502</v>
      </c>
      <c r="AP349" s="21">
        <v>0</v>
      </c>
      <c r="AQ349" s="22">
        <v>3</v>
      </c>
      <c r="AR349" s="26">
        <f t="shared" si="64"/>
        <v>499</v>
      </c>
      <c r="AS349" s="37">
        <f t="shared" si="69"/>
        <v>1</v>
      </c>
      <c r="AT349" s="38">
        <f t="shared" si="63"/>
        <v>0.83666666666666667</v>
      </c>
      <c r="AU349" s="38">
        <f t="shared" si="70"/>
        <v>0.99402390438247012</v>
      </c>
      <c r="AV349" s="27">
        <f t="shared" si="71"/>
        <v>0.83166666666666667</v>
      </c>
    </row>
    <row r="350" spans="1:48" s="1" customFormat="1" ht="21" customHeight="1" x14ac:dyDescent="0.25">
      <c r="A350" s="109">
        <v>46045</v>
      </c>
      <c r="B350" s="47" t="s">
        <v>49</v>
      </c>
      <c r="C350" s="79" t="s">
        <v>51</v>
      </c>
      <c r="D350" s="47" t="s">
        <v>128</v>
      </c>
      <c r="E350" s="48">
        <v>98992</v>
      </c>
      <c r="F350" s="48" t="s">
        <v>53</v>
      </c>
      <c r="G350" s="48" t="s">
        <v>125</v>
      </c>
      <c r="H350" s="30">
        <v>15632</v>
      </c>
      <c r="I350" s="30"/>
      <c r="J350" s="30">
        <v>32</v>
      </c>
      <c r="K350" s="28">
        <f t="shared" si="65"/>
        <v>112.5</v>
      </c>
      <c r="L350" s="31">
        <v>0.58333333333333337</v>
      </c>
      <c r="M350" s="31">
        <v>0.9375</v>
      </c>
      <c r="N350" s="32">
        <f t="shared" si="62"/>
        <v>0.35416666666666663</v>
      </c>
      <c r="O350" s="36">
        <v>510</v>
      </c>
      <c r="P350" s="36">
        <f t="shared" si="66"/>
        <v>380</v>
      </c>
      <c r="Q350" s="36">
        <f t="shared" si="67"/>
        <v>380</v>
      </c>
      <c r="R350" s="15">
        <v>0</v>
      </c>
      <c r="S350" s="20">
        <v>0</v>
      </c>
      <c r="T350" s="16">
        <v>0</v>
      </c>
      <c r="U350" s="16">
        <v>0</v>
      </c>
      <c r="V350" s="20">
        <v>0</v>
      </c>
      <c r="W350" s="20">
        <v>0</v>
      </c>
      <c r="X350" s="20">
        <v>0</v>
      </c>
      <c r="Y350" s="20">
        <v>0</v>
      </c>
      <c r="Z350" s="20">
        <v>0</v>
      </c>
      <c r="AA350" s="20">
        <v>0</v>
      </c>
      <c r="AB350" s="20">
        <v>0</v>
      </c>
      <c r="AC350" s="20">
        <v>0</v>
      </c>
      <c r="AD350" s="15">
        <f t="shared" si="73"/>
        <v>0</v>
      </c>
      <c r="AE350" s="15">
        <v>0</v>
      </c>
      <c r="AF350" s="15">
        <v>0</v>
      </c>
      <c r="AG350" s="15">
        <v>0</v>
      </c>
      <c r="AH350" s="15">
        <v>60</v>
      </c>
      <c r="AI350" s="15">
        <v>0</v>
      </c>
      <c r="AJ350" s="15">
        <v>30</v>
      </c>
      <c r="AK350" s="15">
        <v>10</v>
      </c>
      <c r="AL350" s="15">
        <v>30</v>
      </c>
      <c r="AM350" s="15">
        <f t="shared" si="72"/>
        <v>130</v>
      </c>
      <c r="AN350" s="29">
        <f t="shared" si="68"/>
        <v>712.5</v>
      </c>
      <c r="AO350" s="19">
        <v>550</v>
      </c>
      <c r="AP350" s="21">
        <v>0</v>
      </c>
      <c r="AQ350" s="22">
        <v>2</v>
      </c>
      <c r="AR350" s="26">
        <f t="shared" si="64"/>
        <v>548</v>
      </c>
      <c r="AS350" s="37">
        <f t="shared" si="69"/>
        <v>1</v>
      </c>
      <c r="AT350" s="38">
        <f t="shared" si="63"/>
        <v>0.77192982456140347</v>
      </c>
      <c r="AU350" s="38">
        <f t="shared" si="70"/>
        <v>0.99636363636363634</v>
      </c>
      <c r="AV350" s="27">
        <f t="shared" si="71"/>
        <v>0.76912280701754376</v>
      </c>
    </row>
    <row r="351" spans="1:48" s="1" customFormat="1" ht="21" customHeight="1" x14ac:dyDescent="0.25">
      <c r="A351" s="109">
        <v>46045</v>
      </c>
      <c r="B351" s="47" t="s">
        <v>49</v>
      </c>
      <c r="C351" s="79" t="s">
        <v>51</v>
      </c>
      <c r="D351" s="47" t="s">
        <v>170</v>
      </c>
      <c r="E351" s="48">
        <v>98992</v>
      </c>
      <c r="F351" s="48" t="s">
        <v>176</v>
      </c>
      <c r="G351" s="48" t="s">
        <v>125</v>
      </c>
      <c r="H351" s="30">
        <v>16146</v>
      </c>
      <c r="I351" s="30"/>
      <c r="J351" s="30">
        <v>20</v>
      </c>
      <c r="K351" s="28">
        <f t="shared" si="65"/>
        <v>180</v>
      </c>
      <c r="L351" s="31">
        <v>0.58333333333333337</v>
      </c>
      <c r="M351" s="31">
        <v>0.9375</v>
      </c>
      <c r="N351" s="32">
        <f t="shared" si="62"/>
        <v>0.35416666666666663</v>
      </c>
      <c r="O351" s="36">
        <v>510</v>
      </c>
      <c r="P351" s="36">
        <f t="shared" si="66"/>
        <v>320</v>
      </c>
      <c r="Q351" s="36">
        <f t="shared" si="67"/>
        <v>320</v>
      </c>
      <c r="R351" s="15">
        <v>0</v>
      </c>
      <c r="S351" s="20">
        <v>0</v>
      </c>
      <c r="T351" s="16">
        <v>0</v>
      </c>
      <c r="U351" s="16">
        <v>0</v>
      </c>
      <c r="V351" s="20">
        <v>0</v>
      </c>
      <c r="W351" s="20">
        <v>0</v>
      </c>
      <c r="X351" s="20">
        <v>0</v>
      </c>
      <c r="Y351" s="20">
        <v>0</v>
      </c>
      <c r="Z351" s="20">
        <v>0</v>
      </c>
      <c r="AA351" s="20">
        <v>0</v>
      </c>
      <c r="AB351" s="20">
        <v>0</v>
      </c>
      <c r="AC351" s="20">
        <v>0</v>
      </c>
      <c r="AD351" s="15">
        <f t="shared" si="73"/>
        <v>0</v>
      </c>
      <c r="AE351" s="15">
        <v>0</v>
      </c>
      <c r="AF351" s="15">
        <v>0</v>
      </c>
      <c r="AG351" s="15">
        <v>0</v>
      </c>
      <c r="AH351" s="15">
        <v>120</v>
      </c>
      <c r="AI351" s="15">
        <v>0</v>
      </c>
      <c r="AJ351" s="15">
        <v>30</v>
      </c>
      <c r="AK351" s="15">
        <v>10</v>
      </c>
      <c r="AL351" s="15">
        <v>30</v>
      </c>
      <c r="AM351" s="15">
        <f t="shared" si="72"/>
        <v>190</v>
      </c>
      <c r="AN351" s="29">
        <f t="shared" si="68"/>
        <v>960</v>
      </c>
      <c r="AO351" s="19">
        <v>792</v>
      </c>
      <c r="AP351" s="21">
        <v>0</v>
      </c>
      <c r="AQ351" s="22">
        <v>0</v>
      </c>
      <c r="AR351" s="26">
        <f t="shared" si="64"/>
        <v>792</v>
      </c>
      <c r="AS351" s="37">
        <f t="shared" si="69"/>
        <v>1</v>
      </c>
      <c r="AT351" s="38">
        <f t="shared" si="63"/>
        <v>0.82499999999999996</v>
      </c>
      <c r="AU351" s="38">
        <f t="shared" si="70"/>
        <v>1</v>
      </c>
      <c r="AV351" s="27">
        <f t="shared" si="71"/>
        <v>0.82499999999999996</v>
      </c>
    </row>
    <row r="352" spans="1:48" s="1" customFormat="1" ht="21" customHeight="1" x14ac:dyDescent="0.25">
      <c r="A352" s="109">
        <v>46045</v>
      </c>
      <c r="B352" s="47" t="s">
        <v>49</v>
      </c>
      <c r="C352" s="79" t="s">
        <v>51</v>
      </c>
      <c r="D352" s="47" t="s">
        <v>127</v>
      </c>
      <c r="E352" s="48">
        <v>98992</v>
      </c>
      <c r="F352" s="48" t="s">
        <v>175</v>
      </c>
      <c r="G352" s="48" t="s">
        <v>125</v>
      </c>
      <c r="H352" s="30">
        <v>16000</v>
      </c>
      <c r="I352" s="30"/>
      <c r="J352" s="30">
        <v>20</v>
      </c>
      <c r="K352" s="28">
        <f t="shared" si="65"/>
        <v>180</v>
      </c>
      <c r="L352" s="31">
        <v>0.58333333333333337</v>
      </c>
      <c r="M352" s="31">
        <v>0.9375</v>
      </c>
      <c r="N352" s="32">
        <f t="shared" ref="N352:N415" si="74">IF(M352&gt;L352,M352-L352,1+M352-L352)</f>
        <v>0.35416666666666663</v>
      </c>
      <c r="O352" s="36">
        <v>510</v>
      </c>
      <c r="P352" s="36">
        <f t="shared" si="66"/>
        <v>260</v>
      </c>
      <c r="Q352" s="36">
        <f t="shared" si="67"/>
        <v>260</v>
      </c>
      <c r="R352" s="15">
        <v>0</v>
      </c>
      <c r="S352" s="20">
        <v>0</v>
      </c>
      <c r="T352" s="16">
        <v>0</v>
      </c>
      <c r="U352" s="16">
        <v>0</v>
      </c>
      <c r="V352" s="20">
        <v>0</v>
      </c>
      <c r="W352" s="20">
        <v>0</v>
      </c>
      <c r="X352" s="20">
        <v>0</v>
      </c>
      <c r="Y352" s="20">
        <v>0</v>
      </c>
      <c r="Z352" s="20">
        <v>0</v>
      </c>
      <c r="AA352" s="20">
        <v>0</v>
      </c>
      <c r="AB352" s="20">
        <v>0</v>
      </c>
      <c r="AC352" s="20">
        <v>0</v>
      </c>
      <c r="AD352" s="15">
        <f t="shared" si="73"/>
        <v>0</v>
      </c>
      <c r="AE352" s="15">
        <v>0</v>
      </c>
      <c r="AF352" s="15">
        <v>0</v>
      </c>
      <c r="AG352" s="15">
        <v>0</v>
      </c>
      <c r="AH352" s="15">
        <v>180</v>
      </c>
      <c r="AI352" s="15">
        <v>0</v>
      </c>
      <c r="AJ352" s="15">
        <v>30</v>
      </c>
      <c r="AK352" s="15">
        <v>10</v>
      </c>
      <c r="AL352" s="15">
        <v>30</v>
      </c>
      <c r="AM352" s="15">
        <f t="shared" si="72"/>
        <v>250</v>
      </c>
      <c r="AN352" s="29">
        <f t="shared" si="68"/>
        <v>780</v>
      </c>
      <c r="AO352" s="19">
        <v>408</v>
      </c>
      <c r="AP352" s="21">
        <v>0</v>
      </c>
      <c r="AQ352" s="22">
        <v>0</v>
      </c>
      <c r="AR352" s="26">
        <f t="shared" si="64"/>
        <v>408</v>
      </c>
      <c r="AS352" s="37">
        <f t="shared" si="69"/>
        <v>1</v>
      </c>
      <c r="AT352" s="38">
        <f t="shared" si="63"/>
        <v>0.52307692307692311</v>
      </c>
      <c r="AU352" s="38">
        <f t="shared" si="70"/>
        <v>1</v>
      </c>
      <c r="AV352" s="27">
        <f t="shared" si="71"/>
        <v>0.52307692307692311</v>
      </c>
    </row>
    <row r="353" spans="1:48" s="1" customFormat="1" ht="21" customHeight="1" x14ac:dyDescent="0.25">
      <c r="A353" s="109">
        <v>46046</v>
      </c>
      <c r="B353" s="47" t="s">
        <v>49</v>
      </c>
      <c r="C353" s="79" t="s">
        <v>21</v>
      </c>
      <c r="D353" s="47" t="s">
        <v>94</v>
      </c>
      <c r="E353" s="48">
        <v>98992</v>
      </c>
      <c r="F353" s="48" t="s">
        <v>67</v>
      </c>
      <c r="G353" s="48" t="s">
        <v>174</v>
      </c>
      <c r="H353" s="30">
        <v>15726</v>
      </c>
      <c r="I353" s="30"/>
      <c r="J353" s="30">
        <v>24</v>
      </c>
      <c r="K353" s="28">
        <f t="shared" si="65"/>
        <v>150</v>
      </c>
      <c r="L353" s="31">
        <v>0.25</v>
      </c>
      <c r="M353" s="31">
        <v>0.60416666666666696</v>
      </c>
      <c r="N353" s="32">
        <f t="shared" si="74"/>
        <v>0.35416666666666696</v>
      </c>
      <c r="O353" s="36">
        <v>510</v>
      </c>
      <c r="P353" s="36">
        <f t="shared" si="66"/>
        <v>440</v>
      </c>
      <c r="Q353" s="36">
        <f t="shared" si="67"/>
        <v>440</v>
      </c>
      <c r="R353" s="15">
        <v>0</v>
      </c>
      <c r="S353" s="20">
        <v>0</v>
      </c>
      <c r="T353" s="16">
        <v>0</v>
      </c>
      <c r="U353" s="16">
        <v>0</v>
      </c>
      <c r="V353" s="20">
        <v>0</v>
      </c>
      <c r="W353" s="20">
        <v>0</v>
      </c>
      <c r="X353" s="20">
        <v>0</v>
      </c>
      <c r="Y353" s="20">
        <v>0</v>
      </c>
      <c r="Z353" s="20">
        <v>0</v>
      </c>
      <c r="AA353" s="20">
        <v>0</v>
      </c>
      <c r="AB353" s="20">
        <v>0</v>
      </c>
      <c r="AC353" s="20">
        <v>0</v>
      </c>
      <c r="AD353" s="15">
        <f t="shared" si="73"/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  <c r="AJ353" s="15">
        <v>30</v>
      </c>
      <c r="AK353" s="15">
        <v>10</v>
      </c>
      <c r="AL353" s="15">
        <v>30</v>
      </c>
      <c r="AM353" s="15">
        <f t="shared" si="72"/>
        <v>70</v>
      </c>
      <c r="AN353" s="29">
        <f t="shared" si="68"/>
        <v>1100</v>
      </c>
      <c r="AO353" s="19">
        <v>931</v>
      </c>
      <c r="AP353" s="21">
        <v>0</v>
      </c>
      <c r="AQ353" s="22">
        <v>121</v>
      </c>
      <c r="AR353" s="26">
        <f t="shared" si="64"/>
        <v>810</v>
      </c>
      <c r="AS353" s="37">
        <f t="shared" si="69"/>
        <v>1</v>
      </c>
      <c r="AT353" s="38">
        <f t="shared" si="63"/>
        <v>0.84636363636363632</v>
      </c>
      <c r="AU353" s="38">
        <f t="shared" si="70"/>
        <v>0.87003222341568209</v>
      </c>
      <c r="AV353" s="27">
        <f t="shared" si="71"/>
        <v>0.73636363636363633</v>
      </c>
    </row>
    <row r="354" spans="1:48" s="1" customFormat="1" ht="21" customHeight="1" x14ac:dyDescent="0.25">
      <c r="A354" s="109">
        <v>46046</v>
      </c>
      <c r="B354" s="47" t="s">
        <v>49</v>
      </c>
      <c r="C354" s="79" t="s">
        <v>21</v>
      </c>
      <c r="D354" s="47" t="s">
        <v>88</v>
      </c>
      <c r="E354" s="48">
        <v>98992</v>
      </c>
      <c r="F354" s="48" t="s">
        <v>126</v>
      </c>
      <c r="G354" s="48" t="s">
        <v>87</v>
      </c>
      <c r="H354" s="30">
        <v>13106</v>
      </c>
      <c r="I354" s="30"/>
      <c r="J354" s="30">
        <v>32</v>
      </c>
      <c r="K354" s="28">
        <f t="shared" si="65"/>
        <v>112.5</v>
      </c>
      <c r="L354" s="31">
        <v>0.25</v>
      </c>
      <c r="M354" s="31">
        <v>0.60416666666666696</v>
      </c>
      <c r="N354" s="32">
        <f t="shared" si="74"/>
        <v>0.35416666666666696</v>
      </c>
      <c r="O354" s="36">
        <v>510</v>
      </c>
      <c r="P354" s="36">
        <f t="shared" si="66"/>
        <v>380</v>
      </c>
      <c r="Q354" s="36">
        <f t="shared" si="67"/>
        <v>380</v>
      </c>
      <c r="R354" s="15">
        <v>0</v>
      </c>
      <c r="S354" s="20">
        <v>0</v>
      </c>
      <c r="T354" s="16">
        <v>0</v>
      </c>
      <c r="U354" s="16">
        <v>0</v>
      </c>
      <c r="V354" s="20">
        <v>0</v>
      </c>
      <c r="W354" s="20">
        <v>0</v>
      </c>
      <c r="X354" s="20">
        <v>0</v>
      </c>
      <c r="Y354" s="20">
        <v>0</v>
      </c>
      <c r="Z354" s="20">
        <v>0</v>
      </c>
      <c r="AA354" s="20">
        <v>0</v>
      </c>
      <c r="AB354" s="20">
        <v>0</v>
      </c>
      <c r="AC354" s="20">
        <v>0</v>
      </c>
      <c r="AD354" s="15">
        <f t="shared" si="73"/>
        <v>0</v>
      </c>
      <c r="AE354" s="15">
        <v>0</v>
      </c>
      <c r="AF354" s="15">
        <v>0</v>
      </c>
      <c r="AG354" s="15">
        <v>0</v>
      </c>
      <c r="AH354" s="15">
        <v>60</v>
      </c>
      <c r="AI354" s="15">
        <v>0</v>
      </c>
      <c r="AJ354" s="15">
        <v>30</v>
      </c>
      <c r="AK354" s="15">
        <v>10</v>
      </c>
      <c r="AL354" s="15">
        <v>30</v>
      </c>
      <c r="AM354" s="15">
        <f t="shared" si="72"/>
        <v>130</v>
      </c>
      <c r="AN354" s="29">
        <f t="shared" si="68"/>
        <v>712.5</v>
      </c>
      <c r="AO354" s="19">
        <v>705</v>
      </c>
      <c r="AP354" s="21">
        <v>0</v>
      </c>
      <c r="AQ354" s="22">
        <v>5</v>
      </c>
      <c r="AR354" s="26">
        <f t="shared" si="64"/>
        <v>700</v>
      </c>
      <c r="AS354" s="37">
        <f t="shared" si="69"/>
        <v>1</v>
      </c>
      <c r="AT354" s="38">
        <f t="shared" si="63"/>
        <v>0.98947368421052628</v>
      </c>
      <c r="AU354" s="38">
        <f t="shared" si="70"/>
        <v>0.99290780141843971</v>
      </c>
      <c r="AV354" s="27">
        <f t="shared" si="71"/>
        <v>0.98245614035087714</v>
      </c>
    </row>
    <row r="355" spans="1:48" s="1" customFormat="1" ht="21" customHeight="1" x14ac:dyDescent="0.25">
      <c r="A355" s="109">
        <v>46046</v>
      </c>
      <c r="B355" s="47" t="s">
        <v>49</v>
      </c>
      <c r="C355" s="79" t="s">
        <v>21</v>
      </c>
      <c r="D355" s="47" t="s">
        <v>89</v>
      </c>
      <c r="E355" s="48">
        <v>98992</v>
      </c>
      <c r="F355" s="48" t="s">
        <v>169</v>
      </c>
      <c r="G355" s="48" t="s">
        <v>87</v>
      </c>
      <c r="H355" s="30">
        <v>16219</v>
      </c>
      <c r="I355" s="30"/>
      <c r="J355" s="30">
        <v>32</v>
      </c>
      <c r="K355" s="28">
        <f t="shared" si="65"/>
        <v>112.5</v>
      </c>
      <c r="L355" s="31">
        <v>0.25</v>
      </c>
      <c r="M355" s="31">
        <v>0.60416666666666696</v>
      </c>
      <c r="N355" s="32">
        <f t="shared" si="74"/>
        <v>0.35416666666666696</v>
      </c>
      <c r="O355" s="36">
        <v>510</v>
      </c>
      <c r="P355" s="36">
        <f t="shared" si="66"/>
        <v>380</v>
      </c>
      <c r="Q355" s="36">
        <f t="shared" si="67"/>
        <v>380</v>
      </c>
      <c r="R355" s="15">
        <v>0</v>
      </c>
      <c r="S355" s="20">
        <v>0</v>
      </c>
      <c r="T355" s="16">
        <v>0</v>
      </c>
      <c r="U355" s="16">
        <v>0</v>
      </c>
      <c r="V355" s="20">
        <v>0</v>
      </c>
      <c r="W355" s="20">
        <v>0</v>
      </c>
      <c r="X355" s="20">
        <v>0</v>
      </c>
      <c r="Y355" s="20">
        <v>0</v>
      </c>
      <c r="Z355" s="20">
        <v>0</v>
      </c>
      <c r="AA355" s="20">
        <v>0</v>
      </c>
      <c r="AB355" s="20">
        <v>0</v>
      </c>
      <c r="AC355" s="20">
        <v>0</v>
      </c>
      <c r="AD355" s="15">
        <f t="shared" si="73"/>
        <v>0</v>
      </c>
      <c r="AE355" s="15">
        <v>0</v>
      </c>
      <c r="AF355" s="15">
        <v>0</v>
      </c>
      <c r="AG355" s="15">
        <v>0</v>
      </c>
      <c r="AH355" s="15">
        <v>60</v>
      </c>
      <c r="AI355" s="15">
        <v>0</v>
      </c>
      <c r="AJ355" s="15">
        <v>30</v>
      </c>
      <c r="AK355" s="15">
        <v>10</v>
      </c>
      <c r="AL355" s="15">
        <v>30</v>
      </c>
      <c r="AM355" s="15">
        <f t="shared" si="72"/>
        <v>130</v>
      </c>
      <c r="AN355" s="29">
        <f t="shared" si="68"/>
        <v>712.5</v>
      </c>
      <c r="AO355" s="19">
        <v>620</v>
      </c>
      <c r="AP355" s="21">
        <v>0</v>
      </c>
      <c r="AQ355" s="22">
        <v>6</v>
      </c>
      <c r="AR355" s="26">
        <f t="shared" si="64"/>
        <v>614</v>
      </c>
      <c r="AS355" s="37">
        <f t="shared" si="69"/>
        <v>1</v>
      </c>
      <c r="AT355" s="38">
        <f t="shared" si="63"/>
        <v>0.87017543859649127</v>
      </c>
      <c r="AU355" s="38">
        <f t="shared" si="70"/>
        <v>0.99032258064516132</v>
      </c>
      <c r="AV355" s="27">
        <f t="shared" si="71"/>
        <v>0.86175438596491238</v>
      </c>
    </row>
    <row r="356" spans="1:48" s="1" customFormat="1" ht="21" customHeight="1" x14ac:dyDescent="0.25">
      <c r="A356" s="109">
        <v>46046</v>
      </c>
      <c r="B356" s="47" t="s">
        <v>49</v>
      </c>
      <c r="C356" s="79" t="s">
        <v>21</v>
      </c>
      <c r="D356" s="47" t="s">
        <v>52</v>
      </c>
      <c r="E356" s="48">
        <v>98992</v>
      </c>
      <c r="F356" s="48" t="s">
        <v>53</v>
      </c>
      <c r="G356" s="48" t="s">
        <v>87</v>
      </c>
      <c r="H356" s="30">
        <v>15679</v>
      </c>
      <c r="I356" s="30"/>
      <c r="J356" s="30">
        <v>32</v>
      </c>
      <c r="K356" s="28">
        <f t="shared" si="65"/>
        <v>112.5</v>
      </c>
      <c r="L356" s="31">
        <v>0.25</v>
      </c>
      <c r="M356" s="31">
        <v>0.60416666666666696</v>
      </c>
      <c r="N356" s="32">
        <f t="shared" si="74"/>
        <v>0.35416666666666696</v>
      </c>
      <c r="O356" s="36">
        <v>510</v>
      </c>
      <c r="P356" s="36">
        <f t="shared" si="66"/>
        <v>320</v>
      </c>
      <c r="Q356" s="36">
        <f t="shared" si="67"/>
        <v>320</v>
      </c>
      <c r="R356" s="15">
        <v>0</v>
      </c>
      <c r="S356" s="20">
        <v>0</v>
      </c>
      <c r="T356" s="16">
        <v>0</v>
      </c>
      <c r="U356" s="16">
        <v>0</v>
      </c>
      <c r="V356" s="20">
        <v>0</v>
      </c>
      <c r="W356" s="20">
        <v>0</v>
      </c>
      <c r="X356" s="20">
        <v>0</v>
      </c>
      <c r="Y356" s="20">
        <v>0</v>
      </c>
      <c r="Z356" s="20">
        <v>0</v>
      </c>
      <c r="AA356" s="20">
        <v>0</v>
      </c>
      <c r="AB356" s="20">
        <v>0</v>
      </c>
      <c r="AC356" s="20">
        <v>0</v>
      </c>
      <c r="AD356" s="15">
        <f t="shared" si="73"/>
        <v>0</v>
      </c>
      <c r="AE356" s="15">
        <v>0</v>
      </c>
      <c r="AF356" s="15">
        <v>0</v>
      </c>
      <c r="AG356" s="15">
        <v>0</v>
      </c>
      <c r="AH356" s="15">
        <v>120</v>
      </c>
      <c r="AI356" s="15">
        <v>0</v>
      </c>
      <c r="AJ356" s="15">
        <v>30</v>
      </c>
      <c r="AK356" s="15">
        <v>10</v>
      </c>
      <c r="AL356" s="15">
        <v>30</v>
      </c>
      <c r="AM356" s="15">
        <f t="shared" si="72"/>
        <v>190</v>
      </c>
      <c r="AN356" s="29">
        <f t="shared" si="68"/>
        <v>600</v>
      </c>
      <c r="AO356" s="19">
        <v>450</v>
      </c>
      <c r="AP356" s="21">
        <v>0</v>
      </c>
      <c r="AQ356" s="22">
        <v>2</v>
      </c>
      <c r="AR356" s="26">
        <f t="shared" si="64"/>
        <v>448</v>
      </c>
      <c r="AS356" s="37">
        <f t="shared" si="69"/>
        <v>1</v>
      </c>
      <c r="AT356" s="38">
        <f t="shared" si="63"/>
        <v>0.75</v>
      </c>
      <c r="AU356" s="38">
        <f t="shared" si="70"/>
        <v>0.99555555555555553</v>
      </c>
      <c r="AV356" s="27">
        <f t="shared" si="71"/>
        <v>0.74666666666666659</v>
      </c>
    </row>
    <row r="357" spans="1:48" s="1" customFormat="1" ht="21" customHeight="1" x14ac:dyDescent="0.25">
      <c r="A357" s="109">
        <v>46046</v>
      </c>
      <c r="B357" s="47" t="s">
        <v>49</v>
      </c>
      <c r="C357" s="79" t="s">
        <v>21</v>
      </c>
      <c r="D357" s="47" t="s">
        <v>86</v>
      </c>
      <c r="E357" s="48">
        <v>98992</v>
      </c>
      <c r="F357" s="48" t="s">
        <v>176</v>
      </c>
      <c r="G357" s="48" t="s">
        <v>87</v>
      </c>
      <c r="H357" s="30">
        <v>15859</v>
      </c>
      <c r="I357" s="30"/>
      <c r="J357" s="30">
        <v>20</v>
      </c>
      <c r="K357" s="28">
        <f t="shared" si="65"/>
        <v>180</v>
      </c>
      <c r="L357" s="31">
        <v>0.25</v>
      </c>
      <c r="M357" s="31">
        <v>0.60416666666666696</v>
      </c>
      <c r="N357" s="32">
        <f t="shared" si="74"/>
        <v>0.35416666666666696</v>
      </c>
      <c r="O357" s="36">
        <v>510</v>
      </c>
      <c r="P357" s="36">
        <f t="shared" si="66"/>
        <v>140</v>
      </c>
      <c r="Q357" s="36">
        <f t="shared" si="67"/>
        <v>140</v>
      </c>
      <c r="R357" s="15">
        <v>0</v>
      </c>
      <c r="S357" s="20">
        <v>0</v>
      </c>
      <c r="T357" s="16">
        <v>0</v>
      </c>
      <c r="U357" s="16">
        <v>0</v>
      </c>
      <c r="V357" s="20">
        <v>0</v>
      </c>
      <c r="W357" s="20">
        <v>0</v>
      </c>
      <c r="X357" s="20">
        <v>0</v>
      </c>
      <c r="Y357" s="20">
        <v>0</v>
      </c>
      <c r="Z357" s="20">
        <v>0</v>
      </c>
      <c r="AA357" s="20">
        <v>0</v>
      </c>
      <c r="AB357" s="20">
        <v>0</v>
      </c>
      <c r="AC357" s="20">
        <v>0</v>
      </c>
      <c r="AD357" s="15">
        <f t="shared" si="73"/>
        <v>0</v>
      </c>
      <c r="AE357" s="15">
        <v>0</v>
      </c>
      <c r="AF357" s="15">
        <v>0</v>
      </c>
      <c r="AG357" s="15">
        <v>0</v>
      </c>
      <c r="AH357" s="15">
        <v>300</v>
      </c>
      <c r="AI357" s="15">
        <v>0</v>
      </c>
      <c r="AJ357" s="15">
        <v>30</v>
      </c>
      <c r="AK357" s="15">
        <v>10</v>
      </c>
      <c r="AL357" s="15">
        <v>30</v>
      </c>
      <c r="AM357" s="15">
        <f t="shared" si="72"/>
        <v>370</v>
      </c>
      <c r="AN357" s="29">
        <f t="shared" si="68"/>
        <v>420</v>
      </c>
      <c r="AO357" s="19">
        <v>336</v>
      </c>
      <c r="AP357" s="21">
        <v>0</v>
      </c>
      <c r="AQ357" s="22">
        <v>0</v>
      </c>
      <c r="AR357" s="26">
        <f t="shared" si="64"/>
        <v>336</v>
      </c>
      <c r="AS357" s="37">
        <f t="shared" si="69"/>
        <v>1</v>
      </c>
      <c r="AT357" s="38">
        <f t="shared" ref="AT357:AT420" si="75">AO357/AN357</f>
        <v>0.8</v>
      </c>
      <c r="AU357" s="38">
        <f t="shared" si="70"/>
        <v>1</v>
      </c>
      <c r="AV357" s="27">
        <f t="shared" si="71"/>
        <v>0.8</v>
      </c>
    </row>
    <row r="358" spans="1:48" s="1" customFormat="1" ht="21" customHeight="1" x14ac:dyDescent="0.25">
      <c r="A358" s="109">
        <v>46046</v>
      </c>
      <c r="B358" s="47" t="s">
        <v>49</v>
      </c>
      <c r="C358" s="79" t="s">
        <v>21</v>
      </c>
      <c r="D358" s="47" t="s">
        <v>124</v>
      </c>
      <c r="E358" s="48">
        <v>98992</v>
      </c>
      <c r="F358" s="48" t="s">
        <v>215</v>
      </c>
      <c r="G358" s="48" t="s">
        <v>125</v>
      </c>
      <c r="H358" s="30">
        <v>13105</v>
      </c>
      <c r="I358" s="30"/>
      <c r="J358" s="30">
        <v>32</v>
      </c>
      <c r="K358" s="28">
        <f t="shared" si="65"/>
        <v>112.5</v>
      </c>
      <c r="L358" s="31">
        <v>0.25</v>
      </c>
      <c r="M358" s="31">
        <v>0.60416666666666696</v>
      </c>
      <c r="N358" s="32">
        <f t="shared" si="74"/>
        <v>0.35416666666666696</v>
      </c>
      <c r="O358" s="36">
        <v>510</v>
      </c>
      <c r="P358" s="36">
        <f t="shared" si="66"/>
        <v>440</v>
      </c>
      <c r="Q358" s="36">
        <f t="shared" si="67"/>
        <v>440</v>
      </c>
      <c r="R358" s="15">
        <v>0</v>
      </c>
      <c r="S358" s="20">
        <v>0</v>
      </c>
      <c r="T358" s="16">
        <v>0</v>
      </c>
      <c r="U358" s="16">
        <v>0</v>
      </c>
      <c r="V358" s="20">
        <v>0</v>
      </c>
      <c r="W358" s="20">
        <v>0</v>
      </c>
      <c r="X358" s="20">
        <v>0</v>
      </c>
      <c r="Y358" s="20">
        <v>0</v>
      </c>
      <c r="Z358" s="20">
        <v>0</v>
      </c>
      <c r="AA358" s="20">
        <v>0</v>
      </c>
      <c r="AB358" s="20">
        <v>0</v>
      </c>
      <c r="AC358" s="20">
        <v>0</v>
      </c>
      <c r="AD358" s="15">
        <f t="shared" si="73"/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  <c r="AJ358" s="15">
        <v>30</v>
      </c>
      <c r="AK358" s="15">
        <v>10</v>
      </c>
      <c r="AL358" s="15">
        <v>30</v>
      </c>
      <c r="AM358" s="15">
        <f t="shared" si="72"/>
        <v>70</v>
      </c>
      <c r="AN358" s="29">
        <f t="shared" si="68"/>
        <v>825</v>
      </c>
      <c r="AO358" s="19">
        <v>755</v>
      </c>
      <c r="AP358" s="21">
        <v>0</v>
      </c>
      <c r="AQ358" s="22">
        <v>8</v>
      </c>
      <c r="AR358" s="26">
        <f t="shared" si="64"/>
        <v>747</v>
      </c>
      <c r="AS358" s="37">
        <f t="shared" si="69"/>
        <v>1</v>
      </c>
      <c r="AT358" s="38">
        <f t="shared" si="75"/>
        <v>0.91515151515151516</v>
      </c>
      <c r="AU358" s="38">
        <f t="shared" si="70"/>
        <v>0.98940397350993381</v>
      </c>
      <c r="AV358" s="27">
        <f t="shared" si="71"/>
        <v>0.90545454545454551</v>
      </c>
    </row>
    <row r="359" spans="1:48" s="1" customFormat="1" ht="21" customHeight="1" x14ac:dyDescent="0.25">
      <c r="A359" s="109">
        <v>46046</v>
      </c>
      <c r="B359" s="47" t="s">
        <v>49</v>
      </c>
      <c r="C359" s="79" t="s">
        <v>21</v>
      </c>
      <c r="D359" s="47" t="s">
        <v>122</v>
      </c>
      <c r="E359" s="48">
        <v>98992</v>
      </c>
      <c r="F359" s="48" t="s">
        <v>169</v>
      </c>
      <c r="G359" s="48" t="s">
        <v>125</v>
      </c>
      <c r="H359" s="30">
        <v>14957</v>
      </c>
      <c r="I359" s="30"/>
      <c r="J359" s="30">
        <v>32</v>
      </c>
      <c r="K359" s="28">
        <f t="shared" si="65"/>
        <v>112.5</v>
      </c>
      <c r="L359" s="31">
        <v>0.25</v>
      </c>
      <c r="M359" s="31">
        <v>0.60416666666666696</v>
      </c>
      <c r="N359" s="32">
        <f t="shared" si="74"/>
        <v>0.35416666666666696</v>
      </c>
      <c r="O359" s="36">
        <v>510</v>
      </c>
      <c r="P359" s="36">
        <f t="shared" si="66"/>
        <v>380</v>
      </c>
      <c r="Q359" s="36">
        <f t="shared" si="67"/>
        <v>380</v>
      </c>
      <c r="R359" s="15">
        <v>0</v>
      </c>
      <c r="S359" s="20">
        <v>0</v>
      </c>
      <c r="T359" s="16">
        <v>0</v>
      </c>
      <c r="U359" s="16">
        <v>0</v>
      </c>
      <c r="V359" s="20">
        <v>0</v>
      </c>
      <c r="W359" s="20">
        <v>0</v>
      </c>
      <c r="X359" s="20">
        <v>0</v>
      </c>
      <c r="Y359" s="20">
        <v>0</v>
      </c>
      <c r="Z359" s="20">
        <v>0</v>
      </c>
      <c r="AA359" s="20">
        <v>0</v>
      </c>
      <c r="AB359" s="20">
        <v>0</v>
      </c>
      <c r="AC359" s="20">
        <v>0</v>
      </c>
      <c r="AD359" s="15">
        <f t="shared" si="73"/>
        <v>0</v>
      </c>
      <c r="AE359" s="15">
        <v>0</v>
      </c>
      <c r="AF359" s="15">
        <v>0</v>
      </c>
      <c r="AG359" s="15">
        <v>0</v>
      </c>
      <c r="AH359" s="15">
        <v>60</v>
      </c>
      <c r="AI359" s="15">
        <v>0</v>
      </c>
      <c r="AJ359" s="15">
        <v>30</v>
      </c>
      <c r="AK359" s="15">
        <v>10</v>
      </c>
      <c r="AL359" s="15">
        <v>30</v>
      </c>
      <c r="AM359" s="15">
        <f t="shared" si="72"/>
        <v>130</v>
      </c>
      <c r="AN359" s="29">
        <f t="shared" si="68"/>
        <v>712.5</v>
      </c>
      <c r="AO359" s="19">
        <v>601</v>
      </c>
      <c r="AP359" s="21">
        <v>0</v>
      </c>
      <c r="AQ359" s="22">
        <v>0</v>
      </c>
      <c r="AR359" s="26">
        <f t="shared" si="64"/>
        <v>601</v>
      </c>
      <c r="AS359" s="37">
        <f t="shared" si="69"/>
        <v>1</v>
      </c>
      <c r="AT359" s="38">
        <f t="shared" si="75"/>
        <v>0.84350877192982454</v>
      </c>
      <c r="AU359" s="38">
        <f t="shared" si="70"/>
        <v>1</v>
      </c>
      <c r="AV359" s="27">
        <f t="shared" si="71"/>
        <v>0.84350877192982454</v>
      </c>
    </row>
    <row r="360" spans="1:48" s="1" customFormat="1" ht="21" customHeight="1" x14ac:dyDescent="0.25">
      <c r="A360" s="109">
        <v>46046</v>
      </c>
      <c r="B360" s="47" t="s">
        <v>49</v>
      </c>
      <c r="C360" s="79" t="s">
        <v>21</v>
      </c>
      <c r="D360" s="47" t="s">
        <v>128</v>
      </c>
      <c r="E360" s="48">
        <v>98992</v>
      </c>
      <c r="F360" s="48" t="s">
        <v>53</v>
      </c>
      <c r="G360" s="48" t="s">
        <v>125</v>
      </c>
      <c r="H360" s="30">
        <v>15731</v>
      </c>
      <c r="I360" s="30"/>
      <c r="J360" s="30">
        <v>32</v>
      </c>
      <c r="K360" s="28">
        <f t="shared" si="65"/>
        <v>112.5</v>
      </c>
      <c r="L360" s="31">
        <v>0.25</v>
      </c>
      <c r="M360" s="31">
        <v>0.60416666666666696</v>
      </c>
      <c r="N360" s="32">
        <f t="shared" si="74"/>
        <v>0.35416666666666696</v>
      </c>
      <c r="O360" s="36">
        <v>510</v>
      </c>
      <c r="P360" s="36">
        <f t="shared" si="66"/>
        <v>380</v>
      </c>
      <c r="Q360" s="36">
        <f t="shared" si="67"/>
        <v>380</v>
      </c>
      <c r="R360" s="15">
        <v>0</v>
      </c>
      <c r="S360" s="20">
        <v>0</v>
      </c>
      <c r="T360" s="16">
        <v>0</v>
      </c>
      <c r="U360" s="16">
        <v>0</v>
      </c>
      <c r="V360" s="20">
        <v>0</v>
      </c>
      <c r="W360" s="20">
        <v>0</v>
      </c>
      <c r="X360" s="20">
        <v>0</v>
      </c>
      <c r="Y360" s="20">
        <v>0</v>
      </c>
      <c r="Z360" s="20">
        <v>0</v>
      </c>
      <c r="AA360" s="20">
        <v>0</v>
      </c>
      <c r="AB360" s="20">
        <v>0</v>
      </c>
      <c r="AC360" s="20">
        <v>0</v>
      </c>
      <c r="AD360" s="15">
        <f t="shared" si="73"/>
        <v>0</v>
      </c>
      <c r="AE360" s="15">
        <v>0</v>
      </c>
      <c r="AF360" s="15">
        <v>0</v>
      </c>
      <c r="AG360" s="15">
        <v>0</v>
      </c>
      <c r="AH360" s="15">
        <v>60</v>
      </c>
      <c r="AI360" s="15">
        <v>0</v>
      </c>
      <c r="AJ360" s="15">
        <v>30</v>
      </c>
      <c r="AK360" s="15">
        <v>10</v>
      </c>
      <c r="AL360" s="15">
        <v>30</v>
      </c>
      <c r="AM360" s="15">
        <f t="shared" si="72"/>
        <v>130</v>
      </c>
      <c r="AN360" s="29">
        <f t="shared" si="68"/>
        <v>712.5</v>
      </c>
      <c r="AO360" s="19">
        <v>550</v>
      </c>
      <c r="AP360" s="21">
        <v>0</v>
      </c>
      <c r="AQ360" s="22">
        <v>0</v>
      </c>
      <c r="AR360" s="26">
        <f t="shared" si="64"/>
        <v>550</v>
      </c>
      <c r="AS360" s="37">
        <f t="shared" si="69"/>
        <v>1</v>
      </c>
      <c r="AT360" s="38">
        <f t="shared" si="75"/>
        <v>0.77192982456140347</v>
      </c>
      <c r="AU360" s="38">
        <f t="shared" si="70"/>
        <v>1</v>
      </c>
      <c r="AV360" s="27">
        <f t="shared" si="71"/>
        <v>0.77192982456140347</v>
      </c>
    </row>
    <row r="361" spans="1:48" s="1" customFormat="1" ht="21" customHeight="1" x14ac:dyDescent="0.25">
      <c r="A361" s="109">
        <v>46046</v>
      </c>
      <c r="B361" s="47" t="s">
        <v>49</v>
      </c>
      <c r="C361" s="79" t="s">
        <v>21</v>
      </c>
      <c r="D361" s="47" t="s">
        <v>127</v>
      </c>
      <c r="E361" s="48">
        <v>98992</v>
      </c>
      <c r="F361" s="48" t="s">
        <v>175</v>
      </c>
      <c r="G361" s="48" t="s">
        <v>125</v>
      </c>
      <c r="H361" s="30">
        <v>15857</v>
      </c>
      <c r="I361" s="30"/>
      <c r="J361" s="30">
        <v>20</v>
      </c>
      <c r="K361" s="28">
        <f t="shared" si="65"/>
        <v>180</v>
      </c>
      <c r="L361" s="31">
        <v>0.25</v>
      </c>
      <c r="M361" s="31">
        <v>0.60416666666666696</v>
      </c>
      <c r="N361" s="32">
        <f t="shared" si="74"/>
        <v>0.35416666666666696</v>
      </c>
      <c r="O361" s="36">
        <v>510</v>
      </c>
      <c r="P361" s="36">
        <f t="shared" si="66"/>
        <v>140</v>
      </c>
      <c r="Q361" s="36">
        <f t="shared" si="67"/>
        <v>140</v>
      </c>
      <c r="R361" s="15">
        <v>0</v>
      </c>
      <c r="S361" s="20">
        <v>0</v>
      </c>
      <c r="T361" s="16">
        <v>0</v>
      </c>
      <c r="U361" s="16">
        <v>0</v>
      </c>
      <c r="V361" s="20">
        <v>0</v>
      </c>
      <c r="W361" s="20">
        <v>0</v>
      </c>
      <c r="X361" s="20">
        <v>0</v>
      </c>
      <c r="Y361" s="20">
        <v>0</v>
      </c>
      <c r="Z361" s="20">
        <v>0</v>
      </c>
      <c r="AA361" s="20">
        <v>0</v>
      </c>
      <c r="AB361" s="20">
        <v>0</v>
      </c>
      <c r="AC361" s="20">
        <v>0</v>
      </c>
      <c r="AD361" s="15">
        <f t="shared" si="73"/>
        <v>0</v>
      </c>
      <c r="AE361" s="15">
        <v>0</v>
      </c>
      <c r="AF361" s="15">
        <v>0</v>
      </c>
      <c r="AG361" s="15">
        <v>0</v>
      </c>
      <c r="AH361" s="15">
        <v>300</v>
      </c>
      <c r="AI361" s="15">
        <v>0</v>
      </c>
      <c r="AJ361" s="15">
        <v>30</v>
      </c>
      <c r="AK361" s="15">
        <v>10</v>
      </c>
      <c r="AL361" s="15">
        <v>30</v>
      </c>
      <c r="AM361" s="15">
        <f t="shared" si="72"/>
        <v>370</v>
      </c>
      <c r="AN361" s="29">
        <f t="shared" si="68"/>
        <v>420</v>
      </c>
      <c r="AO361" s="19">
        <v>384</v>
      </c>
      <c r="AP361" s="21">
        <v>0</v>
      </c>
      <c r="AQ361" s="22">
        <v>0</v>
      </c>
      <c r="AR361" s="26">
        <f t="shared" si="64"/>
        <v>384</v>
      </c>
      <c r="AS361" s="37">
        <f t="shared" si="69"/>
        <v>1</v>
      </c>
      <c r="AT361" s="38">
        <f t="shared" si="75"/>
        <v>0.91428571428571426</v>
      </c>
      <c r="AU361" s="38">
        <f t="shared" si="70"/>
        <v>1</v>
      </c>
      <c r="AV361" s="27">
        <f t="shared" si="71"/>
        <v>0.91428571428571426</v>
      </c>
    </row>
    <row r="362" spans="1:48" s="1" customFormat="1" ht="21" customHeight="1" x14ac:dyDescent="0.25">
      <c r="A362" s="109">
        <v>46046</v>
      </c>
      <c r="B362" s="47" t="s">
        <v>49</v>
      </c>
      <c r="C362" s="79" t="s">
        <v>21</v>
      </c>
      <c r="D362" s="47" t="s">
        <v>172</v>
      </c>
      <c r="E362" s="48">
        <v>98992</v>
      </c>
      <c r="F362" s="48" t="s">
        <v>175</v>
      </c>
      <c r="G362" s="48" t="s">
        <v>87</v>
      </c>
      <c r="H362" s="30">
        <v>15838</v>
      </c>
      <c r="I362" s="30"/>
      <c r="J362" s="30">
        <v>20</v>
      </c>
      <c r="K362" s="28">
        <f t="shared" si="65"/>
        <v>180</v>
      </c>
      <c r="L362" s="31">
        <v>0.25</v>
      </c>
      <c r="M362" s="31">
        <v>0.60416666666666696</v>
      </c>
      <c r="N362" s="32">
        <f t="shared" si="74"/>
        <v>0.35416666666666696</v>
      </c>
      <c r="O362" s="36">
        <v>510</v>
      </c>
      <c r="P362" s="36">
        <f t="shared" si="66"/>
        <v>320</v>
      </c>
      <c r="Q362" s="36">
        <f t="shared" si="67"/>
        <v>320</v>
      </c>
      <c r="R362" s="15">
        <v>0</v>
      </c>
      <c r="S362" s="20">
        <v>0</v>
      </c>
      <c r="T362" s="16">
        <v>0</v>
      </c>
      <c r="U362" s="16">
        <v>0</v>
      </c>
      <c r="V362" s="20">
        <v>0</v>
      </c>
      <c r="W362" s="20">
        <v>0</v>
      </c>
      <c r="X362" s="20">
        <v>0</v>
      </c>
      <c r="Y362" s="20">
        <v>0</v>
      </c>
      <c r="Z362" s="20">
        <v>0</v>
      </c>
      <c r="AA362" s="20">
        <v>0</v>
      </c>
      <c r="AB362" s="20">
        <v>0</v>
      </c>
      <c r="AC362" s="20">
        <v>0</v>
      </c>
      <c r="AD362" s="15">
        <f t="shared" si="73"/>
        <v>0</v>
      </c>
      <c r="AE362" s="15">
        <v>0</v>
      </c>
      <c r="AF362" s="15">
        <v>0</v>
      </c>
      <c r="AG362" s="15">
        <v>0</v>
      </c>
      <c r="AH362" s="15">
        <v>120</v>
      </c>
      <c r="AI362" s="15">
        <v>0</v>
      </c>
      <c r="AJ362" s="15">
        <v>30</v>
      </c>
      <c r="AK362" s="15">
        <v>10</v>
      </c>
      <c r="AL362" s="15">
        <v>30</v>
      </c>
      <c r="AM362" s="15">
        <f t="shared" si="72"/>
        <v>190</v>
      </c>
      <c r="AN362" s="29">
        <f t="shared" si="68"/>
        <v>960</v>
      </c>
      <c r="AO362" s="19">
        <v>600</v>
      </c>
      <c r="AP362" s="21">
        <v>0</v>
      </c>
      <c r="AQ362" s="22">
        <v>1</v>
      </c>
      <c r="AR362" s="26">
        <f t="shared" si="64"/>
        <v>599</v>
      </c>
      <c r="AS362" s="37">
        <f t="shared" si="69"/>
        <v>1</v>
      </c>
      <c r="AT362" s="38">
        <f t="shared" si="75"/>
        <v>0.625</v>
      </c>
      <c r="AU362" s="38">
        <f t="shared" si="70"/>
        <v>0.99833333333333329</v>
      </c>
      <c r="AV362" s="27">
        <f t="shared" si="71"/>
        <v>0.62395833333333328</v>
      </c>
    </row>
    <row r="363" spans="1:48" s="1" customFormat="1" ht="23.1" customHeight="1" x14ac:dyDescent="0.25">
      <c r="A363" s="109">
        <v>46046</v>
      </c>
      <c r="B363" s="47" t="s">
        <v>49</v>
      </c>
      <c r="C363" s="78" t="s">
        <v>51</v>
      </c>
      <c r="D363" s="47" t="s">
        <v>88</v>
      </c>
      <c r="E363" s="48">
        <v>98992</v>
      </c>
      <c r="F363" s="48" t="s">
        <v>126</v>
      </c>
      <c r="G363" s="48" t="s">
        <v>87</v>
      </c>
      <c r="H363" s="30">
        <v>15036</v>
      </c>
      <c r="I363" s="30"/>
      <c r="J363" s="30">
        <v>32</v>
      </c>
      <c r="K363" s="28">
        <f t="shared" si="65"/>
        <v>112.5</v>
      </c>
      <c r="L363" s="31">
        <v>0.58333333333333337</v>
      </c>
      <c r="M363" s="31">
        <v>0.9375</v>
      </c>
      <c r="N363" s="32">
        <f t="shared" si="74"/>
        <v>0.35416666666666663</v>
      </c>
      <c r="O363" s="36">
        <v>510</v>
      </c>
      <c r="P363" s="36">
        <f t="shared" si="66"/>
        <v>200</v>
      </c>
      <c r="Q363" s="36">
        <f t="shared" si="67"/>
        <v>200</v>
      </c>
      <c r="R363" s="15">
        <v>0</v>
      </c>
      <c r="S363" s="20">
        <v>0</v>
      </c>
      <c r="T363" s="16">
        <v>0</v>
      </c>
      <c r="U363" s="16">
        <v>0</v>
      </c>
      <c r="V363" s="20">
        <v>0</v>
      </c>
      <c r="W363" s="20">
        <v>0</v>
      </c>
      <c r="X363" s="20">
        <v>0</v>
      </c>
      <c r="Y363" s="20">
        <v>0</v>
      </c>
      <c r="Z363" s="20">
        <v>0</v>
      </c>
      <c r="AA363" s="20">
        <v>0</v>
      </c>
      <c r="AB363" s="20">
        <v>0</v>
      </c>
      <c r="AC363" s="20">
        <v>0</v>
      </c>
      <c r="AD363" s="15">
        <f t="shared" si="73"/>
        <v>0</v>
      </c>
      <c r="AE363" s="15">
        <v>0</v>
      </c>
      <c r="AF363" s="15">
        <v>0</v>
      </c>
      <c r="AG363" s="15">
        <v>0</v>
      </c>
      <c r="AH363" s="15">
        <v>240</v>
      </c>
      <c r="AI363" s="15">
        <v>0</v>
      </c>
      <c r="AJ363" s="15">
        <v>30</v>
      </c>
      <c r="AK363" s="15">
        <v>10</v>
      </c>
      <c r="AL363" s="15">
        <v>30</v>
      </c>
      <c r="AM363" s="15">
        <f t="shared" si="72"/>
        <v>310</v>
      </c>
      <c r="AN363" s="29">
        <f t="shared" si="68"/>
        <v>375</v>
      </c>
      <c r="AO363" s="19">
        <v>224</v>
      </c>
      <c r="AP363" s="21">
        <v>0</v>
      </c>
      <c r="AQ363" s="22">
        <v>1</v>
      </c>
      <c r="AR363" s="26">
        <f t="shared" si="64"/>
        <v>223</v>
      </c>
      <c r="AS363" s="37">
        <f t="shared" si="69"/>
        <v>1</v>
      </c>
      <c r="AT363" s="38">
        <f t="shared" si="75"/>
        <v>0.59733333333333338</v>
      </c>
      <c r="AU363" s="38">
        <f t="shared" si="70"/>
        <v>0.9955357142857143</v>
      </c>
      <c r="AV363" s="27">
        <f t="shared" si="71"/>
        <v>0.59466666666666668</v>
      </c>
    </row>
    <row r="364" spans="1:48" s="1" customFormat="1" ht="23.1" customHeight="1" x14ac:dyDescent="0.25">
      <c r="A364" s="109">
        <v>46046</v>
      </c>
      <c r="B364" s="47" t="s">
        <v>49</v>
      </c>
      <c r="C364" s="78" t="s">
        <v>51</v>
      </c>
      <c r="D364" s="47" t="s">
        <v>89</v>
      </c>
      <c r="E364" s="48">
        <v>98992</v>
      </c>
      <c r="F364" s="48" t="s">
        <v>169</v>
      </c>
      <c r="G364" s="48" t="s">
        <v>87</v>
      </c>
      <c r="H364" s="30">
        <v>11682</v>
      </c>
      <c r="I364" s="30"/>
      <c r="J364" s="30">
        <v>32</v>
      </c>
      <c r="K364" s="28">
        <f t="shared" si="65"/>
        <v>112.5</v>
      </c>
      <c r="L364" s="31">
        <v>0.58333333333333337</v>
      </c>
      <c r="M364" s="31">
        <v>0.9375</v>
      </c>
      <c r="N364" s="32">
        <f t="shared" si="74"/>
        <v>0.35416666666666663</v>
      </c>
      <c r="O364" s="36">
        <v>510</v>
      </c>
      <c r="P364" s="36">
        <f t="shared" si="66"/>
        <v>440</v>
      </c>
      <c r="Q364" s="36">
        <f t="shared" si="67"/>
        <v>440</v>
      </c>
      <c r="R364" s="15">
        <v>0</v>
      </c>
      <c r="S364" s="20">
        <v>0</v>
      </c>
      <c r="T364" s="16">
        <v>0</v>
      </c>
      <c r="U364" s="16">
        <v>0</v>
      </c>
      <c r="V364" s="20">
        <v>0</v>
      </c>
      <c r="W364" s="20">
        <v>0</v>
      </c>
      <c r="X364" s="20">
        <v>0</v>
      </c>
      <c r="Y364" s="20">
        <v>0</v>
      </c>
      <c r="Z364" s="20">
        <v>0</v>
      </c>
      <c r="AA364" s="20">
        <v>0</v>
      </c>
      <c r="AB364" s="20">
        <v>0</v>
      </c>
      <c r="AC364" s="20">
        <v>0</v>
      </c>
      <c r="AD364" s="15">
        <f t="shared" si="73"/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0</v>
      </c>
      <c r="AJ364" s="15">
        <v>30</v>
      </c>
      <c r="AK364" s="15">
        <v>10</v>
      </c>
      <c r="AL364" s="15">
        <v>30</v>
      </c>
      <c r="AM364" s="15">
        <f t="shared" si="72"/>
        <v>70</v>
      </c>
      <c r="AN364" s="29">
        <f t="shared" si="68"/>
        <v>825</v>
      </c>
      <c r="AO364" s="19">
        <v>670</v>
      </c>
      <c r="AP364" s="21">
        <v>0</v>
      </c>
      <c r="AQ364" s="22">
        <v>2</v>
      </c>
      <c r="AR364" s="26">
        <f t="shared" si="64"/>
        <v>668</v>
      </c>
      <c r="AS364" s="37">
        <f t="shared" si="69"/>
        <v>1</v>
      </c>
      <c r="AT364" s="38">
        <f t="shared" si="75"/>
        <v>0.81212121212121213</v>
      </c>
      <c r="AU364" s="38">
        <f t="shared" si="70"/>
        <v>0.9970149253731343</v>
      </c>
      <c r="AV364" s="27">
        <f t="shared" si="71"/>
        <v>0.80969696969696969</v>
      </c>
    </row>
    <row r="365" spans="1:48" s="1" customFormat="1" ht="23.1" customHeight="1" x14ac:dyDescent="0.25">
      <c r="A365" s="109">
        <v>46046</v>
      </c>
      <c r="B365" s="47" t="s">
        <v>49</v>
      </c>
      <c r="C365" s="78" t="s">
        <v>51</v>
      </c>
      <c r="D365" s="47" t="s">
        <v>52</v>
      </c>
      <c r="E365" s="48">
        <v>98992</v>
      </c>
      <c r="F365" s="48" t="s">
        <v>53</v>
      </c>
      <c r="G365" s="48" t="s">
        <v>87</v>
      </c>
      <c r="H365" s="30">
        <v>16000</v>
      </c>
      <c r="I365" s="30"/>
      <c r="J365" s="30">
        <v>32</v>
      </c>
      <c r="K365" s="28">
        <f t="shared" si="65"/>
        <v>112.5</v>
      </c>
      <c r="L365" s="31">
        <v>0.58333333333333337</v>
      </c>
      <c r="M365" s="31">
        <v>0.9375</v>
      </c>
      <c r="N365" s="32">
        <f t="shared" si="74"/>
        <v>0.35416666666666663</v>
      </c>
      <c r="O365" s="36">
        <v>510</v>
      </c>
      <c r="P365" s="36">
        <f t="shared" si="66"/>
        <v>440</v>
      </c>
      <c r="Q365" s="36">
        <f t="shared" si="67"/>
        <v>440</v>
      </c>
      <c r="R365" s="15">
        <v>0</v>
      </c>
      <c r="S365" s="20">
        <v>0</v>
      </c>
      <c r="T365" s="16">
        <v>0</v>
      </c>
      <c r="U365" s="16">
        <v>0</v>
      </c>
      <c r="V365" s="20">
        <v>0</v>
      </c>
      <c r="W365" s="20">
        <v>0</v>
      </c>
      <c r="X365" s="20">
        <v>0</v>
      </c>
      <c r="Y365" s="20">
        <v>0</v>
      </c>
      <c r="Z365" s="20">
        <v>0</v>
      </c>
      <c r="AA365" s="20">
        <v>0</v>
      </c>
      <c r="AB365" s="20">
        <v>0</v>
      </c>
      <c r="AC365" s="20">
        <v>0</v>
      </c>
      <c r="AD365" s="15">
        <f t="shared" si="73"/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  <c r="AJ365" s="15">
        <v>30</v>
      </c>
      <c r="AK365" s="15">
        <v>10</v>
      </c>
      <c r="AL365" s="15">
        <v>30</v>
      </c>
      <c r="AM365" s="15">
        <f t="shared" si="72"/>
        <v>70</v>
      </c>
      <c r="AN365" s="29">
        <f t="shared" si="68"/>
        <v>825</v>
      </c>
      <c r="AO365" s="19">
        <v>630</v>
      </c>
      <c r="AP365" s="21">
        <v>0</v>
      </c>
      <c r="AQ365" s="22">
        <v>1</v>
      </c>
      <c r="AR365" s="26">
        <f t="shared" si="64"/>
        <v>629</v>
      </c>
      <c r="AS365" s="37">
        <f t="shared" si="69"/>
        <v>1</v>
      </c>
      <c r="AT365" s="38">
        <f t="shared" si="75"/>
        <v>0.76363636363636367</v>
      </c>
      <c r="AU365" s="38">
        <f t="shared" si="70"/>
        <v>0.99841269841269842</v>
      </c>
      <c r="AV365" s="27">
        <f t="shared" si="71"/>
        <v>0.76242424242424245</v>
      </c>
    </row>
    <row r="366" spans="1:48" s="1" customFormat="1" ht="23.1" customHeight="1" x14ac:dyDescent="0.25">
      <c r="A366" s="109">
        <v>46046</v>
      </c>
      <c r="B366" s="47" t="s">
        <v>49</v>
      </c>
      <c r="C366" s="78" t="s">
        <v>51</v>
      </c>
      <c r="D366" s="47" t="s">
        <v>86</v>
      </c>
      <c r="E366" s="48">
        <v>98992</v>
      </c>
      <c r="F366" s="48" t="s">
        <v>176</v>
      </c>
      <c r="G366" s="48" t="s">
        <v>87</v>
      </c>
      <c r="H366" s="30">
        <v>15688</v>
      </c>
      <c r="I366" s="30"/>
      <c r="J366" s="30">
        <v>20</v>
      </c>
      <c r="K366" s="28">
        <f t="shared" si="65"/>
        <v>180</v>
      </c>
      <c r="L366" s="31">
        <v>0.58333333333333337</v>
      </c>
      <c r="M366" s="31">
        <v>0.9375</v>
      </c>
      <c r="N366" s="32">
        <f t="shared" si="74"/>
        <v>0.35416666666666663</v>
      </c>
      <c r="O366" s="36">
        <v>510</v>
      </c>
      <c r="P366" s="36">
        <f t="shared" si="66"/>
        <v>440</v>
      </c>
      <c r="Q366" s="36">
        <f t="shared" si="67"/>
        <v>440</v>
      </c>
      <c r="R366" s="15">
        <v>0</v>
      </c>
      <c r="S366" s="20">
        <v>0</v>
      </c>
      <c r="T366" s="16">
        <v>0</v>
      </c>
      <c r="U366" s="16">
        <v>0</v>
      </c>
      <c r="V366" s="20">
        <v>0</v>
      </c>
      <c r="W366" s="20">
        <v>0</v>
      </c>
      <c r="X366" s="20">
        <v>0</v>
      </c>
      <c r="Y366" s="20">
        <v>0</v>
      </c>
      <c r="Z366" s="20">
        <v>0</v>
      </c>
      <c r="AA366" s="20">
        <v>0</v>
      </c>
      <c r="AB366" s="20">
        <v>0</v>
      </c>
      <c r="AC366" s="20">
        <v>0</v>
      </c>
      <c r="AD366" s="15">
        <f t="shared" si="73"/>
        <v>0</v>
      </c>
      <c r="AE366" s="15">
        <v>0</v>
      </c>
      <c r="AF366" s="15">
        <v>0</v>
      </c>
      <c r="AG366" s="15">
        <v>0</v>
      </c>
      <c r="AH366" s="15">
        <v>0</v>
      </c>
      <c r="AI366" s="15">
        <v>0</v>
      </c>
      <c r="AJ366" s="15">
        <v>30</v>
      </c>
      <c r="AK366" s="15">
        <v>10</v>
      </c>
      <c r="AL366" s="15">
        <v>30</v>
      </c>
      <c r="AM366" s="15">
        <f t="shared" si="72"/>
        <v>70</v>
      </c>
      <c r="AN366" s="29">
        <f t="shared" si="68"/>
        <v>1320</v>
      </c>
      <c r="AO366" s="19">
        <v>1010</v>
      </c>
      <c r="AP366" s="21">
        <v>0</v>
      </c>
      <c r="AQ366" s="22">
        <v>2</v>
      </c>
      <c r="AR366" s="26">
        <f t="shared" si="64"/>
        <v>1008</v>
      </c>
      <c r="AS366" s="37">
        <f t="shared" si="69"/>
        <v>1</v>
      </c>
      <c r="AT366" s="38">
        <f t="shared" si="75"/>
        <v>0.76515151515151514</v>
      </c>
      <c r="AU366" s="38">
        <f t="shared" si="70"/>
        <v>0.99801980198019802</v>
      </c>
      <c r="AV366" s="27">
        <f t="shared" si="71"/>
        <v>0.76363636363636367</v>
      </c>
    </row>
    <row r="367" spans="1:48" s="1" customFormat="1" ht="21" customHeight="1" x14ac:dyDescent="0.25">
      <c r="A367" s="109">
        <v>46046</v>
      </c>
      <c r="B367" s="47" t="s">
        <v>49</v>
      </c>
      <c r="C367" s="78" t="s">
        <v>51</v>
      </c>
      <c r="D367" s="47" t="s">
        <v>172</v>
      </c>
      <c r="E367" s="48">
        <v>98992</v>
      </c>
      <c r="F367" s="48" t="s">
        <v>175</v>
      </c>
      <c r="G367" s="48" t="s">
        <v>87</v>
      </c>
      <c r="H367" s="30">
        <v>15882</v>
      </c>
      <c r="I367" s="30"/>
      <c r="J367" s="30">
        <v>20</v>
      </c>
      <c r="K367" s="28">
        <f t="shared" si="65"/>
        <v>180</v>
      </c>
      <c r="L367" s="31">
        <v>0.58333333333333337</v>
      </c>
      <c r="M367" s="31">
        <v>0.9375</v>
      </c>
      <c r="N367" s="32">
        <f t="shared" si="74"/>
        <v>0.35416666666666663</v>
      </c>
      <c r="O367" s="36">
        <v>510</v>
      </c>
      <c r="P367" s="36">
        <f t="shared" si="66"/>
        <v>440</v>
      </c>
      <c r="Q367" s="36">
        <f t="shared" si="67"/>
        <v>440</v>
      </c>
      <c r="R367" s="15">
        <v>0</v>
      </c>
      <c r="S367" s="20">
        <v>0</v>
      </c>
      <c r="T367" s="16">
        <v>0</v>
      </c>
      <c r="U367" s="16">
        <v>0</v>
      </c>
      <c r="V367" s="20">
        <v>0</v>
      </c>
      <c r="W367" s="20">
        <v>0</v>
      </c>
      <c r="X367" s="20">
        <v>0</v>
      </c>
      <c r="Y367" s="20">
        <v>0</v>
      </c>
      <c r="Z367" s="20">
        <v>0</v>
      </c>
      <c r="AA367" s="20">
        <v>0</v>
      </c>
      <c r="AB367" s="20">
        <v>0</v>
      </c>
      <c r="AC367" s="20">
        <v>0</v>
      </c>
      <c r="AD367" s="15">
        <f t="shared" si="73"/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  <c r="AJ367" s="15">
        <v>30</v>
      </c>
      <c r="AK367" s="15">
        <v>10</v>
      </c>
      <c r="AL367" s="15">
        <v>30</v>
      </c>
      <c r="AM367" s="15">
        <f t="shared" si="72"/>
        <v>70</v>
      </c>
      <c r="AN367" s="29">
        <f t="shared" si="68"/>
        <v>1320</v>
      </c>
      <c r="AO367" s="19">
        <v>1016</v>
      </c>
      <c r="AP367" s="21">
        <v>0</v>
      </c>
      <c r="AQ367" s="22">
        <v>0</v>
      </c>
      <c r="AR367" s="26">
        <f t="shared" si="64"/>
        <v>1016</v>
      </c>
      <c r="AS367" s="37">
        <f t="shared" si="69"/>
        <v>1</v>
      </c>
      <c r="AT367" s="38">
        <f t="shared" si="75"/>
        <v>0.76969696969696966</v>
      </c>
      <c r="AU367" s="38">
        <f t="shared" si="70"/>
        <v>1</v>
      </c>
      <c r="AV367" s="27">
        <f t="shared" si="71"/>
        <v>0.76969696969696966</v>
      </c>
    </row>
    <row r="368" spans="1:48" s="1" customFormat="1" ht="21" customHeight="1" x14ac:dyDescent="0.25">
      <c r="A368" s="109">
        <v>46046</v>
      </c>
      <c r="B368" s="47" t="s">
        <v>49</v>
      </c>
      <c r="C368" s="78" t="s">
        <v>51</v>
      </c>
      <c r="D368" s="47" t="s">
        <v>124</v>
      </c>
      <c r="E368" s="48">
        <v>98992</v>
      </c>
      <c r="F368" s="48" t="s">
        <v>215</v>
      </c>
      <c r="G368" s="48" t="s">
        <v>125</v>
      </c>
      <c r="H368" s="30">
        <v>14972</v>
      </c>
      <c r="I368" s="30"/>
      <c r="J368" s="30">
        <v>32</v>
      </c>
      <c r="K368" s="28">
        <f t="shared" si="65"/>
        <v>112.5</v>
      </c>
      <c r="L368" s="31">
        <v>0.58333333333333337</v>
      </c>
      <c r="M368" s="31">
        <v>0.9375</v>
      </c>
      <c r="N368" s="32">
        <f t="shared" si="74"/>
        <v>0.35416666666666663</v>
      </c>
      <c r="O368" s="36">
        <v>510</v>
      </c>
      <c r="P368" s="36">
        <f t="shared" si="66"/>
        <v>300</v>
      </c>
      <c r="Q368" s="36">
        <f t="shared" si="67"/>
        <v>320</v>
      </c>
      <c r="R368" s="15">
        <v>0</v>
      </c>
      <c r="S368" s="20">
        <v>0</v>
      </c>
      <c r="T368" s="16">
        <v>0</v>
      </c>
      <c r="U368" s="16">
        <v>0</v>
      </c>
      <c r="V368" s="20">
        <v>0</v>
      </c>
      <c r="W368" s="20">
        <v>0</v>
      </c>
      <c r="X368" s="20">
        <v>0</v>
      </c>
      <c r="Y368" s="20">
        <v>0</v>
      </c>
      <c r="Z368" s="20">
        <v>0</v>
      </c>
      <c r="AA368" s="20">
        <v>0</v>
      </c>
      <c r="AB368" s="20">
        <v>20</v>
      </c>
      <c r="AC368" s="20">
        <v>0</v>
      </c>
      <c r="AD368" s="15">
        <f t="shared" si="73"/>
        <v>20</v>
      </c>
      <c r="AE368" s="15">
        <v>0</v>
      </c>
      <c r="AF368" s="15">
        <v>0</v>
      </c>
      <c r="AG368" s="15">
        <v>0</v>
      </c>
      <c r="AH368" s="15">
        <v>120</v>
      </c>
      <c r="AI368" s="15">
        <v>0</v>
      </c>
      <c r="AJ368" s="15">
        <v>30</v>
      </c>
      <c r="AK368" s="15">
        <v>10</v>
      </c>
      <c r="AL368" s="15">
        <v>30</v>
      </c>
      <c r="AM368" s="15">
        <f t="shared" si="72"/>
        <v>190</v>
      </c>
      <c r="AN368" s="29">
        <f t="shared" si="68"/>
        <v>600</v>
      </c>
      <c r="AO368" s="19">
        <v>449</v>
      </c>
      <c r="AP368" s="21">
        <v>0</v>
      </c>
      <c r="AQ368" s="22">
        <v>2</v>
      </c>
      <c r="AR368" s="26">
        <f t="shared" si="64"/>
        <v>447</v>
      </c>
      <c r="AS368" s="37">
        <f t="shared" si="69"/>
        <v>0.9375</v>
      </c>
      <c r="AT368" s="38">
        <f t="shared" si="75"/>
        <v>0.74833333333333329</v>
      </c>
      <c r="AU368" s="38">
        <f t="shared" si="70"/>
        <v>0.99554565701559017</v>
      </c>
      <c r="AV368" s="27">
        <f t="shared" si="71"/>
        <v>0.69843749999999993</v>
      </c>
    </row>
    <row r="369" spans="1:48" s="1" customFormat="1" ht="21" customHeight="1" x14ac:dyDescent="0.25">
      <c r="A369" s="109">
        <v>46046</v>
      </c>
      <c r="B369" s="47" t="s">
        <v>49</v>
      </c>
      <c r="C369" s="78" t="s">
        <v>51</v>
      </c>
      <c r="D369" s="47" t="s">
        <v>122</v>
      </c>
      <c r="E369" s="48">
        <v>98992</v>
      </c>
      <c r="F369" s="48" t="s">
        <v>169</v>
      </c>
      <c r="G369" s="48" t="s">
        <v>125</v>
      </c>
      <c r="H369" s="30">
        <v>15676</v>
      </c>
      <c r="I369" s="30"/>
      <c r="J369" s="30">
        <v>32</v>
      </c>
      <c r="K369" s="28">
        <f t="shared" si="65"/>
        <v>112.5</v>
      </c>
      <c r="L369" s="31">
        <v>0.58333333333333337</v>
      </c>
      <c r="M369" s="31">
        <v>0.9375</v>
      </c>
      <c r="N369" s="32">
        <f t="shared" si="74"/>
        <v>0.35416666666666663</v>
      </c>
      <c r="O369" s="36">
        <v>510</v>
      </c>
      <c r="P369" s="36">
        <f t="shared" si="66"/>
        <v>370</v>
      </c>
      <c r="Q369" s="36">
        <f t="shared" si="67"/>
        <v>380</v>
      </c>
      <c r="R369" s="15">
        <v>0</v>
      </c>
      <c r="S369" s="20">
        <v>0</v>
      </c>
      <c r="T369" s="16">
        <v>0</v>
      </c>
      <c r="U369" s="16">
        <v>0</v>
      </c>
      <c r="V369" s="20">
        <v>0</v>
      </c>
      <c r="W369" s="20">
        <v>0</v>
      </c>
      <c r="X369" s="20">
        <v>0</v>
      </c>
      <c r="Y369" s="20">
        <v>0</v>
      </c>
      <c r="Z369" s="20">
        <v>0</v>
      </c>
      <c r="AA369" s="20">
        <v>0</v>
      </c>
      <c r="AB369" s="20">
        <v>10</v>
      </c>
      <c r="AC369" s="20">
        <v>0</v>
      </c>
      <c r="AD369" s="15">
        <f t="shared" si="73"/>
        <v>10</v>
      </c>
      <c r="AE369" s="15">
        <v>0</v>
      </c>
      <c r="AF369" s="15">
        <v>0</v>
      </c>
      <c r="AG369" s="15">
        <v>0</v>
      </c>
      <c r="AH369" s="15">
        <v>60</v>
      </c>
      <c r="AI369" s="15">
        <v>0</v>
      </c>
      <c r="AJ369" s="15">
        <v>30</v>
      </c>
      <c r="AK369" s="15">
        <v>10</v>
      </c>
      <c r="AL369" s="15">
        <v>30</v>
      </c>
      <c r="AM369" s="15">
        <f t="shared" si="72"/>
        <v>130</v>
      </c>
      <c r="AN369" s="29">
        <f t="shared" si="68"/>
        <v>712.5</v>
      </c>
      <c r="AO369" s="19">
        <v>611</v>
      </c>
      <c r="AP369" s="21">
        <v>0</v>
      </c>
      <c r="AQ369" s="22">
        <v>2</v>
      </c>
      <c r="AR369" s="26">
        <f t="shared" si="64"/>
        <v>609</v>
      </c>
      <c r="AS369" s="37">
        <f t="shared" si="69"/>
        <v>0.97368421052631582</v>
      </c>
      <c r="AT369" s="38">
        <f t="shared" si="75"/>
        <v>0.85754385964912283</v>
      </c>
      <c r="AU369" s="38">
        <f t="shared" si="70"/>
        <v>0.99672667757774136</v>
      </c>
      <c r="AV369" s="27">
        <f t="shared" si="71"/>
        <v>0.83224376731301941</v>
      </c>
    </row>
    <row r="370" spans="1:48" s="1" customFormat="1" ht="21" customHeight="1" x14ac:dyDescent="0.25">
      <c r="A370" s="109">
        <v>46046</v>
      </c>
      <c r="B370" s="47" t="s">
        <v>49</v>
      </c>
      <c r="C370" s="78" t="s">
        <v>51</v>
      </c>
      <c r="D370" s="47" t="s">
        <v>128</v>
      </c>
      <c r="E370" s="48">
        <v>98992</v>
      </c>
      <c r="F370" s="48" t="s">
        <v>53</v>
      </c>
      <c r="G370" s="48" t="s">
        <v>125</v>
      </c>
      <c r="H370" s="30">
        <v>15632</v>
      </c>
      <c r="I370" s="30"/>
      <c r="J370" s="30">
        <v>32</v>
      </c>
      <c r="K370" s="28">
        <f t="shared" si="65"/>
        <v>112.5</v>
      </c>
      <c r="L370" s="31">
        <v>0.58333333333333337</v>
      </c>
      <c r="M370" s="31">
        <v>0.9375</v>
      </c>
      <c r="N370" s="32">
        <f t="shared" si="74"/>
        <v>0.35416666666666663</v>
      </c>
      <c r="O370" s="36">
        <v>510</v>
      </c>
      <c r="P370" s="36">
        <f t="shared" si="66"/>
        <v>380</v>
      </c>
      <c r="Q370" s="36">
        <f t="shared" si="67"/>
        <v>380</v>
      </c>
      <c r="R370" s="15">
        <v>0</v>
      </c>
      <c r="S370" s="20">
        <v>0</v>
      </c>
      <c r="T370" s="16">
        <v>0</v>
      </c>
      <c r="U370" s="16">
        <v>0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15">
        <f t="shared" si="73"/>
        <v>0</v>
      </c>
      <c r="AE370" s="15">
        <v>0</v>
      </c>
      <c r="AF370" s="15">
        <v>0</v>
      </c>
      <c r="AG370" s="15">
        <v>0</v>
      </c>
      <c r="AH370" s="15">
        <v>60</v>
      </c>
      <c r="AI370" s="15">
        <v>0</v>
      </c>
      <c r="AJ370" s="15">
        <v>30</v>
      </c>
      <c r="AK370" s="15">
        <v>10</v>
      </c>
      <c r="AL370" s="15">
        <v>30</v>
      </c>
      <c r="AM370" s="15">
        <f t="shared" si="72"/>
        <v>130</v>
      </c>
      <c r="AN370" s="29">
        <f t="shared" si="68"/>
        <v>712.5</v>
      </c>
      <c r="AO370" s="19">
        <v>600</v>
      </c>
      <c r="AP370" s="21">
        <v>0</v>
      </c>
      <c r="AQ370" s="22">
        <v>1</v>
      </c>
      <c r="AR370" s="26">
        <f t="shared" si="64"/>
        <v>599</v>
      </c>
      <c r="AS370" s="37">
        <f t="shared" si="69"/>
        <v>1</v>
      </c>
      <c r="AT370" s="38">
        <f t="shared" si="75"/>
        <v>0.84210526315789469</v>
      </c>
      <c r="AU370" s="38">
        <f t="shared" si="70"/>
        <v>0.99833333333333329</v>
      </c>
      <c r="AV370" s="27">
        <f t="shared" si="71"/>
        <v>0.84070175438596484</v>
      </c>
    </row>
    <row r="371" spans="1:48" s="1" customFormat="1" ht="21" customHeight="1" x14ac:dyDescent="0.25">
      <c r="A371" s="109">
        <v>46046</v>
      </c>
      <c r="B371" s="47" t="s">
        <v>49</v>
      </c>
      <c r="C371" s="78" t="s">
        <v>51</v>
      </c>
      <c r="D371" s="47" t="s">
        <v>170</v>
      </c>
      <c r="E371" s="48">
        <v>98992</v>
      </c>
      <c r="F371" s="48" t="s">
        <v>176</v>
      </c>
      <c r="G371" s="48" t="s">
        <v>125</v>
      </c>
      <c r="H371" s="30">
        <v>14976</v>
      </c>
      <c r="I371" s="30"/>
      <c r="J371" s="30">
        <v>20</v>
      </c>
      <c r="K371" s="28">
        <f t="shared" si="65"/>
        <v>180</v>
      </c>
      <c r="L371" s="31">
        <v>0.58333333333333337</v>
      </c>
      <c r="M371" s="31">
        <v>0.9375</v>
      </c>
      <c r="N371" s="32">
        <f t="shared" si="74"/>
        <v>0.35416666666666663</v>
      </c>
      <c r="O371" s="36">
        <v>510</v>
      </c>
      <c r="P371" s="36">
        <f t="shared" si="66"/>
        <v>300</v>
      </c>
      <c r="Q371" s="36">
        <f t="shared" si="67"/>
        <v>320</v>
      </c>
      <c r="R371" s="15">
        <v>0</v>
      </c>
      <c r="S371" s="20">
        <v>0</v>
      </c>
      <c r="T371" s="16">
        <v>0</v>
      </c>
      <c r="U371" s="16">
        <v>0</v>
      </c>
      <c r="V371" s="20">
        <v>0</v>
      </c>
      <c r="W371" s="20">
        <v>0</v>
      </c>
      <c r="X371" s="20">
        <v>20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15">
        <f t="shared" si="73"/>
        <v>20</v>
      </c>
      <c r="AE371" s="15">
        <v>0</v>
      </c>
      <c r="AF371" s="15">
        <v>0</v>
      </c>
      <c r="AG371" s="15">
        <v>0</v>
      </c>
      <c r="AH371" s="15">
        <v>120</v>
      </c>
      <c r="AI371" s="15">
        <v>0</v>
      </c>
      <c r="AJ371" s="15">
        <v>30</v>
      </c>
      <c r="AK371" s="15">
        <v>10</v>
      </c>
      <c r="AL371" s="15">
        <v>30</v>
      </c>
      <c r="AM371" s="15">
        <f t="shared" si="72"/>
        <v>190</v>
      </c>
      <c r="AN371" s="29">
        <f t="shared" si="68"/>
        <v>960</v>
      </c>
      <c r="AO371" s="19">
        <v>840</v>
      </c>
      <c r="AP371" s="21">
        <v>0</v>
      </c>
      <c r="AQ371" s="22">
        <v>2</v>
      </c>
      <c r="AR371" s="26">
        <f t="shared" si="64"/>
        <v>838</v>
      </c>
      <c r="AS371" s="37">
        <f t="shared" si="69"/>
        <v>0.9375</v>
      </c>
      <c r="AT371" s="38">
        <f t="shared" si="75"/>
        <v>0.875</v>
      </c>
      <c r="AU371" s="38">
        <f t="shared" si="70"/>
        <v>0.99761904761904763</v>
      </c>
      <c r="AV371" s="27">
        <f t="shared" si="71"/>
        <v>0.818359375</v>
      </c>
    </row>
    <row r="372" spans="1:48" s="1" customFormat="1" ht="21" customHeight="1" x14ac:dyDescent="0.25">
      <c r="A372" s="109">
        <v>46046</v>
      </c>
      <c r="B372" s="47" t="s">
        <v>49</v>
      </c>
      <c r="C372" s="78" t="s">
        <v>51</v>
      </c>
      <c r="D372" s="47" t="s">
        <v>127</v>
      </c>
      <c r="E372" s="48">
        <v>98992</v>
      </c>
      <c r="F372" s="48" t="s">
        <v>175</v>
      </c>
      <c r="G372" s="48" t="s">
        <v>125</v>
      </c>
      <c r="H372" s="30">
        <v>13105</v>
      </c>
      <c r="I372" s="30"/>
      <c r="J372" s="30">
        <v>20</v>
      </c>
      <c r="K372" s="28">
        <f t="shared" si="65"/>
        <v>180</v>
      </c>
      <c r="L372" s="31">
        <v>0.58333333333333337</v>
      </c>
      <c r="M372" s="31">
        <v>0.9375</v>
      </c>
      <c r="N372" s="32">
        <f t="shared" si="74"/>
        <v>0.35416666666666663</v>
      </c>
      <c r="O372" s="36">
        <v>510</v>
      </c>
      <c r="P372" s="36">
        <f t="shared" si="66"/>
        <v>320</v>
      </c>
      <c r="Q372" s="36">
        <f t="shared" si="67"/>
        <v>320</v>
      </c>
      <c r="R372" s="15">
        <v>0</v>
      </c>
      <c r="S372" s="20">
        <v>0</v>
      </c>
      <c r="T372" s="16">
        <v>0</v>
      </c>
      <c r="U372" s="16">
        <v>0</v>
      </c>
      <c r="V372" s="20">
        <v>0</v>
      </c>
      <c r="W372" s="20">
        <v>0</v>
      </c>
      <c r="X372" s="20">
        <v>0</v>
      </c>
      <c r="Y372" s="20">
        <v>0</v>
      </c>
      <c r="Z372" s="20">
        <v>0</v>
      </c>
      <c r="AA372" s="20">
        <v>0</v>
      </c>
      <c r="AB372" s="20">
        <v>0</v>
      </c>
      <c r="AC372" s="20">
        <v>0</v>
      </c>
      <c r="AD372" s="15">
        <f t="shared" si="73"/>
        <v>0</v>
      </c>
      <c r="AE372" s="15">
        <v>0</v>
      </c>
      <c r="AF372" s="15">
        <v>0</v>
      </c>
      <c r="AG372" s="15">
        <v>0</v>
      </c>
      <c r="AH372" s="15">
        <v>120</v>
      </c>
      <c r="AI372" s="15">
        <v>0</v>
      </c>
      <c r="AJ372" s="15">
        <v>30</v>
      </c>
      <c r="AK372" s="15">
        <v>10</v>
      </c>
      <c r="AL372" s="15">
        <v>30</v>
      </c>
      <c r="AM372" s="15">
        <f t="shared" si="72"/>
        <v>190</v>
      </c>
      <c r="AN372" s="29">
        <f t="shared" si="68"/>
        <v>960</v>
      </c>
      <c r="AO372" s="19">
        <v>860</v>
      </c>
      <c r="AP372" s="21">
        <v>0</v>
      </c>
      <c r="AQ372" s="22">
        <v>0</v>
      </c>
      <c r="AR372" s="26">
        <f t="shared" si="64"/>
        <v>860</v>
      </c>
      <c r="AS372" s="37">
        <f t="shared" si="69"/>
        <v>1</v>
      </c>
      <c r="AT372" s="38">
        <f t="shared" si="75"/>
        <v>0.89583333333333337</v>
      </c>
      <c r="AU372" s="38">
        <f t="shared" si="70"/>
        <v>1</v>
      </c>
      <c r="AV372" s="27">
        <f t="shared" si="71"/>
        <v>0.89583333333333337</v>
      </c>
    </row>
    <row r="373" spans="1:48" s="1" customFormat="1" ht="21" customHeight="1" x14ac:dyDescent="0.25">
      <c r="A373" s="109">
        <v>46047</v>
      </c>
      <c r="B373" s="47" t="s">
        <v>49</v>
      </c>
      <c r="C373" s="78" t="s">
        <v>21</v>
      </c>
      <c r="D373" s="47" t="s">
        <v>124</v>
      </c>
      <c r="E373" s="48">
        <v>98992</v>
      </c>
      <c r="F373" s="48" t="s">
        <v>215</v>
      </c>
      <c r="G373" s="48" t="s">
        <v>125</v>
      </c>
      <c r="H373" s="30">
        <v>13105</v>
      </c>
      <c r="I373" s="30"/>
      <c r="J373" s="30">
        <v>32</v>
      </c>
      <c r="K373" s="28">
        <f t="shared" si="65"/>
        <v>112.5</v>
      </c>
      <c r="L373" s="31">
        <v>0.25</v>
      </c>
      <c r="M373" s="31">
        <v>0.60416666666666696</v>
      </c>
      <c r="N373" s="32">
        <f t="shared" si="74"/>
        <v>0.35416666666666696</v>
      </c>
      <c r="O373" s="36">
        <v>510</v>
      </c>
      <c r="P373" s="36">
        <f t="shared" si="66"/>
        <v>180</v>
      </c>
      <c r="Q373" s="36">
        <f t="shared" si="67"/>
        <v>200</v>
      </c>
      <c r="R373" s="15">
        <v>0</v>
      </c>
      <c r="S373" s="20">
        <v>0</v>
      </c>
      <c r="T373" s="16">
        <v>0</v>
      </c>
      <c r="U373" s="16">
        <v>0</v>
      </c>
      <c r="V373" s="20">
        <v>0</v>
      </c>
      <c r="W373" s="20">
        <v>0</v>
      </c>
      <c r="X373" s="20">
        <v>0</v>
      </c>
      <c r="Y373" s="20">
        <v>0</v>
      </c>
      <c r="Z373" s="20">
        <v>0</v>
      </c>
      <c r="AA373" s="20">
        <v>0</v>
      </c>
      <c r="AB373" s="20">
        <v>20</v>
      </c>
      <c r="AC373" s="20">
        <v>0</v>
      </c>
      <c r="AD373" s="15">
        <f t="shared" ref="AD373:AD406" si="76">SUM(R373:AC373)</f>
        <v>20</v>
      </c>
      <c r="AE373" s="15">
        <v>0</v>
      </c>
      <c r="AF373" s="15">
        <v>0</v>
      </c>
      <c r="AG373" s="15">
        <v>0</v>
      </c>
      <c r="AH373" s="15">
        <v>240</v>
      </c>
      <c r="AI373" s="15">
        <v>0</v>
      </c>
      <c r="AJ373" s="15">
        <v>30</v>
      </c>
      <c r="AK373" s="15">
        <v>10</v>
      </c>
      <c r="AL373" s="15">
        <v>30</v>
      </c>
      <c r="AM373" s="15">
        <f t="shared" ref="AM373:AM406" si="77">SUM(AE373:AL373)</f>
        <v>310</v>
      </c>
      <c r="AN373" s="29">
        <f t="shared" si="68"/>
        <v>375</v>
      </c>
      <c r="AO373" s="19">
        <v>144</v>
      </c>
      <c r="AP373" s="21">
        <v>0</v>
      </c>
      <c r="AQ373" s="22">
        <v>0</v>
      </c>
      <c r="AR373" s="26">
        <f t="shared" si="64"/>
        <v>144</v>
      </c>
      <c r="AS373" s="37">
        <f t="shared" si="69"/>
        <v>0.9</v>
      </c>
      <c r="AT373" s="38">
        <f t="shared" si="75"/>
        <v>0.38400000000000001</v>
      </c>
      <c r="AU373" s="38">
        <f t="shared" si="70"/>
        <v>1</v>
      </c>
      <c r="AV373" s="27">
        <f t="shared" si="71"/>
        <v>0.34560000000000002</v>
      </c>
    </row>
    <row r="374" spans="1:48" s="1" customFormat="1" ht="21" customHeight="1" x14ac:dyDescent="0.25">
      <c r="A374" s="109">
        <v>46047</v>
      </c>
      <c r="B374" s="47" t="s">
        <v>49</v>
      </c>
      <c r="C374" s="78" t="s">
        <v>21</v>
      </c>
      <c r="D374" s="47" t="s">
        <v>122</v>
      </c>
      <c r="E374" s="48">
        <v>98992</v>
      </c>
      <c r="F374" s="48" t="s">
        <v>169</v>
      </c>
      <c r="G374" s="48" t="s">
        <v>125</v>
      </c>
      <c r="H374" s="30">
        <v>14957</v>
      </c>
      <c r="I374" s="30"/>
      <c r="J374" s="30">
        <v>32</v>
      </c>
      <c r="K374" s="28">
        <f t="shared" si="65"/>
        <v>112.5</v>
      </c>
      <c r="L374" s="31">
        <v>0.25</v>
      </c>
      <c r="M374" s="31">
        <v>0.60416666666666696</v>
      </c>
      <c r="N374" s="32">
        <f t="shared" si="74"/>
        <v>0.35416666666666696</v>
      </c>
      <c r="O374" s="36">
        <v>510</v>
      </c>
      <c r="P374" s="36">
        <f t="shared" si="66"/>
        <v>370</v>
      </c>
      <c r="Q374" s="36">
        <f t="shared" si="67"/>
        <v>380</v>
      </c>
      <c r="R374" s="15">
        <v>0</v>
      </c>
      <c r="S374" s="20">
        <v>0</v>
      </c>
      <c r="T374" s="16">
        <v>0</v>
      </c>
      <c r="U374" s="16">
        <v>0</v>
      </c>
      <c r="V374" s="20">
        <v>0</v>
      </c>
      <c r="W374" s="20">
        <v>0</v>
      </c>
      <c r="X374" s="20">
        <v>0</v>
      </c>
      <c r="Y374" s="20">
        <v>0</v>
      </c>
      <c r="Z374" s="20">
        <v>0</v>
      </c>
      <c r="AA374" s="20">
        <v>0</v>
      </c>
      <c r="AB374" s="20">
        <v>10</v>
      </c>
      <c r="AC374" s="20">
        <v>0</v>
      </c>
      <c r="AD374" s="15">
        <f t="shared" si="76"/>
        <v>10</v>
      </c>
      <c r="AE374" s="15">
        <v>0</v>
      </c>
      <c r="AF374" s="15">
        <v>0</v>
      </c>
      <c r="AG374" s="15">
        <v>0</v>
      </c>
      <c r="AH374" s="15">
        <v>60</v>
      </c>
      <c r="AI374" s="15">
        <v>0</v>
      </c>
      <c r="AJ374" s="15">
        <v>30</v>
      </c>
      <c r="AK374" s="15">
        <v>10</v>
      </c>
      <c r="AL374" s="15">
        <v>30</v>
      </c>
      <c r="AM374" s="15">
        <f t="shared" si="77"/>
        <v>130</v>
      </c>
      <c r="AN374" s="29">
        <f t="shared" si="68"/>
        <v>712.5</v>
      </c>
      <c r="AO374" s="19">
        <v>607</v>
      </c>
      <c r="AP374" s="21">
        <v>0</v>
      </c>
      <c r="AQ374" s="22">
        <v>0</v>
      </c>
      <c r="AR374" s="26">
        <f t="shared" si="64"/>
        <v>607</v>
      </c>
      <c r="AS374" s="37">
        <f t="shared" si="69"/>
        <v>0.97368421052631582</v>
      </c>
      <c r="AT374" s="38">
        <f t="shared" si="75"/>
        <v>0.85192982456140354</v>
      </c>
      <c r="AU374" s="38">
        <f t="shared" si="70"/>
        <v>1</v>
      </c>
      <c r="AV374" s="27">
        <f t="shared" si="71"/>
        <v>0.82951061865189291</v>
      </c>
    </row>
    <row r="375" spans="1:48" s="1" customFormat="1" ht="21" customHeight="1" x14ac:dyDescent="0.25">
      <c r="A375" s="109">
        <v>46047</v>
      </c>
      <c r="B375" s="47" t="s">
        <v>49</v>
      </c>
      <c r="C375" s="78" t="s">
        <v>21</v>
      </c>
      <c r="D375" s="47" t="s">
        <v>128</v>
      </c>
      <c r="E375" s="48">
        <v>98992</v>
      </c>
      <c r="F375" s="48" t="s">
        <v>53</v>
      </c>
      <c r="G375" s="48" t="s">
        <v>125</v>
      </c>
      <c r="H375" s="30">
        <v>15679</v>
      </c>
      <c r="I375" s="30"/>
      <c r="J375" s="30">
        <v>32</v>
      </c>
      <c r="K375" s="28">
        <f t="shared" si="65"/>
        <v>112.5</v>
      </c>
      <c r="L375" s="31">
        <v>0.25</v>
      </c>
      <c r="M375" s="31">
        <v>0.60416666666666696</v>
      </c>
      <c r="N375" s="32">
        <f t="shared" si="74"/>
        <v>0.35416666666666696</v>
      </c>
      <c r="O375" s="36">
        <v>510</v>
      </c>
      <c r="P375" s="36">
        <f t="shared" si="66"/>
        <v>200</v>
      </c>
      <c r="Q375" s="36">
        <f t="shared" si="67"/>
        <v>200</v>
      </c>
      <c r="R375" s="15">
        <v>0</v>
      </c>
      <c r="S375" s="20">
        <v>0</v>
      </c>
      <c r="T375" s="16">
        <v>0</v>
      </c>
      <c r="U375" s="16">
        <v>0</v>
      </c>
      <c r="V375" s="20">
        <v>0</v>
      </c>
      <c r="W375" s="20">
        <v>0</v>
      </c>
      <c r="X375" s="20">
        <v>0</v>
      </c>
      <c r="Y375" s="20">
        <v>0</v>
      </c>
      <c r="Z375" s="20">
        <v>0</v>
      </c>
      <c r="AA375" s="20">
        <v>0</v>
      </c>
      <c r="AB375" s="20">
        <v>0</v>
      </c>
      <c r="AC375" s="20">
        <v>0</v>
      </c>
      <c r="AD375" s="15">
        <f t="shared" si="76"/>
        <v>0</v>
      </c>
      <c r="AE375" s="15">
        <v>0</v>
      </c>
      <c r="AF375" s="15">
        <v>0</v>
      </c>
      <c r="AG375" s="15">
        <v>0</v>
      </c>
      <c r="AH375" s="15">
        <v>240</v>
      </c>
      <c r="AI375" s="15">
        <v>0</v>
      </c>
      <c r="AJ375" s="15">
        <v>30</v>
      </c>
      <c r="AK375" s="15">
        <v>10</v>
      </c>
      <c r="AL375" s="15">
        <v>30</v>
      </c>
      <c r="AM375" s="15">
        <f t="shared" si="77"/>
        <v>310</v>
      </c>
      <c r="AN375" s="29">
        <f t="shared" si="68"/>
        <v>375</v>
      </c>
      <c r="AO375" s="19">
        <v>204</v>
      </c>
      <c r="AP375" s="21">
        <v>0</v>
      </c>
      <c r="AQ375" s="22">
        <v>0</v>
      </c>
      <c r="AR375" s="26">
        <f t="shared" si="64"/>
        <v>204</v>
      </c>
      <c r="AS375" s="37">
        <f t="shared" si="69"/>
        <v>1</v>
      </c>
      <c r="AT375" s="38">
        <f t="shared" si="75"/>
        <v>0.54400000000000004</v>
      </c>
      <c r="AU375" s="38">
        <f t="shared" si="70"/>
        <v>1</v>
      </c>
      <c r="AV375" s="27">
        <f t="shared" si="71"/>
        <v>0.54400000000000004</v>
      </c>
    </row>
    <row r="376" spans="1:48" s="1" customFormat="1" ht="21" customHeight="1" x14ac:dyDescent="0.25">
      <c r="A376" s="109">
        <v>46047</v>
      </c>
      <c r="B376" s="47" t="s">
        <v>49</v>
      </c>
      <c r="C376" s="78" t="s">
        <v>21</v>
      </c>
      <c r="D376" s="47" t="s">
        <v>170</v>
      </c>
      <c r="E376" s="48">
        <v>98992</v>
      </c>
      <c r="F376" s="48" t="s">
        <v>176</v>
      </c>
      <c r="G376" s="48" t="s">
        <v>125</v>
      </c>
      <c r="H376" s="30">
        <v>15859</v>
      </c>
      <c r="I376" s="30"/>
      <c r="J376" s="30">
        <v>20</v>
      </c>
      <c r="K376" s="28">
        <f t="shared" si="65"/>
        <v>180</v>
      </c>
      <c r="L376" s="31">
        <v>0.25</v>
      </c>
      <c r="M376" s="31">
        <v>0.60416666666666696</v>
      </c>
      <c r="N376" s="32">
        <f t="shared" si="74"/>
        <v>0.35416666666666696</v>
      </c>
      <c r="O376" s="36">
        <v>510</v>
      </c>
      <c r="P376" s="36">
        <f t="shared" si="66"/>
        <v>240</v>
      </c>
      <c r="Q376" s="36">
        <f t="shared" si="67"/>
        <v>260</v>
      </c>
      <c r="R376" s="15">
        <v>0</v>
      </c>
      <c r="S376" s="20">
        <v>0</v>
      </c>
      <c r="T376" s="16">
        <v>0</v>
      </c>
      <c r="U376" s="16">
        <v>0</v>
      </c>
      <c r="V376" s="20">
        <v>0</v>
      </c>
      <c r="W376" s="20">
        <v>0</v>
      </c>
      <c r="X376" s="20">
        <v>20</v>
      </c>
      <c r="Y376" s="20">
        <v>0</v>
      </c>
      <c r="Z376" s="20">
        <v>0</v>
      </c>
      <c r="AA376" s="20">
        <v>0</v>
      </c>
      <c r="AB376" s="20">
        <v>0</v>
      </c>
      <c r="AC376" s="20">
        <v>0</v>
      </c>
      <c r="AD376" s="15">
        <f t="shared" si="76"/>
        <v>20</v>
      </c>
      <c r="AE376" s="15">
        <v>0</v>
      </c>
      <c r="AF376" s="15">
        <v>0</v>
      </c>
      <c r="AG376" s="15">
        <v>0</v>
      </c>
      <c r="AH376" s="15">
        <v>180</v>
      </c>
      <c r="AI376" s="15">
        <v>0</v>
      </c>
      <c r="AJ376" s="15">
        <v>30</v>
      </c>
      <c r="AK376" s="15">
        <v>10</v>
      </c>
      <c r="AL376" s="15">
        <v>30</v>
      </c>
      <c r="AM376" s="15">
        <f t="shared" si="77"/>
        <v>250</v>
      </c>
      <c r="AN376" s="29">
        <f t="shared" si="68"/>
        <v>780</v>
      </c>
      <c r="AO376" s="19">
        <v>557</v>
      </c>
      <c r="AP376" s="21">
        <v>0</v>
      </c>
      <c r="AQ376" s="22">
        <v>0</v>
      </c>
      <c r="AR376" s="26">
        <f t="shared" si="64"/>
        <v>557</v>
      </c>
      <c r="AS376" s="37">
        <f t="shared" si="69"/>
        <v>0.92307692307692313</v>
      </c>
      <c r="AT376" s="38">
        <f t="shared" si="75"/>
        <v>0.71410256410256412</v>
      </c>
      <c r="AU376" s="38">
        <f t="shared" si="70"/>
        <v>1</v>
      </c>
      <c r="AV376" s="27">
        <f t="shared" si="71"/>
        <v>0.65917159763313615</v>
      </c>
    </row>
    <row r="377" spans="1:48" s="1" customFormat="1" ht="21" customHeight="1" x14ac:dyDescent="0.25">
      <c r="A377" s="109">
        <v>46047</v>
      </c>
      <c r="B377" s="47" t="s">
        <v>49</v>
      </c>
      <c r="C377" s="78" t="s">
        <v>21</v>
      </c>
      <c r="D377" s="47" t="s">
        <v>127</v>
      </c>
      <c r="E377" s="48">
        <v>98992</v>
      </c>
      <c r="F377" s="48" t="s">
        <v>175</v>
      </c>
      <c r="G377" s="48" t="s">
        <v>125</v>
      </c>
      <c r="H377" s="30">
        <v>15857</v>
      </c>
      <c r="I377" s="30"/>
      <c r="J377" s="30">
        <v>20</v>
      </c>
      <c r="K377" s="28">
        <f t="shared" si="65"/>
        <v>180</v>
      </c>
      <c r="L377" s="31">
        <v>0.25</v>
      </c>
      <c r="M377" s="31">
        <v>0.60416666666666696</v>
      </c>
      <c r="N377" s="32">
        <f t="shared" si="74"/>
        <v>0.35416666666666696</v>
      </c>
      <c r="O377" s="36">
        <v>510</v>
      </c>
      <c r="P377" s="36">
        <f t="shared" si="66"/>
        <v>200</v>
      </c>
      <c r="Q377" s="36">
        <f t="shared" si="67"/>
        <v>200</v>
      </c>
      <c r="R377" s="15">
        <v>0</v>
      </c>
      <c r="S377" s="20">
        <v>0</v>
      </c>
      <c r="T377" s="16">
        <v>0</v>
      </c>
      <c r="U377" s="16">
        <v>0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15">
        <f t="shared" si="76"/>
        <v>0</v>
      </c>
      <c r="AE377" s="15">
        <v>0</v>
      </c>
      <c r="AF377" s="15">
        <v>0</v>
      </c>
      <c r="AG377" s="15">
        <v>0</v>
      </c>
      <c r="AH377" s="15">
        <v>240</v>
      </c>
      <c r="AI377" s="15">
        <v>0</v>
      </c>
      <c r="AJ377" s="15">
        <v>30</v>
      </c>
      <c r="AK377" s="15">
        <v>10</v>
      </c>
      <c r="AL377" s="15">
        <v>30</v>
      </c>
      <c r="AM377" s="15">
        <f t="shared" si="77"/>
        <v>310</v>
      </c>
      <c r="AN377" s="29">
        <f t="shared" si="68"/>
        <v>600</v>
      </c>
      <c r="AO377" s="19">
        <v>300</v>
      </c>
      <c r="AP377" s="21">
        <v>0</v>
      </c>
      <c r="AQ377" s="22">
        <v>0</v>
      </c>
      <c r="AR377" s="26">
        <f t="shared" si="64"/>
        <v>300</v>
      </c>
      <c r="AS377" s="37">
        <f t="shared" si="69"/>
        <v>1</v>
      </c>
      <c r="AT377" s="38">
        <f t="shared" si="75"/>
        <v>0.5</v>
      </c>
      <c r="AU377" s="38">
        <f t="shared" si="70"/>
        <v>1</v>
      </c>
      <c r="AV377" s="27">
        <f t="shared" si="71"/>
        <v>0.5</v>
      </c>
    </row>
    <row r="378" spans="1:48" s="1" customFormat="1" ht="21" customHeight="1" x14ac:dyDescent="0.25">
      <c r="A378" s="109">
        <v>46047</v>
      </c>
      <c r="B378" s="47" t="s">
        <v>49</v>
      </c>
      <c r="C378" s="78" t="s">
        <v>21</v>
      </c>
      <c r="D378" s="47" t="s">
        <v>94</v>
      </c>
      <c r="E378" s="48">
        <v>98992</v>
      </c>
      <c r="F378" s="48" t="s">
        <v>67</v>
      </c>
      <c r="G378" s="48" t="s">
        <v>174</v>
      </c>
      <c r="H378" s="30">
        <v>14976</v>
      </c>
      <c r="I378" s="30"/>
      <c r="J378" s="30">
        <v>24</v>
      </c>
      <c r="K378" s="28">
        <f t="shared" si="65"/>
        <v>150</v>
      </c>
      <c r="L378" s="31">
        <v>0.25</v>
      </c>
      <c r="M378" s="31">
        <v>0.60416666666666696</v>
      </c>
      <c r="N378" s="32">
        <f t="shared" si="74"/>
        <v>0.35416666666666696</v>
      </c>
      <c r="O378" s="36">
        <v>510</v>
      </c>
      <c r="P378" s="36">
        <f t="shared" si="66"/>
        <v>260</v>
      </c>
      <c r="Q378" s="36">
        <f t="shared" si="67"/>
        <v>260</v>
      </c>
      <c r="R378" s="15">
        <v>0</v>
      </c>
      <c r="S378" s="20">
        <v>0</v>
      </c>
      <c r="T378" s="16">
        <v>0</v>
      </c>
      <c r="U378" s="16">
        <v>0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15">
        <f t="shared" si="76"/>
        <v>0</v>
      </c>
      <c r="AE378" s="15">
        <v>0</v>
      </c>
      <c r="AF378" s="15">
        <v>0</v>
      </c>
      <c r="AG378" s="15">
        <v>0</v>
      </c>
      <c r="AH378" s="15">
        <v>180</v>
      </c>
      <c r="AI378" s="15">
        <v>0</v>
      </c>
      <c r="AJ378" s="15">
        <v>30</v>
      </c>
      <c r="AK378" s="15">
        <v>10</v>
      </c>
      <c r="AL378" s="15">
        <v>30</v>
      </c>
      <c r="AM378" s="15">
        <f t="shared" si="77"/>
        <v>250</v>
      </c>
      <c r="AN378" s="29">
        <f t="shared" si="68"/>
        <v>650</v>
      </c>
      <c r="AO378" s="19">
        <v>508</v>
      </c>
      <c r="AP378" s="21">
        <v>0</v>
      </c>
      <c r="AQ378" s="22">
        <v>8</v>
      </c>
      <c r="AR378" s="26">
        <f t="shared" si="64"/>
        <v>500</v>
      </c>
      <c r="AS378" s="37">
        <f t="shared" si="69"/>
        <v>1</v>
      </c>
      <c r="AT378" s="38">
        <f t="shared" si="75"/>
        <v>0.78153846153846152</v>
      </c>
      <c r="AU378" s="38">
        <f t="shared" si="70"/>
        <v>0.98425196850393704</v>
      </c>
      <c r="AV378" s="27">
        <f t="shared" si="71"/>
        <v>0.76923076923076927</v>
      </c>
    </row>
    <row r="379" spans="1:48" s="1" customFormat="1" ht="21" customHeight="1" x14ac:dyDescent="0.25">
      <c r="A379" s="109">
        <v>46047</v>
      </c>
      <c r="B379" s="47" t="s">
        <v>49</v>
      </c>
      <c r="C379" s="78" t="s">
        <v>51</v>
      </c>
      <c r="D379" s="47" t="s">
        <v>94</v>
      </c>
      <c r="E379" s="48">
        <v>98992</v>
      </c>
      <c r="F379" s="48" t="s">
        <v>67</v>
      </c>
      <c r="G379" s="48" t="s">
        <v>174</v>
      </c>
      <c r="H379" s="30">
        <v>13562</v>
      </c>
      <c r="I379" s="30"/>
      <c r="J379" s="30">
        <v>24</v>
      </c>
      <c r="K379" s="28">
        <f t="shared" si="65"/>
        <v>150</v>
      </c>
      <c r="L379" s="31">
        <v>0.58333333333333337</v>
      </c>
      <c r="M379" s="31">
        <v>0.9375</v>
      </c>
      <c r="N379" s="32">
        <f t="shared" si="74"/>
        <v>0.35416666666666663</v>
      </c>
      <c r="O379" s="36">
        <v>510</v>
      </c>
      <c r="P379" s="36">
        <f t="shared" si="66"/>
        <v>200</v>
      </c>
      <c r="Q379" s="36">
        <f t="shared" si="67"/>
        <v>200</v>
      </c>
      <c r="R379" s="15">
        <v>0</v>
      </c>
      <c r="S379" s="20">
        <v>0</v>
      </c>
      <c r="T379" s="16">
        <v>0</v>
      </c>
      <c r="U379" s="16">
        <v>0</v>
      </c>
      <c r="V379" s="20">
        <v>0</v>
      </c>
      <c r="W379" s="20">
        <v>0</v>
      </c>
      <c r="X379" s="20">
        <v>0</v>
      </c>
      <c r="Y379" s="20">
        <v>0</v>
      </c>
      <c r="Z379" s="20">
        <v>0</v>
      </c>
      <c r="AA379" s="20">
        <v>0</v>
      </c>
      <c r="AB379" s="20">
        <v>0</v>
      </c>
      <c r="AC379" s="20">
        <v>0</v>
      </c>
      <c r="AD379" s="15">
        <f t="shared" si="76"/>
        <v>0</v>
      </c>
      <c r="AE379" s="15">
        <v>0</v>
      </c>
      <c r="AF379" s="15">
        <v>0</v>
      </c>
      <c r="AG379" s="15">
        <v>0</v>
      </c>
      <c r="AH379" s="15">
        <v>240</v>
      </c>
      <c r="AI379" s="15">
        <v>0</v>
      </c>
      <c r="AJ379" s="15">
        <v>30</v>
      </c>
      <c r="AK379" s="15">
        <v>10</v>
      </c>
      <c r="AL379" s="15">
        <v>30</v>
      </c>
      <c r="AM379" s="15">
        <f t="shared" si="77"/>
        <v>310</v>
      </c>
      <c r="AN379" s="29">
        <f t="shared" si="68"/>
        <v>500</v>
      </c>
      <c r="AO379" s="19">
        <v>404</v>
      </c>
      <c r="AP379" s="21">
        <v>0</v>
      </c>
      <c r="AQ379" s="22">
        <v>35</v>
      </c>
      <c r="AR379" s="26">
        <f t="shared" si="64"/>
        <v>369</v>
      </c>
      <c r="AS379" s="37">
        <f t="shared" si="69"/>
        <v>1</v>
      </c>
      <c r="AT379" s="38">
        <f t="shared" si="75"/>
        <v>0.80800000000000005</v>
      </c>
      <c r="AU379" s="38">
        <f t="shared" si="70"/>
        <v>0.9133663366336634</v>
      </c>
      <c r="AV379" s="27">
        <f t="shared" si="71"/>
        <v>0.7380000000000001</v>
      </c>
    </row>
    <row r="380" spans="1:48" s="1" customFormat="1" ht="21" customHeight="1" x14ac:dyDescent="0.25">
      <c r="A380" s="109">
        <v>46047</v>
      </c>
      <c r="B380" s="47" t="s">
        <v>49</v>
      </c>
      <c r="C380" s="78" t="s">
        <v>51</v>
      </c>
      <c r="D380" s="47" t="s">
        <v>172</v>
      </c>
      <c r="E380" s="48">
        <v>98992</v>
      </c>
      <c r="F380" s="48" t="s">
        <v>175</v>
      </c>
      <c r="G380" s="48" t="s">
        <v>87</v>
      </c>
      <c r="H380" s="30">
        <v>15857</v>
      </c>
      <c r="I380" s="30"/>
      <c r="J380" s="30">
        <v>20</v>
      </c>
      <c r="K380" s="28">
        <f t="shared" si="65"/>
        <v>180</v>
      </c>
      <c r="L380" s="31">
        <v>0.58333333333333337</v>
      </c>
      <c r="M380" s="31">
        <v>0.9375</v>
      </c>
      <c r="N380" s="32">
        <f t="shared" si="74"/>
        <v>0.35416666666666663</v>
      </c>
      <c r="O380" s="36">
        <v>510</v>
      </c>
      <c r="P380" s="36">
        <f t="shared" si="66"/>
        <v>140</v>
      </c>
      <c r="Q380" s="36">
        <f t="shared" si="67"/>
        <v>140</v>
      </c>
      <c r="R380" s="15">
        <v>0</v>
      </c>
      <c r="S380" s="20">
        <v>0</v>
      </c>
      <c r="T380" s="16">
        <v>0</v>
      </c>
      <c r="U380" s="16">
        <v>0</v>
      </c>
      <c r="V380" s="20">
        <v>0</v>
      </c>
      <c r="W380" s="20">
        <v>0</v>
      </c>
      <c r="X380" s="20">
        <v>0</v>
      </c>
      <c r="Y380" s="20">
        <v>0</v>
      </c>
      <c r="Z380" s="20">
        <v>0</v>
      </c>
      <c r="AA380" s="20">
        <v>0</v>
      </c>
      <c r="AB380" s="20">
        <v>0</v>
      </c>
      <c r="AC380" s="20">
        <v>0</v>
      </c>
      <c r="AD380" s="15">
        <f t="shared" si="76"/>
        <v>0</v>
      </c>
      <c r="AE380" s="15">
        <v>0</v>
      </c>
      <c r="AF380" s="15">
        <v>0</v>
      </c>
      <c r="AG380" s="15">
        <v>0</v>
      </c>
      <c r="AH380" s="15">
        <v>300</v>
      </c>
      <c r="AI380" s="15">
        <v>0</v>
      </c>
      <c r="AJ380" s="15">
        <v>30</v>
      </c>
      <c r="AK380" s="15">
        <v>10</v>
      </c>
      <c r="AL380" s="15">
        <v>30</v>
      </c>
      <c r="AM380" s="15">
        <f t="shared" si="77"/>
        <v>370</v>
      </c>
      <c r="AN380" s="29">
        <f t="shared" si="68"/>
        <v>420</v>
      </c>
      <c r="AO380" s="19">
        <v>240</v>
      </c>
      <c r="AP380" s="21">
        <v>0</v>
      </c>
      <c r="AQ380" s="22">
        <v>0</v>
      </c>
      <c r="AR380" s="26">
        <f t="shared" si="64"/>
        <v>240</v>
      </c>
      <c r="AS380" s="37">
        <f t="shared" si="69"/>
        <v>1</v>
      </c>
      <c r="AT380" s="38">
        <f t="shared" si="75"/>
        <v>0.5714285714285714</v>
      </c>
      <c r="AU380" s="38">
        <f t="shared" si="70"/>
        <v>1</v>
      </c>
      <c r="AV380" s="27">
        <f t="shared" si="71"/>
        <v>0.5714285714285714</v>
      </c>
    </row>
    <row r="381" spans="1:48" s="1" customFormat="1" ht="21" customHeight="1" x14ac:dyDescent="0.25">
      <c r="A381" s="109">
        <v>46047</v>
      </c>
      <c r="B381" s="47" t="s">
        <v>49</v>
      </c>
      <c r="C381" s="78" t="s">
        <v>51</v>
      </c>
      <c r="D381" s="47" t="s">
        <v>127</v>
      </c>
      <c r="E381" s="48">
        <v>98992</v>
      </c>
      <c r="F381" s="48" t="s">
        <v>175</v>
      </c>
      <c r="G381" s="48" t="s">
        <v>125</v>
      </c>
      <c r="H381" s="30">
        <v>15857</v>
      </c>
      <c r="I381" s="30"/>
      <c r="J381" s="30">
        <v>20</v>
      </c>
      <c r="K381" s="28">
        <f t="shared" si="65"/>
        <v>180</v>
      </c>
      <c r="L381" s="31">
        <v>0.58333333333333337</v>
      </c>
      <c r="M381" s="31">
        <v>0.9375</v>
      </c>
      <c r="N381" s="32">
        <f t="shared" si="74"/>
        <v>0.35416666666666663</v>
      </c>
      <c r="O381" s="36">
        <v>510</v>
      </c>
      <c r="P381" s="36">
        <f t="shared" si="66"/>
        <v>140</v>
      </c>
      <c r="Q381" s="36">
        <f t="shared" si="67"/>
        <v>140</v>
      </c>
      <c r="R381" s="15">
        <v>0</v>
      </c>
      <c r="S381" s="20">
        <v>0</v>
      </c>
      <c r="T381" s="16">
        <v>0</v>
      </c>
      <c r="U381" s="16">
        <v>0</v>
      </c>
      <c r="V381" s="20">
        <v>0</v>
      </c>
      <c r="W381" s="20">
        <v>0</v>
      </c>
      <c r="X381" s="20">
        <v>0</v>
      </c>
      <c r="Y381" s="20">
        <v>0</v>
      </c>
      <c r="Z381" s="20">
        <v>0</v>
      </c>
      <c r="AA381" s="20">
        <v>0</v>
      </c>
      <c r="AB381" s="20">
        <v>0</v>
      </c>
      <c r="AC381" s="20">
        <v>0</v>
      </c>
      <c r="AD381" s="15">
        <f t="shared" si="76"/>
        <v>0</v>
      </c>
      <c r="AE381" s="15">
        <v>0</v>
      </c>
      <c r="AF381" s="15">
        <v>0</v>
      </c>
      <c r="AG381" s="15">
        <v>0</v>
      </c>
      <c r="AH381" s="15">
        <v>300</v>
      </c>
      <c r="AI381" s="15">
        <v>0</v>
      </c>
      <c r="AJ381" s="15">
        <v>30</v>
      </c>
      <c r="AK381" s="15">
        <v>10</v>
      </c>
      <c r="AL381" s="15">
        <v>30</v>
      </c>
      <c r="AM381" s="15">
        <f t="shared" si="77"/>
        <v>370</v>
      </c>
      <c r="AN381" s="29">
        <f t="shared" si="68"/>
        <v>420</v>
      </c>
      <c r="AO381" s="19">
        <v>276</v>
      </c>
      <c r="AP381" s="21">
        <v>0</v>
      </c>
      <c r="AQ381" s="22">
        <v>0</v>
      </c>
      <c r="AR381" s="26">
        <f t="shared" si="64"/>
        <v>276</v>
      </c>
      <c r="AS381" s="37">
        <f t="shared" si="69"/>
        <v>1</v>
      </c>
      <c r="AT381" s="38">
        <f t="shared" si="75"/>
        <v>0.65714285714285714</v>
      </c>
      <c r="AU381" s="38">
        <f t="shared" si="70"/>
        <v>1</v>
      </c>
      <c r="AV381" s="27">
        <f t="shared" si="71"/>
        <v>0.65714285714285714</v>
      </c>
    </row>
    <row r="382" spans="1:48" s="1" customFormat="1" ht="21" customHeight="1" x14ac:dyDescent="0.25">
      <c r="A382" s="109">
        <v>46047</v>
      </c>
      <c r="B382" s="47" t="s">
        <v>49</v>
      </c>
      <c r="C382" s="78" t="s">
        <v>51</v>
      </c>
      <c r="D382" s="47" t="s">
        <v>128</v>
      </c>
      <c r="E382" s="48">
        <v>98992</v>
      </c>
      <c r="F382" s="48" t="s">
        <v>53</v>
      </c>
      <c r="G382" s="48" t="s">
        <v>125</v>
      </c>
      <c r="H382" s="30">
        <v>16146</v>
      </c>
      <c r="I382" s="30"/>
      <c r="J382" s="30">
        <v>32</v>
      </c>
      <c r="K382" s="28">
        <f t="shared" si="65"/>
        <v>112.5</v>
      </c>
      <c r="L382" s="31">
        <v>0.58333333333333337</v>
      </c>
      <c r="M382" s="31">
        <v>0.9375</v>
      </c>
      <c r="N382" s="32">
        <f t="shared" si="74"/>
        <v>0.35416666666666663</v>
      </c>
      <c r="O382" s="36">
        <v>510</v>
      </c>
      <c r="P382" s="36">
        <f t="shared" si="66"/>
        <v>200</v>
      </c>
      <c r="Q382" s="36">
        <f t="shared" si="67"/>
        <v>200</v>
      </c>
      <c r="R382" s="15">
        <v>0</v>
      </c>
      <c r="S382" s="20">
        <v>0</v>
      </c>
      <c r="T382" s="16">
        <v>0</v>
      </c>
      <c r="U382" s="16">
        <v>0</v>
      </c>
      <c r="V382" s="20">
        <v>0</v>
      </c>
      <c r="W382" s="20">
        <v>0</v>
      </c>
      <c r="X382" s="20">
        <v>0</v>
      </c>
      <c r="Y382" s="20">
        <v>0</v>
      </c>
      <c r="Z382" s="20">
        <v>0</v>
      </c>
      <c r="AA382" s="20">
        <v>0</v>
      </c>
      <c r="AB382" s="20">
        <v>0</v>
      </c>
      <c r="AC382" s="20">
        <v>0</v>
      </c>
      <c r="AD382" s="15">
        <f t="shared" si="76"/>
        <v>0</v>
      </c>
      <c r="AE382" s="15">
        <v>0</v>
      </c>
      <c r="AF382" s="15">
        <v>0</v>
      </c>
      <c r="AG382" s="15">
        <v>0</v>
      </c>
      <c r="AH382" s="15">
        <v>240</v>
      </c>
      <c r="AI382" s="15">
        <v>0</v>
      </c>
      <c r="AJ382" s="15">
        <v>30</v>
      </c>
      <c r="AK382" s="15">
        <v>10</v>
      </c>
      <c r="AL382" s="15">
        <v>30</v>
      </c>
      <c r="AM382" s="15">
        <f t="shared" si="77"/>
        <v>310</v>
      </c>
      <c r="AN382" s="29">
        <f t="shared" si="68"/>
        <v>375</v>
      </c>
      <c r="AO382" s="19">
        <v>132</v>
      </c>
      <c r="AP382" s="21">
        <v>0</v>
      </c>
      <c r="AQ382" s="22">
        <v>0</v>
      </c>
      <c r="AR382" s="26">
        <f t="shared" si="64"/>
        <v>132</v>
      </c>
      <c r="AS382" s="37">
        <f t="shared" si="69"/>
        <v>1</v>
      </c>
      <c r="AT382" s="38">
        <f t="shared" si="75"/>
        <v>0.35199999999999998</v>
      </c>
      <c r="AU382" s="38">
        <f t="shared" si="70"/>
        <v>1</v>
      </c>
      <c r="AV382" s="27">
        <f t="shared" si="71"/>
        <v>0.35199999999999998</v>
      </c>
    </row>
    <row r="383" spans="1:48" s="1" customFormat="1" ht="21" customHeight="1" x14ac:dyDescent="0.25">
      <c r="A383" s="109">
        <v>46049</v>
      </c>
      <c r="B383" s="47" t="s">
        <v>49</v>
      </c>
      <c r="C383" s="78" t="s">
        <v>21</v>
      </c>
      <c r="D383" s="47" t="s">
        <v>124</v>
      </c>
      <c r="E383" s="48">
        <v>98992</v>
      </c>
      <c r="F383" s="48" t="s">
        <v>215</v>
      </c>
      <c r="G383" s="48" t="s">
        <v>125</v>
      </c>
      <c r="H383" s="30">
        <v>16219</v>
      </c>
      <c r="I383" s="30"/>
      <c r="J383" s="30">
        <v>32</v>
      </c>
      <c r="K383" s="28">
        <f t="shared" si="65"/>
        <v>112.5</v>
      </c>
      <c r="L383" s="31">
        <v>0.25</v>
      </c>
      <c r="M383" s="31">
        <v>0.60416666666666696</v>
      </c>
      <c r="N383" s="32">
        <f t="shared" si="74"/>
        <v>0.35416666666666696</v>
      </c>
      <c r="O383" s="36">
        <v>510</v>
      </c>
      <c r="P383" s="36">
        <f t="shared" si="66"/>
        <v>200</v>
      </c>
      <c r="Q383" s="36">
        <f t="shared" si="67"/>
        <v>200</v>
      </c>
      <c r="R383" s="15">
        <v>0</v>
      </c>
      <c r="S383" s="20">
        <v>0</v>
      </c>
      <c r="T383" s="16">
        <v>0</v>
      </c>
      <c r="U383" s="16">
        <v>0</v>
      </c>
      <c r="V383" s="20">
        <v>0</v>
      </c>
      <c r="W383" s="20">
        <v>0</v>
      </c>
      <c r="X383" s="20">
        <v>0</v>
      </c>
      <c r="Y383" s="20">
        <v>0</v>
      </c>
      <c r="Z383" s="20">
        <v>0</v>
      </c>
      <c r="AA383" s="20">
        <v>0</v>
      </c>
      <c r="AB383" s="20">
        <v>0</v>
      </c>
      <c r="AC383" s="20">
        <v>0</v>
      </c>
      <c r="AD383" s="15">
        <f t="shared" si="76"/>
        <v>0</v>
      </c>
      <c r="AE383" s="15">
        <v>0</v>
      </c>
      <c r="AF383" s="15">
        <v>0</v>
      </c>
      <c r="AG383" s="15">
        <v>0</v>
      </c>
      <c r="AH383" s="15">
        <v>240</v>
      </c>
      <c r="AI383" s="15">
        <v>0</v>
      </c>
      <c r="AJ383" s="15">
        <v>30</v>
      </c>
      <c r="AK383" s="15">
        <v>10</v>
      </c>
      <c r="AL383" s="15">
        <v>30</v>
      </c>
      <c r="AM383" s="15">
        <f t="shared" si="77"/>
        <v>310</v>
      </c>
      <c r="AN383" s="29">
        <f t="shared" si="68"/>
        <v>375</v>
      </c>
      <c r="AO383" s="19">
        <v>352</v>
      </c>
      <c r="AP383" s="21">
        <v>0</v>
      </c>
      <c r="AQ383" s="22">
        <v>3</v>
      </c>
      <c r="AR383" s="26">
        <f t="shared" si="64"/>
        <v>349</v>
      </c>
      <c r="AS383" s="37">
        <f t="shared" si="69"/>
        <v>1</v>
      </c>
      <c r="AT383" s="38">
        <f t="shared" si="75"/>
        <v>0.93866666666666665</v>
      </c>
      <c r="AU383" s="38">
        <f t="shared" si="70"/>
        <v>0.99147727272727271</v>
      </c>
      <c r="AV383" s="27">
        <f t="shared" si="71"/>
        <v>0.93066666666666664</v>
      </c>
    </row>
    <row r="384" spans="1:48" s="1" customFormat="1" ht="21" customHeight="1" x14ac:dyDescent="0.25">
      <c r="A384" s="109">
        <v>46049</v>
      </c>
      <c r="B384" s="47" t="s">
        <v>49</v>
      </c>
      <c r="C384" s="78" t="s">
        <v>21</v>
      </c>
      <c r="D384" s="47" t="s">
        <v>122</v>
      </c>
      <c r="E384" s="48">
        <v>98992</v>
      </c>
      <c r="F384" s="48" t="s">
        <v>169</v>
      </c>
      <c r="G384" s="48" t="s">
        <v>125</v>
      </c>
      <c r="H384" s="30">
        <v>13106</v>
      </c>
      <c r="I384" s="30"/>
      <c r="J384" s="30">
        <v>32</v>
      </c>
      <c r="K384" s="28">
        <f t="shared" si="65"/>
        <v>112.5</v>
      </c>
      <c r="L384" s="31">
        <v>0.25</v>
      </c>
      <c r="M384" s="31">
        <v>0.60416666666666696</v>
      </c>
      <c r="N384" s="32">
        <f t="shared" si="74"/>
        <v>0.35416666666666696</v>
      </c>
      <c r="O384" s="36">
        <v>510</v>
      </c>
      <c r="P384" s="36">
        <f t="shared" si="66"/>
        <v>200</v>
      </c>
      <c r="Q384" s="36">
        <f t="shared" si="67"/>
        <v>200</v>
      </c>
      <c r="R384" s="15">
        <v>0</v>
      </c>
      <c r="S384" s="20">
        <v>0</v>
      </c>
      <c r="T384" s="16">
        <v>0</v>
      </c>
      <c r="U384" s="16">
        <v>0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15">
        <f t="shared" si="76"/>
        <v>0</v>
      </c>
      <c r="AE384" s="15">
        <v>0</v>
      </c>
      <c r="AF384" s="15">
        <v>0</v>
      </c>
      <c r="AG384" s="15">
        <v>0</v>
      </c>
      <c r="AH384" s="15">
        <v>240</v>
      </c>
      <c r="AI384" s="15">
        <v>0</v>
      </c>
      <c r="AJ384" s="15">
        <v>30</v>
      </c>
      <c r="AK384" s="15">
        <v>10</v>
      </c>
      <c r="AL384" s="15">
        <v>30</v>
      </c>
      <c r="AM384" s="15">
        <f t="shared" si="77"/>
        <v>310</v>
      </c>
      <c r="AN384" s="29">
        <f t="shared" si="68"/>
        <v>375</v>
      </c>
      <c r="AO384" s="19">
        <v>280</v>
      </c>
      <c r="AP384" s="21">
        <v>0</v>
      </c>
      <c r="AQ384" s="22">
        <v>2</v>
      </c>
      <c r="AR384" s="26">
        <f t="shared" si="64"/>
        <v>278</v>
      </c>
      <c r="AS384" s="37">
        <f t="shared" si="69"/>
        <v>1</v>
      </c>
      <c r="AT384" s="38">
        <f t="shared" si="75"/>
        <v>0.7466666666666667</v>
      </c>
      <c r="AU384" s="38">
        <f t="shared" si="70"/>
        <v>0.99285714285714288</v>
      </c>
      <c r="AV384" s="27">
        <f t="shared" si="71"/>
        <v>0.7413333333333334</v>
      </c>
    </row>
    <row r="385" spans="1:48" s="1" customFormat="1" ht="21" customHeight="1" x14ac:dyDescent="0.25">
      <c r="A385" s="109">
        <v>46049</v>
      </c>
      <c r="B385" s="47" t="s">
        <v>49</v>
      </c>
      <c r="C385" s="78" t="s">
        <v>21</v>
      </c>
      <c r="D385" s="47" t="s">
        <v>128</v>
      </c>
      <c r="E385" s="48">
        <v>98992</v>
      </c>
      <c r="F385" s="48" t="s">
        <v>53</v>
      </c>
      <c r="G385" s="48" t="s">
        <v>125</v>
      </c>
      <c r="H385" s="30">
        <v>14957</v>
      </c>
      <c r="I385" s="30"/>
      <c r="J385" s="30">
        <v>32</v>
      </c>
      <c r="K385" s="28">
        <f t="shared" si="65"/>
        <v>112.5</v>
      </c>
      <c r="L385" s="31">
        <v>0.25</v>
      </c>
      <c r="M385" s="31">
        <v>0.60416666666666696</v>
      </c>
      <c r="N385" s="32">
        <f t="shared" si="74"/>
        <v>0.35416666666666696</v>
      </c>
      <c r="O385" s="36">
        <v>510</v>
      </c>
      <c r="P385" s="36">
        <f t="shared" si="66"/>
        <v>200</v>
      </c>
      <c r="Q385" s="36">
        <f t="shared" si="67"/>
        <v>200</v>
      </c>
      <c r="R385" s="15">
        <v>0</v>
      </c>
      <c r="S385" s="20">
        <v>0</v>
      </c>
      <c r="T385" s="16">
        <v>0</v>
      </c>
      <c r="U385" s="16">
        <v>0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15">
        <f t="shared" si="76"/>
        <v>0</v>
      </c>
      <c r="AE385" s="15">
        <v>0</v>
      </c>
      <c r="AF385" s="15">
        <v>0</v>
      </c>
      <c r="AG385" s="15">
        <v>0</v>
      </c>
      <c r="AH385" s="15">
        <v>240</v>
      </c>
      <c r="AI385" s="15">
        <v>0</v>
      </c>
      <c r="AJ385" s="15">
        <v>30</v>
      </c>
      <c r="AK385" s="15">
        <v>10</v>
      </c>
      <c r="AL385" s="15">
        <v>30</v>
      </c>
      <c r="AM385" s="15">
        <f t="shared" si="77"/>
        <v>310</v>
      </c>
      <c r="AN385" s="29">
        <f t="shared" si="68"/>
        <v>375</v>
      </c>
      <c r="AO385" s="19">
        <v>276</v>
      </c>
      <c r="AP385" s="21">
        <v>0</v>
      </c>
      <c r="AQ385" s="22">
        <v>2</v>
      </c>
      <c r="AR385" s="26">
        <f t="shared" si="64"/>
        <v>274</v>
      </c>
      <c r="AS385" s="37">
        <f t="shared" si="69"/>
        <v>1</v>
      </c>
      <c r="AT385" s="38">
        <f t="shared" si="75"/>
        <v>0.73599999999999999</v>
      </c>
      <c r="AU385" s="38">
        <f t="shared" si="70"/>
        <v>0.99275362318840576</v>
      </c>
      <c r="AV385" s="27">
        <f t="shared" si="71"/>
        <v>0.73066666666666658</v>
      </c>
    </row>
    <row r="386" spans="1:48" s="1" customFormat="1" ht="21" customHeight="1" x14ac:dyDescent="0.25">
      <c r="A386" s="109">
        <v>46049</v>
      </c>
      <c r="B386" s="47" t="s">
        <v>49</v>
      </c>
      <c r="C386" s="78" t="s">
        <v>21</v>
      </c>
      <c r="D386" s="47" t="s">
        <v>170</v>
      </c>
      <c r="E386" s="48">
        <v>98992</v>
      </c>
      <c r="F386" s="48" t="s">
        <v>176</v>
      </c>
      <c r="G386" s="48" t="s">
        <v>125</v>
      </c>
      <c r="H386" s="30">
        <v>15859</v>
      </c>
      <c r="I386" s="30"/>
      <c r="J386" s="30">
        <v>20</v>
      </c>
      <c r="K386" s="28">
        <f t="shared" si="65"/>
        <v>180</v>
      </c>
      <c r="L386" s="31">
        <v>0.25</v>
      </c>
      <c r="M386" s="31">
        <v>0.60416666666666696</v>
      </c>
      <c r="N386" s="32">
        <f t="shared" si="74"/>
        <v>0.35416666666666696</v>
      </c>
      <c r="O386" s="36">
        <v>510</v>
      </c>
      <c r="P386" s="36">
        <f t="shared" si="66"/>
        <v>140</v>
      </c>
      <c r="Q386" s="36">
        <f t="shared" si="67"/>
        <v>140</v>
      </c>
      <c r="R386" s="15">
        <v>0</v>
      </c>
      <c r="S386" s="20">
        <v>0</v>
      </c>
      <c r="T386" s="16">
        <v>0</v>
      </c>
      <c r="U386" s="16">
        <v>0</v>
      </c>
      <c r="V386" s="20">
        <v>0</v>
      </c>
      <c r="W386" s="20">
        <v>0</v>
      </c>
      <c r="X386" s="20">
        <v>0</v>
      </c>
      <c r="Y386" s="20">
        <v>0</v>
      </c>
      <c r="Z386" s="20">
        <v>0</v>
      </c>
      <c r="AA386" s="20">
        <v>0</v>
      </c>
      <c r="AB386" s="20">
        <v>0</v>
      </c>
      <c r="AC386" s="20">
        <v>0</v>
      </c>
      <c r="AD386" s="15">
        <f t="shared" si="76"/>
        <v>0</v>
      </c>
      <c r="AE386" s="15">
        <v>0</v>
      </c>
      <c r="AF386" s="15">
        <v>0</v>
      </c>
      <c r="AG386" s="15">
        <v>0</v>
      </c>
      <c r="AH386" s="15">
        <v>300</v>
      </c>
      <c r="AI386" s="15">
        <v>0</v>
      </c>
      <c r="AJ386" s="15">
        <v>30</v>
      </c>
      <c r="AK386" s="15">
        <v>10</v>
      </c>
      <c r="AL386" s="15">
        <v>30</v>
      </c>
      <c r="AM386" s="15">
        <f t="shared" si="77"/>
        <v>370</v>
      </c>
      <c r="AN386" s="29">
        <f t="shared" si="68"/>
        <v>420</v>
      </c>
      <c r="AO386" s="19">
        <v>240</v>
      </c>
      <c r="AP386" s="21">
        <v>0</v>
      </c>
      <c r="AQ386" s="22">
        <v>0</v>
      </c>
      <c r="AR386" s="26">
        <f t="shared" si="64"/>
        <v>240</v>
      </c>
      <c r="AS386" s="37">
        <f t="shared" si="69"/>
        <v>1</v>
      </c>
      <c r="AT386" s="38">
        <f t="shared" si="75"/>
        <v>0.5714285714285714</v>
      </c>
      <c r="AU386" s="38">
        <f t="shared" si="70"/>
        <v>1</v>
      </c>
      <c r="AV386" s="27">
        <f t="shared" si="71"/>
        <v>0.5714285714285714</v>
      </c>
    </row>
    <row r="387" spans="1:48" s="1" customFormat="1" ht="21" customHeight="1" x14ac:dyDescent="0.25">
      <c r="A387" s="109">
        <v>46049</v>
      </c>
      <c r="B387" s="47" t="s">
        <v>49</v>
      </c>
      <c r="C387" s="78" t="s">
        <v>21</v>
      </c>
      <c r="D387" s="47" t="s">
        <v>94</v>
      </c>
      <c r="E387" s="48">
        <v>98992</v>
      </c>
      <c r="F387" s="48" t="s">
        <v>67</v>
      </c>
      <c r="G387" s="48" t="s">
        <v>174</v>
      </c>
      <c r="H387" s="30">
        <v>13105</v>
      </c>
      <c r="I387" s="30"/>
      <c r="J387" s="30">
        <v>24</v>
      </c>
      <c r="K387" s="28">
        <f t="shared" si="65"/>
        <v>150</v>
      </c>
      <c r="L387" s="31">
        <v>0.25</v>
      </c>
      <c r="M387" s="31">
        <v>0.60416666666666696</v>
      </c>
      <c r="N387" s="32">
        <f t="shared" si="74"/>
        <v>0.35416666666666696</v>
      </c>
      <c r="O387" s="36">
        <v>510</v>
      </c>
      <c r="P387" s="36">
        <f t="shared" si="66"/>
        <v>200</v>
      </c>
      <c r="Q387" s="36">
        <f t="shared" si="67"/>
        <v>200</v>
      </c>
      <c r="R387" s="15">
        <v>0</v>
      </c>
      <c r="S387" s="20">
        <v>0</v>
      </c>
      <c r="T387" s="16">
        <v>0</v>
      </c>
      <c r="U387" s="16">
        <v>0</v>
      </c>
      <c r="V387" s="20">
        <v>0</v>
      </c>
      <c r="W387" s="20">
        <v>0</v>
      </c>
      <c r="X387" s="20">
        <v>0</v>
      </c>
      <c r="Y387" s="20">
        <v>0</v>
      </c>
      <c r="Z387" s="20">
        <v>0</v>
      </c>
      <c r="AA387" s="20">
        <v>0</v>
      </c>
      <c r="AB387" s="20">
        <v>0</v>
      </c>
      <c r="AC387" s="20">
        <v>0</v>
      </c>
      <c r="AD387" s="15">
        <f t="shared" si="76"/>
        <v>0</v>
      </c>
      <c r="AE387" s="15">
        <v>0</v>
      </c>
      <c r="AF387" s="15">
        <v>0</v>
      </c>
      <c r="AG387" s="15">
        <v>0</v>
      </c>
      <c r="AH387" s="15">
        <v>240</v>
      </c>
      <c r="AI387" s="15">
        <v>0</v>
      </c>
      <c r="AJ387" s="15">
        <v>30</v>
      </c>
      <c r="AK387" s="15">
        <v>10</v>
      </c>
      <c r="AL387" s="15">
        <v>30</v>
      </c>
      <c r="AM387" s="15">
        <f t="shared" si="77"/>
        <v>310</v>
      </c>
      <c r="AN387" s="29">
        <f t="shared" si="68"/>
        <v>500</v>
      </c>
      <c r="AO387" s="19">
        <v>480</v>
      </c>
      <c r="AP387" s="21">
        <v>0</v>
      </c>
      <c r="AQ387" s="22">
        <v>0</v>
      </c>
      <c r="AR387" s="26">
        <f t="shared" si="64"/>
        <v>480</v>
      </c>
      <c r="AS387" s="37">
        <f t="shared" si="69"/>
        <v>1</v>
      </c>
      <c r="AT387" s="38">
        <f t="shared" si="75"/>
        <v>0.96</v>
      </c>
      <c r="AU387" s="38">
        <f t="shared" si="70"/>
        <v>1</v>
      </c>
      <c r="AV387" s="27">
        <f t="shared" si="71"/>
        <v>0.96</v>
      </c>
    </row>
    <row r="388" spans="1:48" s="1" customFormat="1" ht="21" customHeight="1" x14ac:dyDescent="0.25">
      <c r="A388" s="109">
        <v>46049</v>
      </c>
      <c r="B388" s="47" t="s">
        <v>49</v>
      </c>
      <c r="C388" s="78" t="s">
        <v>51</v>
      </c>
      <c r="D388" s="47" t="s">
        <v>124</v>
      </c>
      <c r="E388" s="48">
        <v>98992</v>
      </c>
      <c r="F388" s="48" t="s">
        <v>215</v>
      </c>
      <c r="G388" s="48" t="s">
        <v>125</v>
      </c>
      <c r="H388" s="30">
        <v>14972</v>
      </c>
      <c r="I388" s="30"/>
      <c r="J388" s="30">
        <v>32</v>
      </c>
      <c r="K388" s="28">
        <f t="shared" si="65"/>
        <v>112.5</v>
      </c>
      <c r="L388" s="31">
        <v>0.58333333333333337</v>
      </c>
      <c r="M388" s="31">
        <v>0.9375</v>
      </c>
      <c r="N388" s="32">
        <f t="shared" si="74"/>
        <v>0.35416666666666663</v>
      </c>
      <c r="O388" s="36">
        <v>510</v>
      </c>
      <c r="P388" s="36">
        <f t="shared" si="66"/>
        <v>320</v>
      </c>
      <c r="Q388" s="36">
        <f t="shared" si="67"/>
        <v>320</v>
      </c>
      <c r="R388" s="15">
        <v>0</v>
      </c>
      <c r="S388" s="20">
        <v>0</v>
      </c>
      <c r="T388" s="16">
        <v>0</v>
      </c>
      <c r="U388" s="16">
        <v>0</v>
      </c>
      <c r="V388" s="20">
        <v>0</v>
      </c>
      <c r="W388" s="20">
        <v>0</v>
      </c>
      <c r="X388" s="20">
        <v>0</v>
      </c>
      <c r="Y388" s="20">
        <v>0</v>
      </c>
      <c r="Z388" s="20">
        <v>0</v>
      </c>
      <c r="AA388" s="20">
        <v>0</v>
      </c>
      <c r="AB388" s="20">
        <v>0</v>
      </c>
      <c r="AC388" s="20">
        <v>0</v>
      </c>
      <c r="AD388" s="15">
        <f t="shared" si="76"/>
        <v>0</v>
      </c>
      <c r="AE388" s="15">
        <v>0</v>
      </c>
      <c r="AF388" s="15">
        <v>0</v>
      </c>
      <c r="AG388" s="15">
        <v>0</v>
      </c>
      <c r="AH388" s="15">
        <v>120</v>
      </c>
      <c r="AI388" s="15">
        <v>0</v>
      </c>
      <c r="AJ388" s="15">
        <v>30</v>
      </c>
      <c r="AK388" s="15">
        <v>10</v>
      </c>
      <c r="AL388" s="15">
        <v>30</v>
      </c>
      <c r="AM388" s="15">
        <f t="shared" si="77"/>
        <v>190</v>
      </c>
      <c r="AN388" s="29">
        <f t="shared" si="68"/>
        <v>600</v>
      </c>
      <c r="AO388" s="19">
        <v>562</v>
      </c>
      <c r="AP388" s="21">
        <v>0</v>
      </c>
      <c r="AQ388" s="22">
        <v>5</v>
      </c>
      <c r="AR388" s="26">
        <f t="shared" si="64"/>
        <v>557</v>
      </c>
      <c r="AS388" s="37">
        <f t="shared" si="69"/>
        <v>1</v>
      </c>
      <c r="AT388" s="38">
        <f t="shared" si="75"/>
        <v>0.93666666666666665</v>
      </c>
      <c r="AU388" s="38">
        <f t="shared" si="70"/>
        <v>0.99110320284697506</v>
      </c>
      <c r="AV388" s="27">
        <f t="shared" si="71"/>
        <v>0.92833333333333334</v>
      </c>
    </row>
    <row r="389" spans="1:48" s="1" customFormat="1" ht="21" customHeight="1" x14ac:dyDescent="0.25">
      <c r="A389" s="109">
        <v>46049</v>
      </c>
      <c r="B389" s="47" t="s">
        <v>49</v>
      </c>
      <c r="C389" s="78" t="s">
        <v>51</v>
      </c>
      <c r="D389" s="47" t="s">
        <v>122</v>
      </c>
      <c r="E389" s="48">
        <v>98992</v>
      </c>
      <c r="F389" s="48" t="s">
        <v>169</v>
      </c>
      <c r="G389" s="48" t="s">
        <v>125</v>
      </c>
      <c r="H389" s="30">
        <v>15676</v>
      </c>
      <c r="I389" s="30"/>
      <c r="J389" s="30">
        <v>32</v>
      </c>
      <c r="K389" s="28">
        <f t="shared" si="65"/>
        <v>112.5</v>
      </c>
      <c r="L389" s="31">
        <v>0.58333333333333337</v>
      </c>
      <c r="M389" s="31">
        <v>0.9375</v>
      </c>
      <c r="N389" s="32">
        <f t="shared" si="74"/>
        <v>0.35416666666666663</v>
      </c>
      <c r="O389" s="36">
        <v>510</v>
      </c>
      <c r="P389" s="36">
        <f t="shared" si="66"/>
        <v>380</v>
      </c>
      <c r="Q389" s="36">
        <f t="shared" si="67"/>
        <v>380</v>
      </c>
      <c r="R389" s="15">
        <v>0</v>
      </c>
      <c r="S389" s="20">
        <v>0</v>
      </c>
      <c r="T389" s="16">
        <v>0</v>
      </c>
      <c r="U389" s="16">
        <v>0</v>
      </c>
      <c r="V389" s="20">
        <v>0</v>
      </c>
      <c r="W389" s="20">
        <v>0</v>
      </c>
      <c r="X389" s="20">
        <v>0</v>
      </c>
      <c r="Y389" s="20">
        <v>0</v>
      </c>
      <c r="Z389" s="20">
        <v>0</v>
      </c>
      <c r="AA389" s="20">
        <v>0</v>
      </c>
      <c r="AB389" s="20">
        <v>0</v>
      </c>
      <c r="AC389" s="20">
        <v>0</v>
      </c>
      <c r="AD389" s="15">
        <f t="shared" si="76"/>
        <v>0</v>
      </c>
      <c r="AE389" s="15">
        <v>0</v>
      </c>
      <c r="AF389" s="15">
        <v>0</v>
      </c>
      <c r="AG389" s="15">
        <v>0</v>
      </c>
      <c r="AH389" s="15">
        <v>60</v>
      </c>
      <c r="AI389" s="15">
        <v>0</v>
      </c>
      <c r="AJ389" s="15">
        <v>30</v>
      </c>
      <c r="AK389" s="15">
        <v>10</v>
      </c>
      <c r="AL389" s="15">
        <v>30</v>
      </c>
      <c r="AM389" s="15">
        <f t="shared" si="77"/>
        <v>130</v>
      </c>
      <c r="AN389" s="29">
        <f t="shared" si="68"/>
        <v>712.5</v>
      </c>
      <c r="AO389" s="19">
        <v>510</v>
      </c>
      <c r="AP389" s="21">
        <v>0</v>
      </c>
      <c r="AQ389" s="22">
        <v>3</v>
      </c>
      <c r="AR389" s="26">
        <f t="shared" si="64"/>
        <v>507</v>
      </c>
      <c r="AS389" s="37">
        <f t="shared" si="69"/>
        <v>1</v>
      </c>
      <c r="AT389" s="38">
        <f t="shared" si="75"/>
        <v>0.71578947368421053</v>
      </c>
      <c r="AU389" s="38">
        <f t="shared" si="70"/>
        <v>0.99411764705882355</v>
      </c>
      <c r="AV389" s="27">
        <f t="shared" si="71"/>
        <v>0.71157894736842109</v>
      </c>
    </row>
    <row r="390" spans="1:48" s="1" customFormat="1" ht="21" customHeight="1" x14ac:dyDescent="0.25">
      <c r="A390" s="109">
        <v>46049</v>
      </c>
      <c r="B390" s="47" t="s">
        <v>49</v>
      </c>
      <c r="C390" s="78" t="s">
        <v>51</v>
      </c>
      <c r="D390" s="47" t="s">
        <v>128</v>
      </c>
      <c r="E390" s="48">
        <v>98992</v>
      </c>
      <c r="F390" s="48" t="s">
        <v>53</v>
      </c>
      <c r="G390" s="48" t="s">
        <v>125</v>
      </c>
      <c r="H390" s="30">
        <v>16000</v>
      </c>
      <c r="I390" s="30"/>
      <c r="J390" s="30">
        <v>32</v>
      </c>
      <c r="K390" s="28">
        <f t="shared" si="65"/>
        <v>112.5</v>
      </c>
      <c r="L390" s="31">
        <v>0.58333333333333337</v>
      </c>
      <c r="M390" s="31">
        <v>0.9375</v>
      </c>
      <c r="N390" s="32">
        <f t="shared" si="74"/>
        <v>0.35416666666666663</v>
      </c>
      <c r="O390" s="36">
        <v>510</v>
      </c>
      <c r="P390" s="36">
        <f t="shared" si="66"/>
        <v>200</v>
      </c>
      <c r="Q390" s="36">
        <f t="shared" si="67"/>
        <v>200</v>
      </c>
      <c r="R390" s="15">
        <v>0</v>
      </c>
      <c r="S390" s="20">
        <v>0</v>
      </c>
      <c r="T390" s="16">
        <v>0</v>
      </c>
      <c r="U390" s="16">
        <v>0</v>
      </c>
      <c r="V390" s="20">
        <v>0</v>
      </c>
      <c r="W390" s="20">
        <v>0</v>
      </c>
      <c r="X390" s="20">
        <v>0</v>
      </c>
      <c r="Y390" s="20">
        <v>0</v>
      </c>
      <c r="Z390" s="20">
        <v>0</v>
      </c>
      <c r="AA390" s="20">
        <v>0</v>
      </c>
      <c r="AB390" s="20">
        <v>0</v>
      </c>
      <c r="AC390" s="20">
        <v>0</v>
      </c>
      <c r="AD390" s="15">
        <f t="shared" si="76"/>
        <v>0</v>
      </c>
      <c r="AE390" s="15">
        <v>0</v>
      </c>
      <c r="AF390" s="15">
        <v>0</v>
      </c>
      <c r="AG390" s="15">
        <v>0</v>
      </c>
      <c r="AH390" s="15">
        <v>240</v>
      </c>
      <c r="AI390" s="15">
        <v>0</v>
      </c>
      <c r="AJ390" s="15">
        <v>30</v>
      </c>
      <c r="AK390" s="15">
        <v>10</v>
      </c>
      <c r="AL390" s="15">
        <v>30</v>
      </c>
      <c r="AM390" s="15">
        <f t="shared" si="77"/>
        <v>310</v>
      </c>
      <c r="AN390" s="29">
        <f t="shared" si="68"/>
        <v>375</v>
      </c>
      <c r="AO390" s="19">
        <v>160</v>
      </c>
      <c r="AP390" s="21">
        <v>0</v>
      </c>
      <c r="AQ390" s="22">
        <v>2</v>
      </c>
      <c r="AR390" s="26">
        <f t="shared" si="64"/>
        <v>158</v>
      </c>
      <c r="AS390" s="37">
        <f t="shared" si="69"/>
        <v>1</v>
      </c>
      <c r="AT390" s="38">
        <f t="shared" si="75"/>
        <v>0.42666666666666669</v>
      </c>
      <c r="AU390" s="38">
        <f t="shared" si="70"/>
        <v>0.98750000000000004</v>
      </c>
      <c r="AV390" s="27">
        <f t="shared" si="71"/>
        <v>0.42133333333333339</v>
      </c>
    </row>
    <row r="391" spans="1:48" s="1" customFormat="1" ht="23.1" customHeight="1" x14ac:dyDescent="0.25">
      <c r="A391" s="109">
        <v>46049</v>
      </c>
      <c r="B391" s="47" t="s">
        <v>49</v>
      </c>
      <c r="C391" s="78" t="s">
        <v>51</v>
      </c>
      <c r="D391" s="47" t="s">
        <v>88</v>
      </c>
      <c r="E391" s="48">
        <v>98992</v>
      </c>
      <c r="F391" s="48" t="s">
        <v>126</v>
      </c>
      <c r="G391" s="48" t="s">
        <v>87</v>
      </c>
      <c r="H391" s="30">
        <v>15036</v>
      </c>
      <c r="I391" s="30"/>
      <c r="J391" s="30">
        <v>32</v>
      </c>
      <c r="K391" s="28">
        <f t="shared" si="65"/>
        <v>112.5</v>
      </c>
      <c r="L391" s="31">
        <v>0.58333333333333337</v>
      </c>
      <c r="M391" s="31">
        <v>0.9375</v>
      </c>
      <c r="N391" s="32">
        <f t="shared" si="74"/>
        <v>0.35416666666666663</v>
      </c>
      <c r="O391" s="36">
        <v>510</v>
      </c>
      <c r="P391" s="36">
        <f t="shared" si="66"/>
        <v>380</v>
      </c>
      <c r="Q391" s="36">
        <f t="shared" si="67"/>
        <v>380</v>
      </c>
      <c r="R391" s="15">
        <v>0</v>
      </c>
      <c r="S391" s="20">
        <v>0</v>
      </c>
      <c r="T391" s="16">
        <v>0</v>
      </c>
      <c r="U391" s="16">
        <v>0</v>
      </c>
      <c r="V391" s="20">
        <v>0</v>
      </c>
      <c r="W391" s="20">
        <v>0</v>
      </c>
      <c r="X391" s="20">
        <v>0</v>
      </c>
      <c r="Y391" s="20">
        <v>0</v>
      </c>
      <c r="Z391" s="20">
        <v>0</v>
      </c>
      <c r="AA391" s="20">
        <v>0</v>
      </c>
      <c r="AB391" s="20">
        <v>0</v>
      </c>
      <c r="AC391" s="20">
        <v>0</v>
      </c>
      <c r="AD391" s="15">
        <f t="shared" si="76"/>
        <v>0</v>
      </c>
      <c r="AE391" s="15">
        <v>0</v>
      </c>
      <c r="AF391" s="15">
        <v>0</v>
      </c>
      <c r="AG391" s="15">
        <v>0</v>
      </c>
      <c r="AH391" s="15">
        <v>60</v>
      </c>
      <c r="AI391" s="15">
        <v>0</v>
      </c>
      <c r="AJ391" s="15">
        <v>30</v>
      </c>
      <c r="AK391" s="15">
        <v>10</v>
      </c>
      <c r="AL391" s="15">
        <v>30</v>
      </c>
      <c r="AM391" s="15">
        <f t="shared" si="77"/>
        <v>130</v>
      </c>
      <c r="AN391" s="29">
        <f t="shared" si="68"/>
        <v>712.5</v>
      </c>
      <c r="AO391" s="19">
        <v>524</v>
      </c>
      <c r="AP391" s="21">
        <v>0</v>
      </c>
      <c r="AQ391" s="22">
        <v>1</v>
      </c>
      <c r="AR391" s="26">
        <f t="shared" si="64"/>
        <v>523</v>
      </c>
      <c r="AS391" s="37">
        <f t="shared" si="69"/>
        <v>1</v>
      </c>
      <c r="AT391" s="38">
        <f t="shared" si="75"/>
        <v>0.73543859649122811</v>
      </c>
      <c r="AU391" s="38">
        <f t="shared" si="70"/>
        <v>0.99809160305343514</v>
      </c>
      <c r="AV391" s="27">
        <f t="shared" si="71"/>
        <v>0.73403508771929826</v>
      </c>
    </row>
    <row r="392" spans="1:48" s="1" customFormat="1" ht="23.1" customHeight="1" x14ac:dyDescent="0.25">
      <c r="A392" s="109">
        <v>46049</v>
      </c>
      <c r="B392" s="47" t="s">
        <v>49</v>
      </c>
      <c r="C392" s="78" t="s">
        <v>51</v>
      </c>
      <c r="D392" s="47" t="s">
        <v>89</v>
      </c>
      <c r="E392" s="48">
        <v>98992</v>
      </c>
      <c r="F392" s="48" t="s">
        <v>169</v>
      </c>
      <c r="G392" s="48" t="s">
        <v>87</v>
      </c>
      <c r="H392" s="30">
        <v>15979</v>
      </c>
      <c r="I392" s="30"/>
      <c r="J392" s="30">
        <v>32</v>
      </c>
      <c r="K392" s="28">
        <f t="shared" si="65"/>
        <v>112.5</v>
      </c>
      <c r="L392" s="31">
        <v>0.58333333333333337</v>
      </c>
      <c r="M392" s="31">
        <v>0.9375</v>
      </c>
      <c r="N392" s="32">
        <f t="shared" si="74"/>
        <v>0.35416666666666663</v>
      </c>
      <c r="O392" s="36">
        <v>510</v>
      </c>
      <c r="P392" s="36">
        <f t="shared" si="66"/>
        <v>320</v>
      </c>
      <c r="Q392" s="36">
        <f t="shared" si="67"/>
        <v>320</v>
      </c>
      <c r="R392" s="15">
        <v>0</v>
      </c>
      <c r="S392" s="20">
        <v>0</v>
      </c>
      <c r="T392" s="16">
        <v>0</v>
      </c>
      <c r="U392" s="16">
        <v>0</v>
      </c>
      <c r="V392" s="20">
        <v>0</v>
      </c>
      <c r="W392" s="20">
        <v>0</v>
      </c>
      <c r="X392" s="20">
        <v>0</v>
      </c>
      <c r="Y392" s="20">
        <v>0</v>
      </c>
      <c r="Z392" s="20">
        <v>0</v>
      </c>
      <c r="AA392" s="20">
        <v>0</v>
      </c>
      <c r="AB392" s="20">
        <v>0</v>
      </c>
      <c r="AC392" s="20">
        <v>0</v>
      </c>
      <c r="AD392" s="15">
        <f t="shared" si="76"/>
        <v>0</v>
      </c>
      <c r="AE392" s="15">
        <v>0</v>
      </c>
      <c r="AF392" s="15">
        <v>0</v>
      </c>
      <c r="AG392" s="15">
        <v>0</v>
      </c>
      <c r="AH392" s="15">
        <v>120</v>
      </c>
      <c r="AI392" s="15">
        <v>0</v>
      </c>
      <c r="AJ392" s="15">
        <v>30</v>
      </c>
      <c r="AK392" s="15">
        <v>10</v>
      </c>
      <c r="AL392" s="15">
        <v>30</v>
      </c>
      <c r="AM392" s="15">
        <f t="shared" si="77"/>
        <v>190</v>
      </c>
      <c r="AN392" s="29">
        <f t="shared" si="68"/>
        <v>600</v>
      </c>
      <c r="AO392" s="19">
        <v>452</v>
      </c>
      <c r="AP392" s="21">
        <v>0</v>
      </c>
      <c r="AQ392" s="22">
        <v>2</v>
      </c>
      <c r="AR392" s="26">
        <f t="shared" si="64"/>
        <v>450</v>
      </c>
      <c r="AS392" s="37">
        <f t="shared" si="69"/>
        <v>1</v>
      </c>
      <c r="AT392" s="38">
        <f t="shared" si="75"/>
        <v>0.7533333333333333</v>
      </c>
      <c r="AU392" s="38">
        <f t="shared" si="70"/>
        <v>0.99557522123893805</v>
      </c>
      <c r="AV392" s="27">
        <f t="shared" si="71"/>
        <v>0.75</v>
      </c>
    </row>
    <row r="393" spans="1:48" s="1" customFormat="1" ht="21" customHeight="1" x14ac:dyDescent="0.25">
      <c r="A393" s="109">
        <v>46050</v>
      </c>
      <c r="B393" s="47" t="s">
        <v>49</v>
      </c>
      <c r="C393" s="78" t="s">
        <v>21</v>
      </c>
      <c r="D393" s="47" t="s">
        <v>94</v>
      </c>
      <c r="E393" s="48">
        <v>98992</v>
      </c>
      <c r="F393" s="48" t="s">
        <v>67</v>
      </c>
      <c r="G393" s="48" t="s">
        <v>174</v>
      </c>
      <c r="H393" s="30">
        <v>13105</v>
      </c>
      <c r="I393" s="30"/>
      <c r="J393" s="30">
        <v>24</v>
      </c>
      <c r="K393" s="28">
        <f t="shared" si="65"/>
        <v>150</v>
      </c>
      <c r="L393" s="31">
        <v>0.25</v>
      </c>
      <c r="M393" s="31">
        <v>0.60416666666666696</v>
      </c>
      <c r="N393" s="32">
        <f t="shared" si="74"/>
        <v>0.35416666666666696</v>
      </c>
      <c r="O393" s="36">
        <v>510</v>
      </c>
      <c r="P393" s="36">
        <f t="shared" si="66"/>
        <v>320</v>
      </c>
      <c r="Q393" s="36">
        <f t="shared" si="67"/>
        <v>320</v>
      </c>
      <c r="R393" s="15">
        <v>0</v>
      </c>
      <c r="S393" s="20">
        <v>0</v>
      </c>
      <c r="T393" s="16">
        <v>0</v>
      </c>
      <c r="U393" s="16">
        <v>0</v>
      </c>
      <c r="V393" s="20">
        <v>0</v>
      </c>
      <c r="W393" s="20">
        <v>0</v>
      </c>
      <c r="X393" s="20">
        <v>0</v>
      </c>
      <c r="Y393" s="20">
        <v>0</v>
      </c>
      <c r="Z393" s="20">
        <v>0</v>
      </c>
      <c r="AA393" s="20">
        <v>0</v>
      </c>
      <c r="AB393" s="20">
        <v>0</v>
      </c>
      <c r="AC393" s="20">
        <v>0</v>
      </c>
      <c r="AD393" s="15">
        <f t="shared" si="76"/>
        <v>0</v>
      </c>
      <c r="AE393" s="15">
        <v>0</v>
      </c>
      <c r="AF393" s="15">
        <v>0</v>
      </c>
      <c r="AG393" s="15">
        <v>0</v>
      </c>
      <c r="AH393" s="15">
        <v>120</v>
      </c>
      <c r="AI393" s="15">
        <v>0</v>
      </c>
      <c r="AJ393" s="15">
        <v>30</v>
      </c>
      <c r="AK393" s="15">
        <v>10</v>
      </c>
      <c r="AL393" s="15">
        <v>30</v>
      </c>
      <c r="AM393" s="15">
        <f t="shared" si="77"/>
        <v>190</v>
      </c>
      <c r="AN393" s="29">
        <f t="shared" si="68"/>
        <v>800</v>
      </c>
      <c r="AO393" s="19">
        <v>516</v>
      </c>
      <c r="AP393" s="21">
        <v>0</v>
      </c>
      <c r="AQ393" s="22">
        <v>6</v>
      </c>
      <c r="AR393" s="26">
        <f t="shared" si="64"/>
        <v>510</v>
      </c>
      <c r="AS393" s="37">
        <f t="shared" si="69"/>
        <v>1</v>
      </c>
      <c r="AT393" s="38">
        <f t="shared" si="75"/>
        <v>0.64500000000000002</v>
      </c>
      <c r="AU393" s="38">
        <f t="shared" si="70"/>
        <v>0.98837209302325579</v>
      </c>
      <c r="AV393" s="27">
        <f t="shared" si="71"/>
        <v>0.63749999999999996</v>
      </c>
    </row>
    <row r="394" spans="1:48" s="1" customFormat="1" ht="21" customHeight="1" x14ac:dyDescent="0.25">
      <c r="A394" s="109">
        <v>46050</v>
      </c>
      <c r="B394" s="47" t="s">
        <v>49</v>
      </c>
      <c r="C394" s="78" t="s">
        <v>21</v>
      </c>
      <c r="D394" s="47" t="s">
        <v>127</v>
      </c>
      <c r="E394" s="48">
        <v>98992</v>
      </c>
      <c r="F394" s="48" t="s">
        <v>175</v>
      </c>
      <c r="G394" s="48" t="s">
        <v>125</v>
      </c>
      <c r="H394" s="30">
        <v>15882</v>
      </c>
      <c r="I394" s="30"/>
      <c r="J394" s="30">
        <v>20</v>
      </c>
      <c r="K394" s="28">
        <f t="shared" si="65"/>
        <v>180</v>
      </c>
      <c r="L394" s="31">
        <v>0.25</v>
      </c>
      <c r="M394" s="31">
        <v>0.60416666666666696</v>
      </c>
      <c r="N394" s="32">
        <f t="shared" si="74"/>
        <v>0.35416666666666696</v>
      </c>
      <c r="O394" s="36">
        <v>510</v>
      </c>
      <c r="P394" s="36">
        <f t="shared" si="66"/>
        <v>140</v>
      </c>
      <c r="Q394" s="36">
        <f t="shared" si="67"/>
        <v>140</v>
      </c>
      <c r="R394" s="15">
        <v>0</v>
      </c>
      <c r="S394" s="20">
        <v>0</v>
      </c>
      <c r="T394" s="16">
        <v>0</v>
      </c>
      <c r="U394" s="16">
        <v>0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15">
        <f t="shared" si="76"/>
        <v>0</v>
      </c>
      <c r="AE394" s="15">
        <v>0</v>
      </c>
      <c r="AF394" s="15">
        <v>0</v>
      </c>
      <c r="AG394" s="15">
        <v>0</v>
      </c>
      <c r="AH394" s="15">
        <v>300</v>
      </c>
      <c r="AI394" s="15">
        <v>0</v>
      </c>
      <c r="AJ394" s="15">
        <v>30</v>
      </c>
      <c r="AK394" s="15">
        <v>10</v>
      </c>
      <c r="AL394" s="15">
        <v>30</v>
      </c>
      <c r="AM394" s="15">
        <f t="shared" si="77"/>
        <v>370</v>
      </c>
      <c r="AN394" s="29">
        <f t="shared" si="68"/>
        <v>420</v>
      </c>
      <c r="AO394" s="19">
        <v>300</v>
      </c>
      <c r="AP394" s="21">
        <v>0</v>
      </c>
      <c r="AQ394" s="22">
        <v>0</v>
      </c>
      <c r="AR394" s="26">
        <f t="shared" si="64"/>
        <v>300</v>
      </c>
      <c r="AS394" s="37">
        <f t="shared" si="69"/>
        <v>1</v>
      </c>
      <c r="AT394" s="38">
        <f t="shared" si="75"/>
        <v>0.7142857142857143</v>
      </c>
      <c r="AU394" s="38">
        <f t="shared" si="70"/>
        <v>1</v>
      </c>
      <c r="AV394" s="27">
        <f t="shared" si="71"/>
        <v>0.7142857142857143</v>
      </c>
    </row>
    <row r="395" spans="1:48" s="1" customFormat="1" ht="23.1" customHeight="1" x14ac:dyDescent="0.25">
      <c r="A395" s="109">
        <v>46050</v>
      </c>
      <c r="B395" s="47" t="s">
        <v>49</v>
      </c>
      <c r="C395" s="78" t="s">
        <v>51</v>
      </c>
      <c r="D395" s="47" t="s">
        <v>88</v>
      </c>
      <c r="E395" s="48">
        <v>98992</v>
      </c>
      <c r="F395" s="48" t="s">
        <v>126</v>
      </c>
      <c r="G395" s="48" t="s">
        <v>87</v>
      </c>
      <c r="H395" s="30">
        <v>15036</v>
      </c>
      <c r="I395" s="30"/>
      <c r="J395" s="30">
        <v>32</v>
      </c>
      <c r="K395" s="28">
        <f t="shared" si="65"/>
        <v>112.5</v>
      </c>
      <c r="L395" s="31">
        <v>0.58333333333333337</v>
      </c>
      <c r="M395" s="31">
        <v>0.9375</v>
      </c>
      <c r="N395" s="32">
        <f t="shared" si="74"/>
        <v>0.35416666666666663</v>
      </c>
      <c r="O395" s="36">
        <v>510</v>
      </c>
      <c r="P395" s="36">
        <f t="shared" si="66"/>
        <v>440</v>
      </c>
      <c r="Q395" s="36">
        <f t="shared" si="67"/>
        <v>440</v>
      </c>
      <c r="R395" s="15">
        <v>0</v>
      </c>
      <c r="S395" s="20">
        <v>0</v>
      </c>
      <c r="T395" s="16">
        <v>0</v>
      </c>
      <c r="U395" s="16">
        <v>0</v>
      </c>
      <c r="V395" s="20">
        <v>0</v>
      </c>
      <c r="W395" s="20">
        <v>0</v>
      </c>
      <c r="X395" s="20">
        <v>0</v>
      </c>
      <c r="Y395" s="20">
        <v>0</v>
      </c>
      <c r="Z395" s="20">
        <v>0</v>
      </c>
      <c r="AA395" s="20">
        <v>0</v>
      </c>
      <c r="AB395" s="20">
        <v>0</v>
      </c>
      <c r="AC395" s="20">
        <v>0</v>
      </c>
      <c r="AD395" s="15">
        <f t="shared" si="76"/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30</v>
      </c>
      <c r="AK395" s="15">
        <v>10</v>
      </c>
      <c r="AL395" s="15">
        <v>30</v>
      </c>
      <c r="AM395" s="15">
        <f t="shared" si="77"/>
        <v>70</v>
      </c>
      <c r="AN395" s="29">
        <f t="shared" si="68"/>
        <v>825</v>
      </c>
      <c r="AO395" s="19">
        <v>704</v>
      </c>
      <c r="AP395" s="21">
        <v>0</v>
      </c>
      <c r="AQ395" s="22">
        <v>6</v>
      </c>
      <c r="AR395" s="26">
        <f t="shared" si="64"/>
        <v>698</v>
      </c>
      <c r="AS395" s="37">
        <f t="shared" si="69"/>
        <v>1</v>
      </c>
      <c r="AT395" s="38">
        <f t="shared" si="75"/>
        <v>0.85333333333333339</v>
      </c>
      <c r="AU395" s="38">
        <f t="shared" si="70"/>
        <v>0.99147727272727271</v>
      </c>
      <c r="AV395" s="27">
        <f t="shared" si="71"/>
        <v>0.84606060606060607</v>
      </c>
    </row>
    <row r="396" spans="1:48" s="1" customFormat="1" ht="23.1" customHeight="1" x14ac:dyDescent="0.25">
      <c r="A396" s="109">
        <v>46050</v>
      </c>
      <c r="B396" s="47" t="s">
        <v>49</v>
      </c>
      <c r="C396" s="78" t="s">
        <v>51</v>
      </c>
      <c r="D396" s="47" t="s">
        <v>89</v>
      </c>
      <c r="E396" s="48">
        <v>98992</v>
      </c>
      <c r="F396" s="48" t="s">
        <v>169</v>
      </c>
      <c r="G396" s="48" t="s">
        <v>87</v>
      </c>
      <c r="H396" s="30">
        <v>11682</v>
      </c>
      <c r="I396" s="30"/>
      <c r="J396" s="30">
        <v>32</v>
      </c>
      <c r="K396" s="28">
        <f t="shared" ref="K396:K436" si="78">3600/J396</f>
        <v>112.5</v>
      </c>
      <c r="L396" s="31">
        <v>0.58333333333333337</v>
      </c>
      <c r="M396" s="31">
        <v>0.9375</v>
      </c>
      <c r="N396" s="32">
        <f t="shared" si="74"/>
        <v>0.35416666666666663</v>
      </c>
      <c r="O396" s="36">
        <v>510</v>
      </c>
      <c r="P396" s="36">
        <f t="shared" ref="P396:P437" si="79">Q396-AD396</f>
        <v>380</v>
      </c>
      <c r="Q396" s="36">
        <f t="shared" ref="Q396:Q437" si="80">O396-AM396</f>
        <v>380</v>
      </c>
      <c r="R396" s="15">
        <v>0</v>
      </c>
      <c r="S396" s="20">
        <v>0</v>
      </c>
      <c r="T396" s="16">
        <v>0</v>
      </c>
      <c r="U396" s="16">
        <v>0</v>
      </c>
      <c r="V396" s="20">
        <v>0</v>
      </c>
      <c r="W396" s="20">
        <v>0</v>
      </c>
      <c r="X396" s="20">
        <v>0</v>
      </c>
      <c r="Y396" s="20">
        <v>0</v>
      </c>
      <c r="Z396" s="20">
        <v>0</v>
      </c>
      <c r="AA396" s="20">
        <v>0</v>
      </c>
      <c r="AB396" s="20">
        <v>0</v>
      </c>
      <c r="AC396" s="20">
        <v>0</v>
      </c>
      <c r="AD396" s="15">
        <f t="shared" si="76"/>
        <v>0</v>
      </c>
      <c r="AE396" s="15">
        <v>0</v>
      </c>
      <c r="AF396" s="15">
        <v>0</v>
      </c>
      <c r="AG396" s="15">
        <v>0</v>
      </c>
      <c r="AH396" s="15">
        <v>60</v>
      </c>
      <c r="AI396" s="15">
        <v>0</v>
      </c>
      <c r="AJ396" s="15">
        <v>30</v>
      </c>
      <c r="AK396" s="15">
        <v>10</v>
      </c>
      <c r="AL396" s="15">
        <v>30</v>
      </c>
      <c r="AM396" s="15">
        <f t="shared" si="77"/>
        <v>130</v>
      </c>
      <c r="AN396" s="29">
        <f t="shared" ref="AN396:AN408" si="81">Q396*(K396/60)</f>
        <v>712.5</v>
      </c>
      <c r="AO396" s="19">
        <v>633</v>
      </c>
      <c r="AP396" s="21">
        <v>0</v>
      </c>
      <c r="AQ396" s="22">
        <v>2</v>
      </c>
      <c r="AR396" s="26">
        <f t="shared" si="64"/>
        <v>631</v>
      </c>
      <c r="AS396" s="37">
        <f t="shared" si="69"/>
        <v>1</v>
      </c>
      <c r="AT396" s="38">
        <f t="shared" si="75"/>
        <v>0.888421052631579</v>
      </c>
      <c r="AU396" s="38">
        <f t="shared" si="70"/>
        <v>0.99684044233807267</v>
      </c>
      <c r="AV396" s="27">
        <f t="shared" si="71"/>
        <v>0.88561403508771941</v>
      </c>
    </row>
    <row r="397" spans="1:48" s="1" customFormat="1" ht="21" customHeight="1" x14ac:dyDescent="0.25">
      <c r="A397" s="109">
        <v>46050</v>
      </c>
      <c r="B397" s="47" t="s">
        <v>49</v>
      </c>
      <c r="C397" s="78" t="s">
        <v>51</v>
      </c>
      <c r="D397" s="47" t="s">
        <v>124</v>
      </c>
      <c r="E397" s="48">
        <v>98992</v>
      </c>
      <c r="F397" s="48" t="s">
        <v>215</v>
      </c>
      <c r="G397" s="48" t="s">
        <v>125</v>
      </c>
      <c r="H397" s="30">
        <v>14972</v>
      </c>
      <c r="I397" s="30"/>
      <c r="J397" s="30">
        <v>32</v>
      </c>
      <c r="K397" s="28">
        <f t="shared" si="78"/>
        <v>112.5</v>
      </c>
      <c r="L397" s="31">
        <v>0.58333333333333337</v>
      </c>
      <c r="M397" s="31">
        <v>0.9375</v>
      </c>
      <c r="N397" s="32">
        <f t="shared" si="74"/>
        <v>0.35416666666666663</v>
      </c>
      <c r="O397" s="36">
        <v>510</v>
      </c>
      <c r="P397" s="36">
        <f t="shared" si="79"/>
        <v>440</v>
      </c>
      <c r="Q397" s="36">
        <f t="shared" si="80"/>
        <v>440</v>
      </c>
      <c r="R397" s="15">
        <v>0</v>
      </c>
      <c r="S397" s="20">
        <v>0</v>
      </c>
      <c r="T397" s="16">
        <v>0</v>
      </c>
      <c r="U397" s="16">
        <v>0</v>
      </c>
      <c r="V397" s="20">
        <v>0</v>
      </c>
      <c r="W397" s="20">
        <v>0</v>
      </c>
      <c r="X397" s="20">
        <v>0</v>
      </c>
      <c r="Y397" s="20">
        <v>0</v>
      </c>
      <c r="Z397" s="20">
        <v>0</v>
      </c>
      <c r="AA397" s="20">
        <v>0</v>
      </c>
      <c r="AB397" s="20">
        <v>0</v>
      </c>
      <c r="AC397" s="20">
        <v>0</v>
      </c>
      <c r="AD397" s="15">
        <f t="shared" si="76"/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  <c r="AJ397" s="15">
        <v>30</v>
      </c>
      <c r="AK397" s="15">
        <v>10</v>
      </c>
      <c r="AL397" s="15">
        <v>30</v>
      </c>
      <c r="AM397" s="15">
        <f t="shared" si="77"/>
        <v>70</v>
      </c>
      <c r="AN397" s="29">
        <f t="shared" si="81"/>
        <v>825</v>
      </c>
      <c r="AO397" s="19">
        <v>720</v>
      </c>
      <c r="AP397" s="21">
        <v>0</v>
      </c>
      <c r="AQ397" s="22">
        <v>2</v>
      </c>
      <c r="AR397" s="26">
        <f t="shared" si="64"/>
        <v>718</v>
      </c>
      <c r="AS397" s="37">
        <f t="shared" si="69"/>
        <v>1</v>
      </c>
      <c r="AT397" s="38">
        <f t="shared" si="75"/>
        <v>0.87272727272727268</v>
      </c>
      <c r="AU397" s="38">
        <f t="shared" si="70"/>
        <v>0.99722222222222223</v>
      </c>
      <c r="AV397" s="27">
        <f t="shared" si="71"/>
        <v>0.87030303030303025</v>
      </c>
    </row>
    <row r="398" spans="1:48" s="1" customFormat="1" ht="21" customHeight="1" x14ac:dyDescent="0.25">
      <c r="A398" s="109">
        <v>46050</v>
      </c>
      <c r="B398" s="47" t="s">
        <v>49</v>
      </c>
      <c r="C398" s="78" t="s">
        <v>51</v>
      </c>
      <c r="D398" s="47" t="s">
        <v>122</v>
      </c>
      <c r="E398" s="48">
        <v>98992</v>
      </c>
      <c r="F398" s="48" t="s">
        <v>169</v>
      </c>
      <c r="G398" s="48" t="s">
        <v>125</v>
      </c>
      <c r="H398" s="30">
        <v>15688</v>
      </c>
      <c r="I398" s="30"/>
      <c r="J398" s="30">
        <v>32</v>
      </c>
      <c r="K398" s="28">
        <f t="shared" si="78"/>
        <v>112.5</v>
      </c>
      <c r="L398" s="31">
        <v>0.58333333333333337</v>
      </c>
      <c r="M398" s="31">
        <v>0.9375</v>
      </c>
      <c r="N398" s="32">
        <f t="shared" si="74"/>
        <v>0.35416666666666663</v>
      </c>
      <c r="O398" s="36">
        <v>510</v>
      </c>
      <c r="P398" s="36">
        <f t="shared" si="79"/>
        <v>380</v>
      </c>
      <c r="Q398" s="36">
        <f t="shared" si="80"/>
        <v>380</v>
      </c>
      <c r="R398" s="15">
        <v>0</v>
      </c>
      <c r="S398" s="20">
        <v>0</v>
      </c>
      <c r="T398" s="16">
        <v>0</v>
      </c>
      <c r="U398" s="16">
        <v>0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15">
        <f t="shared" si="76"/>
        <v>0</v>
      </c>
      <c r="AE398" s="15">
        <v>0</v>
      </c>
      <c r="AF398" s="15">
        <v>0</v>
      </c>
      <c r="AG398" s="15">
        <v>0</v>
      </c>
      <c r="AH398" s="15">
        <v>60</v>
      </c>
      <c r="AI398" s="15">
        <v>0</v>
      </c>
      <c r="AJ398" s="15">
        <v>30</v>
      </c>
      <c r="AK398" s="15">
        <v>10</v>
      </c>
      <c r="AL398" s="15">
        <v>30</v>
      </c>
      <c r="AM398" s="15">
        <f t="shared" si="77"/>
        <v>130</v>
      </c>
      <c r="AN398" s="29">
        <f t="shared" si="81"/>
        <v>712.5</v>
      </c>
      <c r="AO398" s="19">
        <v>601</v>
      </c>
      <c r="AP398" s="21">
        <v>0</v>
      </c>
      <c r="AQ398" s="22">
        <v>1</v>
      </c>
      <c r="AR398" s="26">
        <f t="shared" si="64"/>
        <v>600</v>
      </c>
      <c r="AS398" s="37">
        <f t="shared" si="69"/>
        <v>1</v>
      </c>
      <c r="AT398" s="38">
        <f t="shared" si="75"/>
        <v>0.84350877192982454</v>
      </c>
      <c r="AU398" s="38">
        <f t="shared" si="70"/>
        <v>0.99833610648918469</v>
      </c>
      <c r="AV398" s="27">
        <f t="shared" si="71"/>
        <v>0.84210526315789469</v>
      </c>
    </row>
    <row r="399" spans="1:48" s="1" customFormat="1" ht="21" customHeight="1" x14ac:dyDescent="0.25">
      <c r="A399" s="109">
        <v>46050</v>
      </c>
      <c r="B399" s="47" t="s">
        <v>49</v>
      </c>
      <c r="C399" s="78" t="s">
        <v>51</v>
      </c>
      <c r="D399" s="47" t="s">
        <v>170</v>
      </c>
      <c r="E399" s="48">
        <v>98992</v>
      </c>
      <c r="F399" s="48" t="s">
        <v>176</v>
      </c>
      <c r="G399" s="48" t="s">
        <v>125</v>
      </c>
      <c r="H399" s="30">
        <v>15688</v>
      </c>
      <c r="I399" s="30"/>
      <c r="J399" s="30">
        <v>20</v>
      </c>
      <c r="K399" s="28">
        <f t="shared" si="78"/>
        <v>180</v>
      </c>
      <c r="L399" s="31">
        <v>0.58333333333333337</v>
      </c>
      <c r="M399" s="31">
        <v>0.9375</v>
      </c>
      <c r="N399" s="32">
        <f t="shared" si="74"/>
        <v>0.35416666666666663</v>
      </c>
      <c r="O399" s="36">
        <v>510</v>
      </c>
      <c r="P399" s="36">
        <f t="shared" si="79"/>
        <v>140</v>
      </c>
      <c r="Q399" s="36">
        <f t="shared" si="80"/>
        <v>140</v>
      </c>
      <c r="R399" s="15">
        <v>0</v>
      </c>
      <c r="S399" s="20">
        <v>0</v>
      </c>
      <c r="T399" s="16">
        <v>0</v>
      </c>
      <c r="U399" s="16">
        <v>0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15">
        <f t="shared" si="76"/>
        <v>0</v>
      </c>
      <c r="AE399" s="15">
        <v>0</v>
      </c>
      <c r="AF399" s="15">
        <v>0</v>
      </c>
      <c r="AG399" s="15">
        <v>0</v>
      </c>
      <c r="AH399" s="15">
        <v>300</v>
      </c>
      <c r="AI399" s="15">
        <v>0</v>
      </c>
      <c r="AJ399" s="15">
        <v>30</v>
      </c>
      <c r="AK399" s="15">
        <v>10</v>
      </c>
      <c r="AL399" s="15">
        <v>30</v>
      </c>
      <c r="AM399" s="15">
        <f t="shared" si="77"/>
        <v>370</v>
      </c>
      <c r="AN399" s="29">
        <f t="shared" si="81"/>
        <v>420</v>
      </c>
      <c r="AO399" s="19">
        <v>180</v>
      </c>
      <c r="AP399" s="21">
        <v>0</v>
      </c>
      <c r="AQ399" s="22">
        <v>0</v>
      </c>
      <c r="AR399" s="26">
        <f t="shared" si="64"/>
        <v>180</v>
      </c>
      <c r="AS399" s="37">
        <f t="shared" ref="AS399:AS436" si="82">P399/Q399</f>
        <v>1</v>
      </c>
      <c r="AT399" s="38">
        <f t="shared" si="75"/>
        <v>0.42857142857142855</v>
      </c>
      <c r="AU399" s="38">
        <f t="shared" ref="AU399:AU436" si="83">AR399/AO399</f>
        <v>1</v>
      </c>
      <c r="AV399" s="27">
        <f t="shared" ref="AV399:AV436" si="84">AS399*AT399*AU399</f>
        <v>0.42857142857142855</v>
      </c>
    </row>
    <row r="400" spans="1:48" s="1" customFormat="1" ht="21" customHeight="1" x14ac:dyDescent="0.25">
      <c r="A400" s="109">
        <v>46050</v>
      </c>
      <c r="B400" s="47" t="s">
        <v>49</v>
      </c>
      <c r="C400" s="78" t="s">
        <v>51</v>
      </c>
      <c r="D400" s="47" t="s">
        <v>127</v>
      </c>
      <c r="E400" s="48">
        <v>98992</v>
      </c>
      <c r="F400" s="48" t="s">
        <v>175</v>
      </c>
      <c r="G400" s="48" t="s">
        <v>125</v>
      </c>
      <c r="H400" s="30">
        <v>13669</v>
      </c>
      <c r="I400" s="30"/>
      <c r="J400" s="30">
        <v>20</v>
      </c>
      <c r="K400" s="28">
        <f t="shared" si="78"/>
        <v>180</v>
      </c>
      <c r="L400" s="31">
        <v>0.58333333333333337</v>
      </c>
      <c r="M400" s="31">
        <v>0.9375</v>
      </c>
      <c r="N400" s="32">
        <f t="shared" si="74"/>
        <v>0.35416666666666663</v>
      </c>
      <c r="O400" s="36">
        <v>510</v>
      </c>
      <c r="P400" s="36">
        <f t="shared" si="79"/>
        <v>140</v>
      </c>
      <c r="Q400" s="36">
        <f t="shared" si="80"/>
        <v>140</v>
      </c>
      <c r="R400" s="15">
        <v>0</v>
      </c>
      <c r="S400" s="20">
        <v>0</v>
      </c>
      <c r="T400" s="16">
        <v>0</v>
      </c>
      <c r="U400" s="16">
        <v>0</v>
      </c>
      <c r="V400" s="20">
        <v>0</v>
      </c>
      <c r="W400" s="20">
        <v>0</v>
      </c>
      <c r="X400" s="20">
        <v>0</v>
      </c>
      <c r="Y400" s="20">
        <v>0</v>
      </c>
      <c r="Z400" s="20">
        <v>0</v>
      </c>
      <c r="AA400" s="20">
        <v>0</v>
      </c>
      <c r="AB400" s="20">
        <v>0</v>
      </c>
      <c r="AC400" s="20">
        <v>0</v>
      </c>
      <c r="AD400" s="15">
        <f t="shared" si="76"/>
        <v>0</v>
      </c>
      <c r="AE400" s="15">
        <v>0</v>
      </c>
      <c r="AF400" s="15">
        <v>0</v>
      </c>
      <c r="AG400" s="15">
        <v>0</v>
      </c>
      <c r="AH400" s="15">
        <v>300</v>
      </c>
      <c r="AI400" s="15">
        <v>0</v>
      </c>
      <c r="AJ400" s="15">
        <v>30</v>
      </c>
      <c r="AK400" s="15">
        <v>10</v>
      </c>
      <c r="AL400" s="15">
        <v>30</v>
      </c>
      <c r="AM400" s="15">
        <f t="shared" si="77"/>
        <v>370</v>
      </c>
      <c r="AN400" s="29">
        <f t="shared" si="81"/>
        <v>420</v>
      </c>
      <c r="AO400" s="19">
        <v>180</v>
      </c>
      <c r="AP400" s="21">
        <v>0</v>
      </c>
      <c r="AQ400" s="22">
        <v>0</v>
      </c>
      <c r="AR400" s="26">
        <f t="shared" si="64"/>
        <v>180</v>
      </c>
      <c r="AS400" s="37">
        <f t="shared" si="82"/>
        <v>1</v>
      </c>
      <c r="AT400" s="38">
        <f t="shared" si="75"/>
        <v>0.42857142857142855</v>
      </c>
      <c r="AU400" s="38">
        <f t="shared" si="83"/>
        <v>1</v>
      </c>
      <c r="AV400" s="27">
        <f t="shared" si="84"/>
        <v>0.42857142857142855</v>
      </c>
    </row>
    <row r="401" spans="1:48" s="1" customFormat="1" ht="21" customHeight="1" x14ac:dyDescent="0.25">
      <c r="A401" s="109">
        <v>46051</v>
      </c>
      <c r="B401" s="47" t="s">
        <v>49</v>
      </c>
      <c r="C401" s="79" t="s">
        <v>21</v>
      </c>
      <c r="D401" s="47" t="s">
        <v>88</v>
      </c>
      <c r="E401" s="48">
        <v>98992</v>
      </c>
      <c r="F401" s="48" t="s">
        <v>126</v>
      </c>
      <c r="G401" s="48" t="s">
        <v>87</v>
      </c>
      <c r="H401" s="30">
        <v>13106</v>
      </c>
      <c r="I401" s="30"/>
      <c r="J401" s="30">
        <v>32</v>
      </c>
      <c r="K401" s="28">
        <f t="shared" si="78"/>
        <v>112.5</v>
      </c>
      <c r="L401" s="31">
        <v>0.25</v>
      </c>
      <c r="M401" s="31">
        <v>0.60416666666666696</v>
      </c>
      <c r="N401" s="32">
        <f t="shared" si="74"/>
        <v>0.35416666666666696</v>
      </c>
      <c r="O401" s="36">
        <v>510</v>
      </c>
      <c r="P401" s="36">
        <f t="shared" si="79"/>
        <v>440</v>
      </c>
      <c r="Q401" s="36">
        <f t="shared" si="80"/>
        <v>440</v>
      </c>
      <c r="R401" s="15">
        <v>0</v>
      </c>
      <c r="S401" s="20">
        <v>0</v>
      </c>
      <c r="T401" s="16">
        <v>0</v>
      </c>
      <c r="U401" s="16">
        <v>0</v>
      </c>
      <c r="V401" s="20">
        <v>0</v>
      </c>
      <c r="W401" s="20">
        <v>0</v>
      </c>
      <c r="X401" s="20">
        <v>0</v>
      </c>
      <c r="Y401" s="20">
        <v>0</v>
      </c>
      <c r="Z401" s="20">
        <v>0</v>
      </c>
      <c r="AA401" s="20">
        <v>0</v>
      </c>
      <c r="AB401" s="20">
        <v>0</v>
      </c>
      <c r="AC401" s="20">
        <v>0</v>
      </c>
      <c r="AD401" s="15">
        <f t="shared" si="76"/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  <c r="AJ401" s="15">
        <v>30</v>
      </c>
      <c r="AK401" s="15">
        <v>10</v>
      </c>
      <c r="AL401" s="15">
        <v>30</v>
      </c>
      <c r="AM401" s="15">
        <f t="shared" si="77"/>
        <v>70</v>
      </c>
      <c r="AN401" s="29">
        <f t="shared" si="81"/>
        <v>825</v>
      </c>
      <c r="AO401" s="19">
        <v>621</v>
      </c>
      <c r="AP401" s="21">
        <v>0</v>
      </c>
      <c r="AQ401" s="22">
        <v>3</v>
      </c>
      <c r="AR401" s="26">
        <f t="shared" si="64"/>
        <v>618</v>
      </c>
      <c r="AS401" s="37">
        <f t="shared" si="82"/>
        <v>1</v>
      </c>
      <c r="AT401" s="38">
        <f t="shared" si="75"/>
        <v>0.75272727272727269</v>
      </c>
      <c r="AU401" s="38">
        <f t="shared" si="83"/>
        <v>0.99516908212560384</v>
      </c>
      <c r="AV401" s="27">
        <f t="shared" si="84"/>
        <v>0.74909090909090903</v>
      </c>
    </row>
    <row r="402" spans="1:48" s="1" customFormat="1" ht="21" customHeight="1" x14ac:dyDescent="0.25">
      <c r="A402" s="109">
        <v>46051</v>
      </c>
      <c r="B402" s="47" t="s">
        <v>49</v>
      </c>
      <c r="C402" s="79" t="s">
        <v>21</v>
      </c>
      <c r="D402" s="47" t="s">
        <v>89</v>
      </c>
      <c r="E402" s="48">
        <v>98992</v>
      </c>
      <c r="F402" s="48" t="s">
        <v>169</v>
      </c>
      <c r="G402" s="48" t="s">
        <v>87</v>
      </c>
      <c r="H402" s="30">
        <v>16219</v>
      </c>
      <c r="I402" s="30"/>
      <c r="J402" s="30">
        <v>32</v>
      </c>
      <c r="K402" s="28">
        <f t="shared" si="78"/>
        <v>112.5</v>
      </c>
      <c r="L402" s="31">
        <v>0.25</v>
      </c>
      <c r="M402" s="31">
        <v>0.60416666666666696</v>
      </c>
      <c r="N402" s="32">
        <f t="shared" si="74"/>
        <v>0.35416666666666696</v>
      </c>
      <c r="O402" s="36">
        <v>510</v>
      </c>
      <c r="P402" s="36">
        <f t="shared" si="79"/>
        <v>380</v>
      </c>
      <c r="Q402" s="36">
        <f t="shared" si="80"/>
        <v>380</v>
      </c>
      <c r="R402" s="15">
        <v>0</v>
      </c>
      <c r="S402" s="20">
        <v>0</v>
      </c>
      <c r="T402" s="16">
        <v>0</v>
      </c>
      <c r="U402" s="16">
        <v>0</v>
      </c>
      <c r="V402" s="20">
        <v>0</v>
      </c>
      <c r="W402" s="20">
        <v>0</v>
      </c>
      <c r="X402" s="20">
        <v>0</v>
      </c>
      <c r="Y402" s="20">
        <v>0</v>
      </c>
      <c r="Z402" s="20">
        <v>0</v>
      </c>
      <c r="AA402" s="20">
        <v>0</v>
      </c>
      <c r="AB402" s="20">
        <v>0</v>
      </c>
      <c r="AC402" s="20">
        <v>0</v>
      </c>
      <c r="AD402" s="15">
        <f t="shared" si="76"/>
        <v>0</v>
      </c>
      <c r="AE402" s="15">
        <v>0</v>
      </c>
      <c r="AF402" s="15">
        <v>0</v>
      </c>
      <c r="AG402" s="15">
        <v>0</v>
      </c>
      <c r="AH402" s="15">
        <v>60</v>
      </c>
      <c r="AI402" s="15">
        <v>0</v>
      </c>
      <c r="AJ402" s="15">
        <v>30</v>
      </c>
      <c r="AK402" s="15">
        <v>10</v>
      </c>
      <c r="AL402" s="15">
        <v>30</v>
      </c>
      <c r="AM402" s="15">
        <f t="shared" si="77"/>
        <v>130</v>
      </c>
      <c r="AN402" s="29">
        <f t="shared" si="81"/>
        <v>712.5</v>
      </c>
      <c r="AO402" s="19">
        <v>611</v>
      </c>
      <c r="AP402" s="21">
        <v>0</v>
      </c>
      <c r="AQ402" s="22">
        <v>2</v>
      </c>
      <c r="AR402" s="26">
        <f t="shared" si="64"/>
        <v>609</v>
      </c>
      <c r="AS402" s="37">
        <f t="shared" si="82"/>
        <v>1</v>
      </c>
      <c r="AT402" s="38">
        <f t="shared" si="75"/>
        <v>0.85754385964912283</v>
      </c>
      <c r="AU402" s="38">
        <f t="shared" si="83"/>
        <v>0.99672667757774136</v>
      </c>
      <c r="AV402" s="27">
        <f t="shared" si="84"/>
        <v>0.85473684210526313</v>
      </c>
    </row>
    <row r="403" spans="1:48" s="1" customFormat="1" ht="21" customHeight="1" x14ac:dyDescent="0.25">
      <c r="A403" s="109">
        <v>46051</v>
      </c>
      <c r="B403" s="47" t="s">
        <v>49</v>
      </c>
      <c r="C403" s="79" t="s">
        <v>21</v>
      </c>
      <c r="D403" s="47" t="s">
        <v>52</v>
      </c>
      <c r="E403" s="48">
        <v>98992</v>
      </c>
      <c r="F403" s="48" t="s">
        <v>53</v>
      </c>
      <c r="G403" s="48" t="s">
        <v>87</v>
      </c>
      <c r="H403" s="30">
        <v>15710</v>
      </c>
      <c r="I403" s="30"/>
      <c r="J403" s="30">
        <v>32</v>
      </c>
      <c r="K403" s="28">
        <f t="shared" si="78"/>
        <v>112.5</v>
      </c>
      <c r="L403" s="31">
        <v>0.25</v>
      </c>
      <c r="M403" s="31">
        <v>0.60416666666666696</v>
      </c>
      <c r="N403" s="32">
        <f t="shared" si="74"/>
        <v>0.35416666666666696</v>
      </c>
      <c r="O403" s="36">
        <v>510</v>
      </c>
      <c r="P403" s="36">
        <f t="shared" si="79"/>
        <v>320</v>
      </c>
      <c r="Q403" s="36">
        <f t="shared" si="80"/>
        <v>320</v>
      </c>
      <c r="R403" s="15">
        <v>0</v>
      </c>
      <c r="S403" s="20">
        <v>0</v>
      </c>
      <c r="T403" s="16">
        <v>0</v>
      </c>
      <c r="U403" s="16">
        <v>0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15">
        <f t="shared" si="76"/>
        <v>0</v>
      </c>
      <c r="AE403" s="15">
        <v>0</v>
      </c>
      <c r="AF403" s="15">
        <v>0</v>
      </c>
      <c r="AG403" s="15">
        <v>0</v>
      </c>
      <c r="AH403" s="15">
        <v>120</v>
      </c>
      <c r="AI403" s="15">
        <v>0</v>
      </c>
      <c r="AJ403" s="15">
        <v>30</v>
      </c>
      <c r="AK403" s="15">
        <v>10</v>
      </c>
      <c r="AL403" s="15">
        <v>30</v>
      </c>
      <c r="AM403" s="15">
        <f t="shared" si="77"/>
        <v>190</v>
      </c>
      <c r="AN403" s="29">
        <f t="shared" si="81"/>
        <v>600</v>
      </c>
      <c r="AO403" s="19">
        <v>480</v>
      </c>
      <c r="AP403" s="21">
        <v>0</v>
      </c>
      <c r="AQ403" s="22">
        <v>2</v>
      </c>
      <c r="AR403" s="26">
        <f t="shared" si="64"/>
        <v>478</v>
      </c>
      <c r="AS403" s="37">
        <f t="shared" si="82"/>
        <v>1</v>
      </c>
      <c r="AT403" s="38">
        <f t="shared" si="75"/>
        <v>0.8</v>
      </c>
      <c r="AU403" s="38">
        <f t="shared" si="83"/>
        <v>0.99583333333333335</v>
      </c>
      <c r="AV403" s="27">
        <f t="shared" si="84"/>
        <v>0.79666666666666675</v>
      </c>
    </row>
    <row r="404" spans="1:48" s="1" customFormat="1" ht="21" customHeight="1" x14ac:dyDescent="0.25">
      <c r="A404" s="109">
        <v>46051</v>
      </c>
      <c r="B404" s="47" t="s">
        <v>49</v>
      </c>
      <c r="C404" s="79" t="s">
        <v>21</v>
      </c>
      <c r="D404" s="47" t="s">
        <v>86</v>
      </c>
      <c r="E404" s="48">
        <v>98992</v>
      </c>
      <c r="F404" s="48" t="s">
        <v>176</v>
      </c>
      <c r="G404" s="48" t="s">
        <v>87</v>
      </c>
      <c r="H404" s="30">
        <v>15859</v>
      </c>
      <c r="I404" s="30"/>
      <c r="J404" s="30">
        <v>20</v>
      </c>
      <c r="K404" s="28">
        <f t="shared" si="78"/>
        <v>180</v>
      </c>
      <c r="L404" s="31">
        <v>0.25</v>
      </c>
      <c r="M404" s="31">
        <v>0.60416666666666696</v>
      </c>
      <c r="N404" s="32">
        <f t="shared" si="74"/>
        <v>0.35416666666666696</v>
      </c>
      <c r="O404" s="36">
        <v>510</v>
      </c>
      <c r="P404" s="36">
        <f t="shared" si="79"/>
        <v>140</v>
      </c>
      <c r="Q404" s="36">
        <f t="shared" si="80"/>
        <v>140</v>
      </c>
      <c r="R404" s="15">
        <v>0</v>
      </c>
      <c r="S404" s="20">
        <v>0</v>
      </c>
      <c r="T404" s="16">
        <v>0</v>
      </c>
      <c r="U404" s="16">
        <v>0</v>
      </c>
      <c r="V404" s="20">
        <v>0</v>
      </c>
      <c r="W404" s="20">
        <v>0</v>
      </c>
      <c r="X404" s="20">
        <v>0</v>
      </c>
      <c r="Y404" s="20">
        <v>0</v>
      </c>
      <c r="Z404" s="20">
        <v>0</v>
      </c>
      <c r="AA404" s="20">
        <v>0</v>
      </c>
      <c r="AB404" s="20">
        <v>0</v>
      </c>
      <c r="AC404" s="20">
        <v>0</v>
      </c>
      <c r="AD404" s="15">
        <f t="shared" si="76"/>
        <v>0</v>
      </c>
      <c r="AE404" s="15">
        <v>0</v>
      </c>
      <c r="AF404" s="15">
        <v>0</v>
      </c>
      <c r="AG404" s="15">
        <v>0</v>
      </c>
      <c r="AH404" s="15">
        <v>300</v>
      </c>
      <c r="AI404" s="15">
        <v>0</v>
      </c>
      <c r="AJ404" s="15">
        <v>30</v>
      </c>
      <c r="AK404" s="15">
        <v>10</v>
      </c>
      <c r="AL404" s="15">
        <v>30</v>
      </c>
      <c r="AM404" s="15">
        <f t="shared" si="77"/>
        <v>370</v>
      </c>
      <c r="AN404" s="29">
        <f t="shared" si="81"/>
        <v>420</v>
      </c>
      <c r="AO404" s="19">
        <v>304</v>
      </c>
      <c r="AP404" s="21">
        <v>0</v>
      </c>
      <c r="AQ404" s="22">
        <v>2</v>
      </c>
      <c r="AR404" s="26">
        <f t="shared" si="64"/>
        <v>302</v>
      </c>
      <c r="AS404" s="37">
        <f t="shared" si="82"/>
        <v>1</v>
      </c>
      <c r="AT404" s="38">
        <f t="shared" si="75"/>
        <v>0.72380952380952379</v>
      </c>
      <c r="AU404" s="38">
        <f t="shared" si="83"/>
        <v>0.99342105263157898</v>
      </c>
      <c r="AV404" s="27">
        <f t="shared" si="84"/>
        <v>0.71904761904761905</v>
      </c>
    </row>
    <row r="405" spans="1:48" s="1" customFormat="1" ht="21" customHeight="1" x14ac:dyDescent="0.25">
      <c r="A405" s="109">
        <v>46051</v>
      </c>
      <c r="B405" s="47" t="s">
        <v>49</v>
      </c>
      <c r="C405" s="79" t="s">
        <v>21</v>
      </c>
      <c r="D405" s="47" t="s">
        <v>172</v>
      </c>
      <c r="E405" s="48">
        <v>98992</v>
      </c>
      <c r="F405" s="48" t="s">
        <v>175</v>
      </c>
      <c r="G405" s="48" t="s">
        <v>87</v>
      </c>
      <c r="H405" s="30">
        <v>15618</v>
      </c>
      <c r="I405" s="30"/>
      <c r="J405" s="30">
        <v>20</v>
      </c>
      <c r="K405" s="28">
        <f t="shared" si="78"/>
        <v>180</v>
      </c>
      <c r="L405" s="31">
        <v>0.25</v>
      </c>
      <c r="M405" s="31">
        <v>0.60416666666666696</v>
      </c>
      <c r="N405" s="32">
        <f t="shared" si="74"/>
        <v>0.35416666666666696</v>
      </c>
      <c r="O405" s="36">
        <v>510</v>
      </c>
      <c r="P405" s="36">
        <f t="shared" si="79"/>
        <v>140</v>
      </c>
      <c r="Q405" s="36">
        <f t="shared" si="80"/>
        <v>140</v>
      </c>
      <c r="R405" s="15">
        <v>0</v>
      </c>
      <c r="S405" s="20">
        <v>0</v>
      </c>
      <c r="T405" s="16">
        <v>0</v>
      </c>
      <c r="U405" s="16">
        <v>0</v>
      </c>
      <c r="V405" s="20">
        <v>0</v>
      </c>
      <c r="W405" s="20">
        <v>0</v>
      </c>
      <c r="X405" s="20">
        <v>0</v>
      </c>
      <c r="Y405" s="20">
        <v>0</v>
      </c>
      <c r="Z405" s="20">
        <v>0</v>
      </c>
      <c r="AA405" s="20">
        <v>0</v>
      </c>
      <c r="AB405" s="20">
        <v>0</v>
      </c>
      <c r="AC405" s="20">
        <v>0</v>
      </c>
      <c r="AD405" s="15">
        <f t="shared" si="76"/>
        <v>0</v>
      </c>
      <c r="AE405" s="15">
        <v>0</v>
      </c>
      <c r="AF405" s="15">
        <v>0</v>
      </c>
      <c r="AG405" s="15">
        <v>0</v>
      </c>
      <c r="AH405" s="15">
        <v>300</v>
      </c>
      <c r="AI405" s="15">
        <v>0</v>
      </c>
      <c r="AJ405" s="15">
        <v>30</v>
      </c>
      <c r="AK405" s="15">
        <v>10</v>
      </c>
      <c r="AL405" s="15">
        <v>30</v>
      </c>
      <c r="AM405" s="15">
        <f t="shared" si="77"/>
        <v>370</v>
      </c>
      <c r="AN405" s="29">
        <f t="shared" si="81"/>
        <v>420</v>
      </c>
      <c r="AO405" s="19">
        <v>96</v>
      </c>
      <c r="AP405" s="21">
        <v>0</v>
      </c>
      <c r="AQ405" s="22">
        <v>0</v>
      </c>
      <c r="AR405" s="26">
        <f t="shared" si="64"/>
        <v>96</v>
      </c>
      <c r="AS405" s="37">
        <f t="shared" si="82"/>
        <v>1</v>
      </c>
      <c r="AT405" s="38">
        <f t="shared" si="75"/>
        <v>0.22857142857142856</v>
      </c>
      <c r="AU405" s="38">
        <f t="shared" si="83"/>
        <v>1</v>
      </c>
      <c r="AV405" s="27">
        <f t="shared" si="84"/>
        <v>0.22857142857142856</v>
      </c>
    </row>
    <row r="406" spans="1:48" s="1" customFormat="1" ht="21" customHeight="1" x14ac:dyDescent="0.25">
      <c r="A406" s="109">
        <v>46051</v>
      </c>
      <c r="B406" s="47" t="s">
        <v>49</v>
      </c>
      <c r="C406" s="79" t="s">
        <v>51</v>
      </c>
      <c r="D406" s="47" t="s">
        <v>94</v>
      </c>
      <c r="E406" s="48">
        <v>98992</v>
      </c>
      <c r="F406" s="48" t="s">
        <v>67</v>
      </c>
      <c r="G406" s="48" t="s">
        <v>174</v>
      </c>
      <c r="H406" s="30">
        <v>13562</v>
      </c>
      <c r="I406" s="30"/>
      <c r="J406" s="30">
        <v>24</v>
      </c>
      <c r="K406" s="28">
        <f t="shared" si="78"/>
        <v>150</v>
      </c>
      <c r="L406" s="31">
        <v>0.58333333333333337</v>
      </c>
      <c r="M406" s="31">
        <v>0.9375</v>
      </c>
      <c r="N406" s="32">
        <f t="shared" si="74"/>
        <v>0.35416666666666663</v>
      </c>
      <c r="O406" s="36">
        <v>510</v>
      </c>
      <c r="P406" s="36">
        <f t="shared" si="79"/>
        <v>380</v>
      </c>
      <c r="Q406" s="36">
        <f t="shared" si="80"/>
        <v>380</v>
      </c>
      <c r="R406" s="15">
        <v>0</v>
      </c>
      <c r="S406" s="20">
        <v>0</v>
      </c>
      <c r="T406" s="16">
        <v>0</v>
      </c>
      <c r="U406" s="16">
        <v>0</v>
      </c>
      <c r="V406" s="20">
        <v>0</v>
      </c>
      <c r="W406" s="20">
        <v>0</v>
      </c>
      <c r="X406" s="20">
        <v>0</v>
      </c>
      <c r="Y406" s="20">
        <v>0</v>
      </c>
      <c r="Z406" s="20">
        <v>0</v>
      </c>
      <c r="AA406" s="20">
        <v>0</v>
      </c>
      <c r="AB406" s="20">
        <v>0</v>
      </c>
      <c r="AC406" s="20">
        <v>0</v>
      </c>
      <c r="AD406" s="15">
        <f t="shared" si="76"/>
        <v>0</v>
      </c>
      <c r="AE406" s="15">
        <v>0</v>
      </c>
      <c r="AF406" s="15">
        <v>0</v>
      </c>
      <c r="AG406" s="15">
        <v>0</v>
      </c>
      <c r="AH406" s="15">
        <v>60</v>
      </c>
      <c r="AI406" s="15">
        <v>0</v>
      </c>
      <c r="AJ406" s="15">
        <v>30</v>
      </c>
      <c r="AK406" s="15">
        <v>10</v>
      </c>
      <c r="AL406" s="15">
        <v>30</v>
      </c>
      <c r="AM406" s="15">
        <f t="shared" si="77"/>
        <v>130</v>
      </c>
      <c r="AN406" s="29">
        <f t="shared" si="81"/>
        <v>950</v>
      </c>
      <c r="AO406" s="19">
        <v>848</v>
      </c>
      <c r="AP406" s="21">
        <v>0</v>
      </c>
      <c r="AQ406" s="22">
        <v>32</v>
      </c>
      <c r="AR406" s="26">
        <f t="shared" si="64"/>
        <v>816</v>
      </c>
      <c r="AS406" s="37">
        <f t="shared" si="82"/>
        <v>1</v>
      </c>
      <c r="AT406" s="38">
        <f t="shared" si="75"/>
        <v>0.89263157894736844</v>
      </c>
      <c r="AU406" s="38">
        <f t="shared" si="83"/>
        <v>0.96226415094339623</v>
      </c>
      <c r="AV406" s="27">
        <f t="shared" si="84"/>
        <v>0.85894736842105268</v>
      </c>
    </row>
    <row r="407" spans="1:48" s="1" customFormat="1" ht="21" customHeight="1" x14ac:dyDescent="0.25">
      <c r="A407" s="109">
        <v>46051</v>
      </c>
      <c r="B407" s="47" t="s">
        <v>49</v>
      </c>
      <c r="C407" s="79" t="s">
        <v>51</v>
      </c>
      <c r="D407" s="47" t="s">
        <v>88</v>
      </c>
      <c r="E407" s="48">
        <v>98992</v>
      </c>
      <c r="F407" s="48" t="s">
        <v>126</v>
      </c>
      <c r="G407" s="48" t="s">
        <v>87</v>
      </c>
      <c r="H407" s="30">
        <v>15036</v>
      </c>
      <c r="I407" s="30"/>
      <c r="J407" s="30">
        <v>32</v>
      </c>
      <c r="K407" s="28">
        <f t="shared" si="78"/>
        <v>112.5</v>
      </c>
      <c r="L407" s="31">
        <v>0.58333333333333337</v>
      </c>
      <c r="M407" s="31">
        <v>0.9375</v>
      </c>
      <c r="N407" s="32">
        <f t="shared" si="74"/>
        <v>0.35416666666666663</v>
      </c>
      <c r="O407" s="36">
        <v>510</v>
      </c>
      <c r="P407" s="36">
        <f t="shared" si="79"/>
        <v>380</v>
      </c>
      <c r="Q407" s="36">
        <f t="shared" si="80"/>
        <v>380</v>
      </c>
      <c r="R407" s="15">
        <v>0</v>
      </c>
      <c r="S407" s="20">
        <v>0</v>
      </c>
      <c r="T407" s="16">
        <v>0</v>
      </c>
      <c r="U407" s="16">
        <v>0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15">
        <f t="shared" ref="AD407:AD418" si="85">SUM(R407:AC407)</f>
        <v>0</v>
      </c>
      <c r="AE407" s="15">
        <v>0</v>
      </c>
      <c r="AF407" s="15">
        <v>0</v>
      </c>
      <c r="AG407" s="15">
        <v>0</v>
      </c>
      <c r="AH407" s="15">
        <v>60</v>
      </c>
      <c r="AI407" s="15">
        <v>0</v>
      </c>
      <c r="AJ407" s="15">
        <v>30</v>
      </c>
      <c r="AK407" s="15">
        <v>10</v>
      </c>
      <c r="AL407" s="15">
        <v>30</v>
      </c>
      <c r="AM407" s="15">
        <f t="shared" ref="AM407:AM418" si="86">SUM(AE407:AL407)</f>
        <v>130</v>
      </c>
      <c r="AN407" s="29">
        <f t="shared" si="81"/>
        <v>712.5</v>
      </c>
      <c r="AO407" s="19">
        <v>630</v>
      </c>
      <c r="AP407" s="21">
        <v>0</v>
      </c>
      <c r="AQ407" s="22">
        <v>5</v>
      </c>
      <c r="AR407" s="26">
        <f t="shared" si="64"/>
        <v>625</v>
      </c>
      <c r="AS407" s="37">
        <f t="shared" si="82"/>
        <v>1</v>
      </c>
      <c r="AT407" s="38">
        <f t="shared" si="75"/>
        <v>0.88421052631578945</v>
      </c>
      <c r="AU407" s="38">
        <f t="shared" si="83"/>
        <v>0.99206349206349209</v>
      </c>
      <c r="AV407" s="27">
        <f t="shared" si="84"/>
        <v>0.8771929824561403</v>
      </c>
    </row>
    <row r="408" spans="1:48" s="1" customFormat="1" ht="21" customHeight="1" x14ac:dyDescent="0.25">
      <c r="A408" s="109">
        <v>46051</v>
      </c>
      <c r="B408" s="47" t="s">
        <v>49</v>
      </c>
      <c r="C408" s="79" t="s">
        <v>51</v>
      </c>
      <c r="D408" s="47" t="s">
        <v>89</v>
      </c>
      <c r="E408" s="48">
        <v>98992</v>
      </c>
      <c r="F408" s="48" t="s">
        <v>169</v>
      </c>
      <c r="G408" s="48" t="s">
        <v>87</v>
      </c>
      <c r="H408" s="30">
        <v>15589</v>
      </c>
      <c r="I408" s="30"/>
      <c r="J408" s="30">
        <v>32</v>
      </c>
      <c r="K408" s="28">
        <f t="shared" si="78"/>
        <v>112.5</v>
      </c>
      <c r="L408" s="31">
        <v>0.58333333333333337</v>
      </c>
      <c r="M408" s="31">
        <v>0.9375</v>
      </c>
      <c r="N408" s="32">
        <f t="shared" si="74"/>
        <v>0.35416666666666663</v>
      </c>
      <c r="O408" s="36">
        <v>510</v>
      </c>
      <c r="P408" s="36">
        <f t="shared" si="79"/>
        <v>380</v>
      </c>
      <c r="Q408" s="36">
        <f t="shared" si="80"/>
        <v>380</v>
      </c>
      <c r="R408" s="15">
        <v>0</v>
      </c>
      <c r="S408" s="20">
        <v>0</v>
      </c>
      <c r="T408" s="16">
        <v>0</v>
      </c>
      <c r="U408" s="16">
        <v>0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15">
        <f t="shared" si="85"/>
        <v>0</v>
      </c>
      <c r="AE408" s="15">
        <v>0</v>
      </c>
      <c r="AF408" s="15">
        <v>0</v>
      </c>
      <c r="AG408" s="15">
        <v>0</v>
      </c>
      <c r="AH408" s="15">
        <v>60</v>
      </c>
      <c r="AI408" s="15">
        <v>0</v>
      </c>
      <c r="AJ408" s="15">
        <v>30</v>
      </c>
      <c r="AK408" s="15">
        <v>10</v>
      </c>
      <c r="AL408" s="15">
        <v>30</v>
      </c>
      <c r="AM408" s="15">
        <f t="shared" si="86"/>
        <v>130</v>
      </c>
      <c r="AN408" s="29">
        <f t="shared" si="81"/>
        <v>712.5</v>
      </c>
      <c r="AO408" s="19">
        <v>621</v>
      </c>
      <c r="AP408" s="21">
        <v>0</v>
      </c>
      <c r="AQ408" s="22">
        <v>4</v>
      </c>
      <c r="AR408" s="26">
        <f t="shared" si="64"/>
        <v>617</v>
      </c>
      <c r="AS408" s="37">
        <f t="shared" si="82"/>
        <v>1</v>
      </c>
      <c r="AT408" s="38">
        <f t="shared" si="75"/>
        <v>0.87157894736842101</v>
      </c>
      <c r="AU408" s="38">
        <f t="shared" si="83"/>
        <v>0.99355877616747179</v>
      </c>
      <c r="AV408" s="27">
        <f t="shared" si="84"/>
        <v>0.86596491228070172</v>
      </c>
    </row>
    <row r="409" spans="1:48" s="1" customFormat="1" ht="21" customHeight="1" x14ac:dyDescent="0.25">
      <c r="A409" s="109">
        <v>46051</v>
      </c>
      <c r="B409" s="47" t="s">
        <v>49</v>
      </c>
      <c r="C409" s="79" t="s">
        <v>51</v>
      </c>
      <c r="D409" s="47" t="s">
        <v>52</v>
      </c>
      <c r="E409" s="48">
        <v>98992</v>
      </c>
      <c r="F409" s="48" t="s">
        <v>53</v>
      </c>
      <c r="G409" s="48" t="s">
        <v>87</v>
      </c>
      <c r="H409" s="30">
        <v>1600</v>
      </c>
      <c r="I409" s="30"/>
      <c r="J409" s="30">
        <v>32</v>
      </c>
      <c r="K409" s="28">
        <f t="shared" si="78"/>
        <v>112.5</v>
      </c>
      <c r="L409" s="31">
        <v>0.58333333333333337</v>
      </c>
      <c r="M409" s="31">
        <v>0.9375</v>
      </c>
      <c r="N409" s="32">
        <f t="shared" si="74"/>
        <v>0.35416666666666663</v>
      </c>
      <c r="O409" s="36">
        <v>510</v>
      </c>
      <c r="P409" s="36">
        <f t="shared" si="79"/>
        <v>380</v>
      </c>
      <c r="Q409" s="36">
        <f t="shared" si="80"/>
        <v>380</v>
      </c>
      <c r="R409" s="15">
        <v>0</v>
      </c>
      <c r="S409" s="20">
        <v>0</v>
      </c>
      <c r="T409" s="16">
        <v>0</v>
      </c>
      <c r="U409" s="16">
        <v>0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15">
        <f t="shared" si="85"/>
        <v>0</v>
      </c>
      <c r="AE409" s="15">
        <v>0</v>
      </c>
      <c r="AF409" s="15">
        <v>0</v>
      </c>
      <c r="AG409" s="15">
        <v>0</v>
      </c>
      <c r="AH409" s="15">
        <v>60</v>
      </c>
      <c r="AI409" s="15">
        <v>0</v>
      </c>
      <c r="AJ409" s="15">
        <v>30</v>
      </c>
      <c r="AK409" s="15">
        <v>10</v>
      </c>
      <c r="AL409" s="15">
        <v>30</v>
      </c>
      <c r="AM409" s="15">
        <f t="shared" si="86"/>
        <v>130</v>
      </c>
      <c r="AN409" s="29">
        <v>1440</v>
      </c>
      <c r="AO409" s="19">
        <f>650+701</f>
        <v>1351</v>
      </c>
      <c r="AP409" s="21">
        <v>0</v>
      </c>
      <c r="AQ409" s="22">
        <v>3</v>
      </c>
      <c r="AR409" s="26">
        <f t="shared" si="64"/>
        <v>1348</v>
      </c>
      <c r="AS409" s="37">
        <f t="shared" si="82"/>
        <v>1</v>
      </c>
      <c r="AT409" s="38">
        <f t="shared" si="75"/>
        <v>0.93819444444444444</v>
      </c>
      <c r="AU409" s="38">
        <f t="shared" si="83"/>
        <v>0.99777942264988895</v>
      </c>
      <c r="AV409" s="27">
        <f t="shared" si="84"/>
        <v>0.93611111111111112</v>
      </c>
    </row>
    <row r="410" spans="1:48" s="1" customFormat="1" ht="21" customHeight="1" x14ac:dyDescent="0.25">
      <c r="A410" s="109">
        <v>46051</v>
      </c>
      <c r="B410" s="47" t="s">
        <v>49</v>
      </c>
      <c r="C410" s="79" t="s">
        <v>51</v>
      </c>
      <c r="D410" s="47" t="s">
        <v>86</v>
      </c>
      <c r="E410" s="48">
        <v>98992</v>
      </c>
      <c r="F410" s="48" t="s">
        <v>176</v>
      </c>
      <c r="G410" s="48" t="s">
        <v>87</v>
      </c>
      <c r="H410" s="30">
        <v>15688</v>
      </c>
      <c r="I410" s="30"/>
      <c r="J410" s="30">
        <v>20</v>
      </c>
      <c r="K410" s="28">
        <f t="shared" si="78"/>
        <v>180</v>
      </c>
      <c r="L410" s="31">
        <v>0.58333333333333337</v>
      </c>
      <c r="M410" s="31">
        <v>0.9375</v>
      </c>
      <c r="N410" s="32">
        <f t="shared" si="74"/>
        <v>0.35416666666666663</v>
      </c>
      <c r="O410" s="36">
        <v>510</v>
      </c>
      <c r="P410" s="36">
        <f t="shared" si="79"/>
        <v>380</v>
      </c>
      <c r="Q410" s="36">
        <f t="shared" si="80"/>
        <v>380</v>
      </c>
      <c r="R410" s="15">
        <v>0</v>
      </c>
      <c r="S410" s="20">
        <v>0</v>
      </c>
      <c r="T410" s="16">
        <v>0</v>
      </c>
      <c r="U410" s="16">
        <v>0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15">
        <f t="shared" si="85"/>
        <v>0</v>
      </c>
      <c r="AE410" s="15">
        <v>0</v>
      </c>
      <c r="AF410" s="15">
        <v>0</v>
      </c>
      <c r="AG410" s="15">
        <v>0</v>
      </c>
      <c r="AH410" s="15">
        <v>60</v>
      </c>
      <c r="AI410" s="15">
        <v>0</v>
      </c>
      <c r="AJ410" s="15">
        <v>30</v>
      </c>
      <c r="AK410" s="15">
        <v>10</v>
      </c>
      <c r="AL410" s="15">
        <v>30</v>
      </c>
      <c r="AM410" s="15">
        <f t="shared" si="86"/>
        <v>130</v>
      </c>
      <c r="AN410" s="29">
        <v>2000</v>
      </c>
      <c r="AO410" s="19">
        <f>924+700</f>
        <v>1624</v>
      </c>
      <c r="AP410" s="21">
        <v>0</v>
      </c>
      <c r="AQ410" s="22">
        <v>1</v>
      </c>
      <c r="AR410" s="26">
        <f t="shared" si="64"/>
        <v>1623</v>
      </c>
      <c r="AS410" s="37">
        <f t="shared" si="82"/>
        <v>1</v>
      </c>
      <c r="AT410" s="38">
        <f t="shared" si="75"/>
        <v>0.81200000000000006</v>
      </c>
      <c r="AU410" s="38">
        <f t="shared" si="83"/>
        <v>0.99938423645320196</v>
      </c>
      <c r="AV410" s="27">
        <f t="shared" si="84"/>
        <v>0.8115</v>
      </c>
    </row>
    <row r="411" spans="1:48" s="1" customFormat="1" ht="21" customHeight="1" x14ac:dyDescent="0.25">
      <c r="A411" s="109">
        <v>46051</v>
      </c>
      <c r="B411" s="47" t="s">
        <v>49</v>
      </c>
      <c r="C411" s="79" t="s">
        <v>51</v>
      </c>
      <c r="D411" s="47" t="s">
        <v>172</v>
      </c>
      <c r="E411" s="48">
        <v>98992</v>
      </c>
      <c r="F411" s="48" t="s">
        <v>175</v>
      </c>
      <c r="G411" s="48" t="s">
        <v>87</v>
      </c>
      <c r="H411" s="30">
        <v>15773</v>
      </c>
      <c r="I411" s="30"/>
      <c r="J411" s="30">
        <v>20</v>
      </c>
      <c r="K411" s="28">
        <f t="shared" si="78"/>
        <v>180</v>
      </c>
      <c r="L411" s="31">
        <v>0.58333333333333337</v>
      </c>
      <c r="M411" s="31">
        <v>0.9375</v>
      </c>
      <c r="N411" s="32">
        <f t="shared" si="74"/>
        <v>0.35416666666666663</v>
      </c>
      <c r="O411" s="36">
        <v>510</v>
      </c>
      <c r="P411" s="36">
        <f t="shared" si="79"/>
        <v>440</v>
      </c>
      <c r="Q411" s="36">
        <f t="shared" si="80"/>
        <v>440</v>
      </c>
      <c r="R411" s="15">
        <v>0</v>
      </c>
      <c r="S411" s="20">
        <v>0</v>
      </c>
      <c r="T411" s="16">
        <v>0</v>
      </c>
      <c r="U411" s="16">
        <v>0</v>
      </c>
      <c r="V411" s="20">
        <v>0</v>
      </c>
      <c r="W411" s="20">
        <v>0</v>
      </c>
      <c r="X411" s="20">
        <v>0</v>
      </c>
      <c r="Y411" s="20">
        <v>0</v>
      </c>
      <c r="Z411" s="20">
        <v>0</v>
      </c>
      <c r="AA411" s="20">
        <v>0</v>
      </c>
      <c r="AB411" s="20">
        <v>0</v>
      </c>
      <c r="AC411" s="20">
        <v>0</v>
      </c>
      <c r="AD411" s="15">
        <f t="shared" si="85"/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  <c r="AJ411" s="15">
        <v>30</v>
      </c>
      <c r="AK411" s="15">
        <v>10</v>
      </c>
      <c r="AL411" s="15">
        <v>30</v>
      </c>
      <c r="AM411" s="15">
        <f t="shared" si="86"/>
        <v>70</v>
      </c>
      <c r="AN411" s="29">
        <v>2000</v>
      </c>
      <c r="AO411" s="19">
        <f>610+1236</f>
        <v>1846</v>
      </c>
      <c r="AP411" s="21">
        <v>0</v>
      </c>
      <c r="AQ411" s="22">
        <v>1</v>
      </c>
      <c r="AR411" s="26">
        <f t="shared" si="64"/>
        <v>1845</v>
      </c>
      <c r="AS411" s="37">
        <f t="shared" si="82"/>
        <v>1</v>
      </c>
      <c r="AT411" s="38">
        <f t="shared" si="75"/>
        <v>0.92300000000000004</v>
      </c>
      <c r="AU411" s="38">
        <f t="shared" si="83"/>
        <v>0.99945828819068261</v>
      </c>
      <c r="AV411" s="27">
        <f t="shared" si="84"/>
        <v>0.9225000000000001</v>
      </c>
    </row>
    <row r="412" spans="1:48" s="1" customFormat="1" ht="21" customHeight="1" x14ac:dyDescent="0.25">
      <c r="A412" s="109">
        <v>46052</v>
      </c>
      <c r="B412" s="47" t="s">
        <v>49</v>
      </c>
      <c r="C412" s="79" t="s">
        <v>21</v>
      </c>
      <c r="D412" s="47" t="s">
        <v>94</v>
      </c>
      <c r="E412" s="48">
        <v>98992</v>
      </c>
      <c r="F412" s="48" t="s">
        <v>67</v>
      </c>
      <c r="G412" s="48" t="s">
        <v>174</v>
      </c>
      <c r="H412" s="30">
        <v>13105</v>
      </c>
      <c r="I412" s="30"/>
      <c r="J412" s="30">
        <v>24</v>
      </c>
      <c r="K412" s="28">
        <f t="shared" si="78"/>
        <v>150</v>
      </c>
      <c r="L412" s="31">
        <v>0.25</v>
      </c>
      <c r="M412" s="31">
        <v>0.60416666666666696</v>
      </c>
      <c r="N412" s="32">
        <f t="shared" si="74"/>
        <v>0.35416666666666696</v>
      </c>
      <c r="O412" s="36">
        <v>510</v>
      </c>
      <c r="P412" s="36">
        <f t="shared" si="79"/>
        <v>320</v>
      </c>
      <c r="Q412" s="36">
        <f t="shared" si="80"/>
        <v>320</v>
      </c>
      <c r="R412" s="15">
        <v>0</v>
      </c>
      <c r="S412" s="20">
        <v>0</v>
      </c>
      <c r="T412" s="16">
        <v>0</v>
      </c>
      <c r="U412" s="16">
        <v>0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15">
        <f t="shared" si="85"/>
        <v>0</v>
      </c>
      <c r="AE412" s="15">
        <v>0</v>
      </c>
      <c r="AF412" s="15">
        <v>0</v>
      </c>
      <c r="AG412" s="15">
        <v>0</v>
      </c>
      <c r="AH412" s="15">
        <v>120</v>
      </c>
      <c r="AI412" s="15">
        <v>0</v>
      </c>
      <c r="AJ412" s="15">
        <v>30</v>
      </c>
      <c r="AK412" s="15">
        <v>10</v>
      </c>
      <c r="AL412" s="15">
        <v>30</v>
      </c>
      <c r="AM412" s="15">
        <f t="shared" si="86"/>
        <v>190</v>
      </c>
      <c r="AN412" s="29">
        <f t="shared" ref="AN412:AN436" si="87">Q412*(K412/60)</f>
        <v>800</v>
      </c>
      <c r="AO412" s="19">
        <v>770</v>
      </c>
      <c r="AP412" s="21">
        <v>0</v>
      </c>
      <c r="AQ412" s="22">
        <v>8</v>
      </c>
      <c r="AR412" s="26">
        <f t="shared" si="64"/>
        <v>762</v>
      </c>
      <c r="AS412" s="37">
        <f t="shared" si="82"/>
        <v>1</v>
      </c>
      <c r="AT412" s="38">
        <f t="shared" si="75"/>
        <v>0.96250000000000002</v>
      </c>
      <c r="AU412" s="38">
        <f t="shared" si="83"/>
        <v>0.98961038961038961</v>
      </c>
      <c r="AV412" s="27">
        <f t="shared" si="84"/>
        <v>0.95250000000000001</v>
      </c>
    </row>
    <row r="413" spans="1:48" s="1" customFormat="1" ht="21" customHeight="1" x14ac:dyDescent="0.25">
      <c r="A413" s="109">
        <v>46052</v>
      </c>
      <c r="B413" s="47" t="s">
        <v>49</v>
      </c>
      <c r="C413" s="79" t="s">
        <v>21</v>
      </c>
      <c r="D413" s="47" t="s">
        <v>88</v>
      </c>
      <c r="E413" s="48">
        <v>98992</v>
      </c>
      <c r="F413" s="48" t="s">
        <v>126</v>
      </c>
      <c r="G413" s="48" t="s">
        <v>87</v>
      </c>
      <c r="H413" s="30">
        <v>13106</v>
      </c>
      <c r="I413" s="30"/>
      <c r="J413" s="30">
        <v>32</v>
      </c>
      <c r="K413" s="28">
        <f t="shared" si="78"/>
        <v>112.5</v>
      </c>
      <c r="L413" s="31">
        <v>0.25</v>
      </c>
      <c r="M413" s="31">
        <v>0.60416666666666696</v>
      </c>
      <c r="N413" s="32">
        <f t="shared" si="74"/>
        <v>0.35416666666666696</v>
      </c>
      <c r="O413" s="36">
        <v>510</v>
      </c>
      <c r="P413" s="36">
        <f t="shared" si="79"/>
        <v>420</v>
      </c>
      <c r="Q413" s="36">
        <f t="shared" si="80"/>
        <v>420</v>
      </c>
      <c r="R413" s="15">
        <v>0</v>
      </c>
      <c r="S413" s="20">
        <v>0</v>
      </c>
      <c r="T413" s="16">
        <v>0</v>
      </c>
      <c r="U413" s="16">
        <v>0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15">
        <f t="shared" si="85"/>
        <v>0</v>
      </c>
      <c r="AE413" s="15">
        <v>0</v>
      </c>
      <c r="AF413" s="15">
        <v>0</v>
      </c>
      <c r="AG413" s="15">
        <v>0</v>
      </c>
      <c r="AH413" s="15">
        <v>60</v>
      </c>
      <c r="AI413" s="15">
        <v>0</v>
      </c>
      <c r="AJ413" s="15">
        <v>20</v>
      </c>
      <c r="AK413" s="15">
        <v>10</v>
      </c>
      <c r="AL413" s="15">
        <v>0</v>
      </c>
      <c r="AM413" s="15">
        <f t="shared" si="86"/>
        <v>90</v>
      </c>
      <c r="AN413" s="29">
        <f t="shared" si="87"/>
        <v>787.5</v>
      </c>
      <c r="AO413" s="19">
        <f>450+252</f>
        <v>702</v>
      </c>
      <c r="AP413" s="21">
        <v>0</v>
      </c>
      <c r="AQ413" s="22">
        <v>4</v>
      </c>
      <c r="AR413" s="26">
        <f t="shared" si="64"/>
        <v>698</v>
      </c>
      <c r="AS413" s="37">
        <f t="shared" si="82"/>
        <v>1</v>
      </c>
      <c r="AT413" s="38">
        <f t="shared" si="75"/>
        <v>0.89142857142857146</v>
      </c>
      <c r="AU413" s="38">
        <f t="shared" si="83"/>
        <v>0.99430199430199429</v>
      </c>
      <c r="AV413" s="27">
        <f t="shared" si="84"/>
        <v>0.88634920634920633</v>
      </c>
    </row>
    <row r="414" spans="1:48" s="1" customFormat="1" ht="21" customHeight="1" x14ac:dyDescent="0.25">
      <c r="A414" s="109">
        <v>46052</v>
      </c>
      <c r="B414" s="47" t="s">
        <v>49</v>
      </c>
      <c r="C414" s="79" t="s">
        <v>21</v>
      </c>
      <c r="D414" s="47" t="s">
        <v>89</v>
      </c>
      <c r="E414" s="48">
        <v>98992</v>
      </c>
      <c r="F414" s="48" t="s">
        <v>169</v>
      </c>
      <c r="G414" s="48" t="s">
        <v>87</v>
      </c>
      <c r="H414" s="30">
        <v>16219</v>
      </c>
      <c r="I414" s="30"/>
      <c r="J414" s="30">
        <v>32</v>
      </c>
      <c r="K414" s="28">
        <f t="shared" si="78"/>
        <v>112.5</v>
      </c>
      <c r="L414" s="31">
        <v>0.25</v>
      </c>
      <c r="M414" s="31">
        <v>0.60416666666666696</v>
      </c>
      <c r="N414" s="32">
        <f t="shared" si="74"/>
        <v>0.35416666666666696</v>
      </c>
      <c r="O414" s="36">
        <v>510</v>
      </c>
      <c r="P414" s="36">
        <f t="shared" si="79"/>
        <v>440</v>
      </c>
      <c r="Q414" s="36">
        <f t="shared" si="80"/>
        <v>440</v>
      </c>
      <c r="R414" s="15">
        <v>0</v>
      </c>
      <c r="S414" s="20">
        <v>0</v>
      </c>
      <c r="T414" s="16">
        <v>0</v>
      </c>
      <c r="U414" s="16">
        <v>0</v>
      </c>
      <c r="V414" s="20">
        <v>0</v>
      </c>
      <c r="W414" s="20">
        <v>0</v>
      </c>
      <c r="X414" s="20">
        <v>0</v>
      </c>
      <c r="Y414" s="20">
        <v>0</v>
      </c>
      <c r="Z414" s="20">
        <v>0</v>
      </c>
      <c r="AA414" s="20">
        <v>0</v>
      </c>
      <c r="AB414" s="20">
        <v>0</v>
      </c>
      <c r="AC414" s="20">
        <v>0</v>
      </c>
      <c r="AD414" s="15">
        <f t="shared" si="85"/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  <c r="AJ414" s="15">
        <v>30</v>
      </c>
      <c r="AK414" s="15">
        <v>10</v>
      </c>
      <c r="AL414" s="15">
        <v>30</v>
      </c>
      <c r="AM414" s="15">
        <f t="shared" si="86"/>
        <v>70</v>
      </c>
      <c r="AN414" s="29">
        <f t="shared" si="87"/>
        <v>825</v>
      </c>
      <c r="AO414" s="19">
        <v>662</v>
      </c>
      <c r="AP414" s="21">
        <v>0</v>
      </c>
      <c r="AQ414" s="22">
        <v>5</v>
      </c>
      <c r="AR414" s="26">
        <f t="shared" si="64"/>
        <v>657</v>
      </c>
      <c r="AS414" s="37">
        <f t="shared" si="82"/>
        <v>1</v>
      </c>
      <c r="AT414" s="38">
        <f t="shared" si="75"/>
        <v>0.80242424242424237</v>
      </c>
      <c r="AU414" s="38">
        <f t="shared" si="83"/>
        <v>0.99244712990936557</v>
      </c>
      <c r="AV414" s="27">
        <f t="shared" si="84"/>
        <v>0.79636363636363627</v>
      </c>
    </row>
    <row r="415" spans="1:48" s="1" customFormat="1" ht="21" customHeight="1" x14ac:dyDescent="0.25">
      <c r="A415" s="109">
        <v>46052</v>
      </c>
      <c r="B415" s="47" t="s">
        <v>49</v>
      </c>
      <c r="C415" s="79" t="s">
        <v>21</v>
      </c>
      <c r="D415" s="47" t="s">
        <v>52</v>
      </c>
      <c r="E415" s="48">
        <v>98992</v>
      </c>
      <c r="F415" s="48" t="s">
        <v>53</v>
      </c>
      <c r="G415" s="48" t="s">
        <v>87</v>
      </c>
      <c r="H415" s="30">
        <v>15618</v>
      </c>
      <c r="I415" s="30"/>
      <c r="J415" s="30">
        <v>32</v>
      </c>
      <c r="K415" s="28">
        <f t="shared" si="78"/>
        <v>112.5</v>
      </c>
      <c r="L415" s="31">
        <v>0.25</v>
      </c>
      <c r="M415" s="31">
        <v>0.60416666666666696</v>
      </c>
      <c r="N415" s="32">
        <f t="shared" si="74"/>
        <v>0.35416666666666696</v>
      </c>
      <c r="O415" s="36">
        <v>510</v>
      </c>
      <c r="P415" s="36">
        <f t="shared" si="79"/>
        <v>440</v>
      </c>
      <c r="Q415" s="36">
        <f t="shared" si="80"/>
        <v>440</v>
      </c>
      <c r="R415" s="15">
        <v>0</v>
      </c>
      <c r="S415" s="20">
        <v>0</v>
      </c>
      <c r="T415" s="16">
        <v>0</v>
      </c>
      <c r="U415" s="16">
        <v>0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15">
        <f t="shared" si="85"/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30</v>
      </c>
      <c r="AK415" s="15">
        <v>10</v>
      </c>
      <c r="AL415" s="15">
        <v>30</v>
      </c>
      <c r="AM415" s="15">
        <f t="shared" si="86"/>
        <v>70</v>
      </c>
      <c r="AN415" s="29">
        <f t="shared" si="87"/>
        <v>825</v>
      </c>
      <c r="AO415" s="19">
        <v>723</v>
      </c>
      <c r="AP415" s="21">
        <v>0</v>
      </c>
      <c r="AQ415" s="22">
        <v>3</v>
      </c>
      <c r="AR415" s="26">
        <f t="shared" si="64"/>
        <v>720</v>
      </c>
      <c r="AS415" s="37">
        <f t="shared" si="82"/>
        <v>1</v>
      </c>
      <c r="AT415" s="38">
        <f t="shared" si="75"/>
        <v>0.87636363636363634</v>
      </c>
      <c r="AU415" s="38">
        <f t="shared" si="83"/>
        <v>0.99585062240663902</v>
      </c>
      <c r="AV415" s="27">
        <f t="shared" si="84"/>
        <v>0.87272727272727268</v>
      </c>
    </row>
    <row r="416" spans="1:48" s="1" customFormat="1" ht="21" customHeight="1" x14ac:dyDescent="0.25">
      <c r="A416" s="109">
        <v>46052</v>
      </c>
      <c r="B416" s="47" t="s">
        <v>49</v>
      </c>
      <c r="C416" s="79" t="s">
        <v>21</v>
      </c>
      <c r="D416" s="47" t="s">
        <v>86</v>
      </c>
      <c r="E416" s="48">
        <v>98992</v>
      </c>
      <c r="F416" s="48" t="s">
        <v>176</v>
      </c>
      <c r="G416" s="48" t="s">
        <v>87</v>
      </c>
      <c r="H416" s="30">
        <v>15859</v>
      </c>
      <c r="I416" s="30"/>
      <c r="J416" s="30">
        <v>20</v>
      </c>
      <c r="K416" s="28">
        <f t="shared" si="78"/>
        <v>180</v>
      </c>
      <c r="L416" s="31">
        <v>0.25</v>
      </c>
      <c r="M416" s="31">
        <v>0.60416666666666696</v>
      </c>
      <c r="N416" s="32">
        <f t="shared" ref="N416:N437" si="88">IF(M416&gt;L416,M416-L416,1+M416-L416)</f>
        <v>0.35416666666666696</v>
      </c>
      <c r="O416" s="36">
        <v>510</v>
      </c>
      <c r="P416" s="36">
        <f t="shared" si="79"/>
        <v>320</v>
      </c>
      <c r="Q416" s="36">
        <f t="shared" si="80"/>
        <v>320</v>
      </c>
      <c r="R416" s="15">
        <v>0</v>
      </c>
      <c r="S416" s="20">
        <v>0</v>
      </c>
      <c r="T416" s="16">
        <v>0</v>
      </c>
      <c r="U416" s="16">
        <v>0</v>
      </c>
      <c r="V416" s="20">
        <v>0</v>
      </c>
      <c r="W416" s="20">
        <v>0</v>
      </c>
      <c r="X416" s="20">
        <v>0</v>
      </c>
      <c r="Y416" s="20">
        <v>0</v>
      </c>
      <c r="Z416" s="20">
        <v>0</v>
      </c>
      <c r="AA416" s="20">
        <v>0</v>
      </c>
      <c r="AB416" s="20">
        <v>0</v>
      </c>
      <c r="AC416" s="20">
        <v>0</v>
      </c>
      <c r="AD416" s="15">
        <f t="shared" si="85"/>
        <v>0</v>
      </c>
      <c r="AE416" s="15">
        <v>0</v>
      </c>
      <c r="AF416" s="15">
        <v>0</v>
      </c>
      <c r="AG416" s="15">
        <v>0</v>
      </c>
      <c r="AH416" s="15">
        <v>120</v>
      </c>
      <c r="AI416" s="15">
        <v>0</v>
      </c>
      <c r="AJ416" s="15">
        <v>30</v>
      </c>
      <c r="AK416" s="15">
        <v>10</v>
      </c>
      <c r="AL416" s="15">
        <v>30</v>
      </c>
      <c r="AM416" s="15">
        <f t="shared" si="86"/>
        <v>190</v>
      </c>
      <c r="AN416" s="29">
        <f t="shared" si="87"/>
        <v>960</v>
      </c>
      <c r="AO416" s="19">
        <v>660</v>
      </c>
      <c r="AP416" s="21">
        <v>0</v>
      </c>
      <c r="AQ416" s="22">
        <v>2</v>
      </c>
      <c r="AR416" s="26">
        <f t="shared" si="64"/>
        <v>658</v>
      </c>
      <c r="AS416" s="37">
        <f t="shared" si="82"/>
        <v>1</v>
      </c>
      <c r="AT416" s="38">
        <f t="shared" si="75"/>
        <v>0.6875</v>
      </c>
      <c r="AU416" s="38">
        <f t="shared" si="83"/>
        <v>0.99696969696969695</v>
      </c>
      <c r="AV416" s="27">
        <f t="shared" si="84"/>
        <v>0.68541666666666667</v>
      </c>
    </row>
    <row r="417" spans="1:48" s="1" customFormat="1" ht="21" customHeight="1" x14ac:dyDescent="0.25">
      <c r="A417" s="109">
        <v>46052</v>
      </c>
      <c r="B417" s="47" t="s">
        <v>49</v>
      </c>
      <c r="C417" s="79" t="s">
        <v>21</v>
      </c>
      <c r="D417" s="47" t="s">
        <v>172</v>
      </c>
      <c r="E417" s="48">
        <v>98992</v>
      </c>
      <c r="F417" s="48" t="s">
        <v>175</v>
      </c>
      <c r="G417" s="48" t="s">
        <v>87</v>
      </c>
      <c r="H417" s="30">
        <v>15882</v>
      </c>
      <c r="I417" s="30"/>
      <c r="J417" s="30">
        <v>20</v>
      </c>
      <c r="K417" s="28">
        <f t="shared" si="78"/>
        <v>180</v>
      </c>
      <c r="L417" s="31">
        <v>0.25</v>
      </c>
      <c r="M417" s="31">
        <v>0.60416666666666696</v>
      </c>
      <c r="N417" s="32">
        <f t="shared" si="88"/>
        <v>0.35416666666666696</v>
      </c>
      <c r="O417" s="36">
        <v>510</v>
      </c>
      <c r="P417" s="36">
        <f t="shared" si="79"/>
        <v>260</v>
      </c>
      <c r="Q417" s="36">
        <f t="shared" si="80"/>
        <v>260</v>
      </c>
      <c r="R417" s="15">
        <v>0</v>
      </c>
      <c r="S417" s="20">
        <v>0</v>
      </c>
      <c r="T417" s="16">
        <v>0</v>
      </c>
      <c r="U417" s="16">
        <v>0</v>
      </c>
      <c r="V417" s="20">
        <v>0</v>
      </c>
      <c r="W417" s="20">
        <v>0</v>
      </c>
      <c r="X417" s="20">
        <v>0</v>
      </c>
      <c r="Y417" s="20">
        <v>0</v>
      </c>
      <c r="Z417" s="20">
        <v>0</v>
      </c>
      <c r="AA417" s="20">
        <v>0</v>
      </c>
      <c r="AB417" s="20">
        <v>0</v>
      </c>
      <c r="AC417" s="20">
        <v>0</v>
      </c>
      <c r="AD417" s="15">
        <f t="shared" si="85"/>
        <v>0</v>
      </c>
      <c r="AE417" s="15">
        <v>0</v>
      </c>
      <c r="AF417" s="15">
        <v>0</v>
      </c>
      <c r="AG417" s="15">
        <v>0</v>
      </c>
      <c r="AH417" s="15">
        <v>180</v>
      </c>
      <c r="AI417" s="15">
        <v>0</v>
      </c>
      <c r="AJ417" s="15">
        <v>30</v>
      </c>
      <c r="AK417" s="15">
        <v>10</v>
      </c>
      <c r="AL417" s="15">
        <v>30</v>
      </c>
      <c r="AM417" s="15">
        <f t="shared" si="86"/>
        <v>250</v>
      </c>
      <c r="AN417" s="29">
        <f t="shared" si="87"/>
        <v>780</v>
      </c>
      <c r="AO417" s="19">
        <v>601</v>
      </c>
      <c r="AP417" s="21">
        <v>0</v>
      </c>
      <c r="AQ417" s="22">
        <v>0</v>
      </c>
      <c r="AR417" s="26">
        <f t="shared" si="64"/>
        <v>601</v>
      </c>
      <c r="AS417" s="37">
        <f t="shared" si="82"/>
        <v>1</v>
      </c>
      <c r="AT417" s="38">
        <f t="shared" si="75"/>
        <v>0.77051282051282055</v>
      </c>
      <c r="AU417" s="38">
        <f t="shared" si="83"/>
        <v>1</v>
      </c>
      <c r="AV417" s="27">
        <f t="shared" si="84"/>
        <v>0.77051282051282055</v>
      </c>
    </row>
    <row r="418" spans="1:48" s="1" customFormat="1" ht="21" customHeight="1" x14ac:dyDescent="0.25">
      <c r="A418" s="109">
        <v>46052</v>
      </c>
      <c r="B418" s="47" t="s">
        <v>49</v>
      </c>
      <c r="C418" s="79" t="s">
        <v>21</v>
      </c>
      <c r="D418" s="47" t="s">
        <v>122</v>
      </c>
      <c r="E418" s="48">
        <v>98992</v>
      </c>
      <c r="F418" s="48" t="s">
        <v>169</v>
      </c>
      <c r="G418" s="48" t="s">
        <v>125</v>
      </c>
      <c r="H418" s="30">
        <v>14957</v>
      </c>
      <c r="I418" s="30"/>
      <c r="J418" s="30">
        <v>32</v>
      </c>
      <c r="K418" s="28">
        <f t="shared" si="78"/>
        <v>112.5</v>
      </c>
      <c r="L418" s="31">
        <v>0.25</v>
      </c>
      <c r="M418" s="31">
        <v>0.60416666666666696</v>
      </c>
      <c r="N418" s="32">
        <f t="shared" si="88"/>
        <v>0.35416666666666696</v>
      </c>
      <c r="O418" s="36">
        <v>510</v>
      </c>
      <c r="P418" s="36">
        <f t="shared" si="79"/>
        <v>260</v>
      </c>
      <c r="Q418" s="36">
        <f t="shared" si="80"/>
        <v>260</v>
      </c>
      <c r="R418" s="15">
        <v>0</v>
      </c>
      <c r="S418" s="20">
        <v>0</v>
      </c>
      <c r="T418" s="16">
        <v>0</v>
      </c>
      <c r="U418" s="16">
        <v>0</v>
      </c>
      <c r="V418" s="20">
        <v>0</v>
      </c>
      <c r="W418" s="20">
        <v>0</v>
      </c>
      <c r="X418" s="20">
        <v>0</v>
      </c>
      <c r="Y418" s="20">
        <v>0</v>
      </c>
      <c r="Z418" s="20">
        <v>0</v>
      </c>
      <c r="AA418" s="20">
        <v>0</v>
      </c>
      <c r="AB418" s="20">
        <v>0</v>
      </c>
      <c r="AC418" s="20">
        <v>0</v>
      </c>
      <c r="AD418" s="15">
        <f t="shared" si="85"/>
        <v>0</v>
      </c>
      <c r="AE418" s="15">
        <v>0</v>
      </c>
      <c r="AF418" s="15">
        <v>0</v>
      </c>
      <c r="AG418" s="15">
        <v>0</v>
      </c>
      <c r="AH418" s="15">
        <v>180</v>
      </c>
      <c r="AI418" s="15">
        <v>0</v>
      </c>
      <c r="AJ418" s="15">
        <v>30</v>
      </c>
      <c r="AK418" s="15">
        <v>10</v>
      </c>
      <c r="AL418" s="15">
        <v>30</v>
      </c>
      <c r="AM418" s="15">
        <f t="shared" si="86"/>
        <v>250</v>
      </c>
      <c r="AN418" s="29">
        <f t="shared" si="87"/>
        <v>487.5</v>
      </c>
      <c r="AO418" s="19">
        <v>355</v>
      </c>
      <c r="AP418" s="21">
        <v>0</v>
      </c>
      <c r="AQ418" s="22">
        <v>2</v>
      </c>
      <c r="AR418" s="26">
        <f t="shared" si="64"/>
        <v>353</v>
      </c>
      <c r="AS418" s="37">
        <f t="shared" si="82"/>
        <v>1</v>
      </c>
      <c r="AT418" s="38">
        <f t="shared" si="75"/>
        <v>0.72820512820512817</v>
      </c>
      <c r="AU418" s="38">
        <f t="shared" si="83"/>
        <v>0.9943661971830986</v>
      </c>
      <c r="AV418" s="27">
        <f t="shared" si="84"/>
        <v>0.72410256410256413</v>
      </c>
    </row>
    <row r="419" spans="1:48" s="1" customFormat="1" ht="21" customHeight="1" x14ac:dyDescent="0.25">
      <c r="A419" s="109">
        <v>46052</v>
      </c>
      <c r="B419" s="47" t="s">
        <v>49</v>
      </c>
      <c r="C419" s="79" t="s">
        <v>51</v>
      </c>
      <c r="D419" s="47" t="s">
        <v>88</v>
      </c>
      <c r="E419" s="48">
        <v>98992</v>
      </c>
      <c r="F419" s="48" t="s">
        <v>126</v>
      </c>
      <c r="G419" s="48" t="s">
        <v>87</v>
      </c>
      <c r="H419" s="30">
        <v>15688</v>
      </c>
      <c r="I419" s="30"/>
      <c r="J419" s="30">
        <v>32</v>
      </c>
      <c r="K419" s="28">
        <f t="shared" si="78"/>
        <v>112.5</v>
      </c>
      <c r="L419" s="31">
        <v>0.58333333333333337</v>
      </c>
      <c r="M419" s="31">
        <v>0.9375</v>
      </c>
      <c r="N419" s="32">
        <f t="shared" si="88"/>
        <v>0.35416666666666663</v>
      </c>
      <c r="O419" s="36">
        <v>510</v>
      </c>
      <c r="P419" s="36">
        <f t="shared" si="79"/>
        <v>480</v>
      </c>
      <c r="Q419" s="36">
        <f t="shared" si="80"/>
        <v>480</v>
      </c>
      <c r="R419" s="15">
        <v>0</v>
      </c>
      <c r="S419" s="20">
        <v>0</v>
      </c>
      <c r="T419" s="16">
        <v>0</v>
      </c>
      <c r="U419" s="16">
        <v>0</v>
      </c>
      <c r="V419" s="20">
        <v>0</v>
      </c>
      <c r="W419" s="20">
        <v>0</v>
      </c>
      <c r="X419" s="20">
        <v>0</v>
      </c>
      <c r="Y419" s="20">
        <v>0</v>
      </c>
      <c r="Z419" s="20">
        <v>0</v>
      </c>
      <c r="AA419" s="20">
        <v>0</v>
      </c>
      <c r="AB419" s="20">
        <v>0</v>
      </c>
      <c r="AC419" s="20">
        <v>0</v>
      </c>
      <c r="AD419" s="15">
        <f t="shared" ref="AD419:AD422" si="89">SUM(R419:AC419)</f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  <c r="AJ419" s="15">
        <v>20</v>
      </c>
      <c r="AK419" s="15">
        <v>10</v>
      </c>
      <c r="AL419" s="15">
        <v>0</v>
      </c>
      <c r="AM419" s="15">
        <f t="shared" ref="AM419:AM422" si="90">SUM(AE419:AL419)</f>
        <v>30</v>
      </c>
      <c r="AN419" s="29">
        <f t="shared" si="87"/>
        <v>900</v>
      </c>
      <c r="AO419" s="19">
        <v>703</v>
      </c>
      <c r="AP419" s="21">
        <v>0</v>
      </c>
      <c r="AQ419" s="22">
        <v>2</v>
      </c>
      <c r="AR419" s="26">
        <f t="shared" ref="AR419:AR436" si="91">AO419-(AQ419+AP419)</f>
        <v>701</v>
      </c>
      <c r="AS419" s="37">
        <f t="shared" si="82"/>
        <v>1</v>
      </c>
      <c r="AT419" s="38">
        <f t="shared" si="75"/>
        <v>0.78111111111111109</v>
      </c>
      <c r="AU419" s="38">
        <f t="shared" si="83"/>
        <v>0.99715504978662872</v>
      </c>
      <c r="AV419" s="27">
        <f t="shared" si="84"/>
        <v>0.77888888888888885</v>
      </c>
    </row>
    <row r="420" spans="1:48" s="1" customFormat="1" ht="21" customHeight="1" x14ac:dyDescent="0.25">
      <c r="A420" s="109">
        <v>46052</v>
      </c>
      <c r="B420" s="47" t="s">
        <v>49</v>
      </c>
      <c r="C420" s="79" t="s">
        <v>51</v>
      </c>
      <c r="D420" s="47" t="s">
        <v>89</v>
      </c>
      <c r="E420" s="48">
        <v>98992</v>
      </c>
      <c r="F420" s="48" t="s">
        <v>169</v>
      </c>
      <c r="G420" s="48" t="s">
        <v>87</v>
      </c>
      <c r="H420" s="30">
        <v>11682</v>
      </c>
      <c r="I420" s="30"/>
      <c r="J420" s="30">
        <v>32</v>
      </c>
      <c r="K420" s="28">
        <f t="shared" si="78"/>
        <v>112.5</v>
      </c>
      <c r="L420" s="31">
        <v>0.58333333333333337</v>
      </c>
      <c r="M420" s="31">
        <v>0.9375</v>
      </c>
      <c r="N420" s="32">
        <f t="shared" si="88"/>
        <v>0.35416666666666663</v>
      </c>
      <c r="O420" s="36">
        <v>510</v>
      </c>
      <c r="P420" s="36">
        <f t="shared" si="79"/>
        <v>380</v>
      </c>
      <c r="Q420" s="36">
        <f t="shared" si="80"/>
        <v>380</v>
      </c>
      <c r="R420" s="15">
        <v>0</v>
      </c>
      <c r="S420" s="20">
        <v>0</v>
      </c>
      <c r="T420" s="16">
        <v>0</v>
      </c>
      <c r="U420" s="16">
        <v>0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15">
        <f t="shared" si="89"/>
        <v>0</v>
      </c>
      <c r="AE420" s="15">
        <v>0</v>
      </c>
      <c r="AF420" s="15">
        <v>0</v>
      </c>
      <c r="AG420" s="15">
        <v>0</v>
      </c>
      <c r="AH420" s="15">
        <v>60</v>
      </c>
      <c r="AI420" s="15">
        <v>0</v>
      </c>
      <c r="AJ420" s="15">
        <v>30</v>
      </c>
      <c r="AK420" s="15">
        <v>10</v>
      </c>
      <c r="AL420" s="15">
        <v>30</v>
      </c>
      <c r="AM420" s="15">
        <f t="shared" si="90"/>
        <v>130</v>
      </c>
      <c r="AN420" s="29">
        <f t="shared" si="87"/>
        <v>712.5</v>
      </c>
      <c r="AO420" s="19">
        <v>490</v>
      </c>
      <c r="AP420" s="21">
        <v>0</v>
      </c>
      <c r="AQ420" s="22">
        <v>2</v>
      </c>
      <c r="AR420" s="26">
        <f t="shared" si="91"/>
        <v>488</v>
      </c>
      <c r="AS420" s="37">
        <f t="shared" si="82"/>
        <v>1</v>
      </c>
      <c r="AT420" s="38">
        <f t="shared" si="75"/>
        <v>0.68771929824561406</v>
      </c>
      <c r="AU420" s="38">
        <f t="shared" si="83"/>
        <v>0.99591836734693873</v>
      </c>
      <c r="AV420" s="27">
        <f t="shared" si="84"/>
        <v>0.68491228070175436</v>
      </c>
    </row>
    <row r="421" spans="1:48" s="1" customFormat="1" ht="21" customHeight="1" x14ac:dyDescent="0.25">
      <c r="A421" s="109">
        <v>46052</v>
      </c>
      <c r="B421" s="47" t="s">
        <v>49</v>
      </c>
      <c r="C421" s="79" t="s">
        <v>51</v>
      </c>
      <c r="D421" s="47" t="s">
        <v>52</v>
      </c>
      <c r="E421" s="48">
        <v>98992</v>
      </c>
      <c r="F421" s="48" t="s">
        <v>53</v>
      </c>
      <c r="G421" s="48" t="s">
        <v>87</v>
      </c>
      <c r="H421" s="30">
        <v>16000</v>
      </c>
      <c r="I421" s="30"/>
      <c r="J421" s="30">
        <v>32</v>
      </c>
      <c r="K421" s="28">
        <f t="shared" si="78"/>
        <v>112.5</v>
      </c>
      <c r="L421" s="31">
        <v>0.58333333333333337</v>
      </c>
      <c r="M421" s="31">
        <v>0.9375</v>
      </c>
      <c r="N421" s="32">
        <f t="shared" si="88"/>
        <v>0.35416666666666663</v>
      </c>
      <c r="O421" s="36">
        <v>510</v>
      </c>
      <c r="P421" s="36">
        <f t="shared" si="79"/>
        <v>380</v>
      </c>
      <c r="Q421" s="36">
        <f t="shared" si="80"/>
        <v>380</v>
      </c>
      <c r="R421" s="15">
        <v>0</v>
      </c>
      <c r="S421" s="20">
        <v>0</v>
      </c>
      <c r="T421" s="16">
        <v>0</v>
      </c>
      <c r="U421" s="16">
        <v>0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15">
        <f t="shared" si="89"/>
        <v>0</v>
      </c>
      <c r="AE421" s="15">
        <v>0</v>
      </c>
      <c r="AF421" s="15">
        <v>0</v>
      </c>
      <c r="AG421" s="15">
        <v>0</v>
      </c>
      <c r="AH421" s="15">
        <v>60</v>
      </c>
      <c r="AI421" s="15">
        <v>0</v>
      </c>
      <c r="AJ421" s="15">
        <v>30</v>
      </c>
      <c r="AK421" s="15">
        <v>10</v>
      </c>
      <c r="AL421" s="15">
        <v>30</v>
      </c>
      <c r="AM421" s="15">
        <f t="shared" si="90"/>
        <v>130</v>
      </c>
      <c r="AN421" s="29">
        <f t="shared" si="87"/>
        <v>712.5</v>
      </c>
      <c r="AO421" s="19">
        <v>672</v>
      </c>
      <c r="AP421" s="21">
        <v>0</v>
      </c>
      <c r="AQ421" s="22">
        <v>1</v>
      </c>
      <c r="AR421" s="26">
        <f t="shared" si="91"/>
        <v>671</v>
      </c>
      <c r="AS421" s="37">
        <f t="shared" si="82"/>
        <v>1</v>
      </c>
      <c r="AT421" s="38">
        <f t="shared" ref="AT421:AT436" si="92">AO421/AN421</f>
        <v>0.94315789473684208</v>
      </c>
      <c r="AU421" s="38">
        <f t="shared" si="83"/>
        <v>0.99851190476190477</v>
      </c>
      <c r="AV421" s="27">
        <f t="shared" si="84"/>
        <v>0.94175438596491223</v>
      </c>
    </row>
    <row r="422" spans="1:48" s="1" customFormat="1" ht="21" customHeight="1" x14ac:dyDescent="0.25">
      <c r="A422" s="109">
        <v>46052</v>
      </c>
      <c r="B422" s="47" t="s">
        <v>49</v>
      </c>
      <c r="C422" s="79" t="s">
        <v>51</v>
      </c>
      <c r="D422" s="47" t="s">
        <v>86</v>
      </c>
      <c r="E422" s="48">
        <v>98992</v>
      </c>
      <c r="F422" s="48" t="s">
        <v>176</v>
      </c>
      <c r="G422" s="48" t="s">
        <v>87</v>
      </c>
      <c r="H422" s="30">
        <v>15859</v>
      </c>
      <c r="I422" s="30"/>
      <c r="J422" s="30">
        <v>20</v>
      </c>
      <c r="K422" s="28">
        <f t="shared" si="78"/>
        <v>180</v>
      </c>
      <c r="L422" s="31">
        <v>0.58333333333333337</v>
      </c>
      <c r="M422" s="31">
        <v>0.9375</v>
      </c>
      <c r="N422" s="32">
        <f t="shared" si="88"/>
        <v>0.35416666666666663</v>
      </c>
      <c r="O422" s="36">
        <v>510</v>
      </c>
      <c r="P422" s="36">
        <f t="shared" si="79"/>
        <v>380</v>
      </c>
      <c r="Q422" s="36">
        <f t="shared" si="80"/>
        <v>380</v>
      </c>
      <c r="R422" s="15">
        <v>0</v>
      </c>
      <c r="S422" s="20">
        <v>0</v>
      </c>
      <c r="T422" s="16">
        <v>0</v>
      </c>
      <c r="U422" s="16">
        <v>0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15">
        <f t="shared" si="89"/>
        <v>0</v>
      </c>
      <c r="AE422" s="15">
        <v>0</v>
      </c>
      <c r="AF422" s="15">
        <v>0</v>
      </c>
      <c r="AG422" s="15">
        <v>0</v>
      </c>
      <c r="AH422" s="15">
        <v>60</v>
      </c>
      <c r="AI422" s="15">
        <v>0</v>
      </c>
      <c r="AJ422" s="15">
        <v>30</v>
      </c>
      <c r="AK422" s="15">
        <v>10</v>
      </c>
      <c r="AL422" s="15">
        <v>30</v>
      </c>
      <c r="AM422" s="15">
        <f t="shared" si="90"/>
        <v>130</v>
      </c>
      <c r="AN422" s="29">
        <f t="shared" si="87"/>
        <v>1140</v>
      </c>
      <c r="AO422" s="19">
        <v>648</v>
      </c>
      <c r="AP422" s="21">
        <v>0</v>
      </c>
      <c r="AQ422" s="22">
        <v>0</v>
      </c>
      <c r="AR422" s="26">
        <f t="shared" si="91"/>
        <v>648</v>
      </c>
      <c r="AS422" s="37">
        <f t="shared" si="82"/>
        <v>1</v>
      </c>
      <c r="AT422" s="38">
        <f t="shared" si="92"/>
        <v>0.56842105263157894</v>
      </c>
      <c r="AU422" s="38">
        <f t="shared" si="83"/>
        <v>1</v>
      </c>
      <c r="AV422" s="27">
        <f t="shared" si="84"/>
        <v>0.56842105263157894</v>
      </c>
    </row>
    <row r="423" spans="1:48" s="1" customFormat="1" ht="21" customHeight="1" x14ac:dyDescent="0.25">
      <c r="A423" s="109">
        <v>46052</v>
      </c>
      <c r="B423" s="47" t="s">
        <v>49</v>
      </c>
      <c r="C423" s="79" t="s">
        <v>51</v>
      </c>
      <c r="D423" s="47" t="s">
        <v>172</v>
      </c>
      <c r="E423" s="48">
        <v>98992</v>
      </c>
      <c r="F423" s="48" t="s">
        <v>175</v>
      </c>
      <c r="G423" s="48" t="s">
        <v>87</v>
      </c>
      <c r="H423" s="30">
        <v>15833</v>
      </c>
      <c r="I423" s="30"/>
      <c r="J423" s="30">
        <v>20</v>
      </c>
      <c r="K423" s="28">
        <f t="shared" si="78"/>
        <v>180</v>
      </c>
      <c r="L423" s="31">
        <v>0.58333333333333337</v>
      </c>
      <c r="M423" s="31">
        <v>0.9375</v>
      </c>
      <c r="N423" s="32">
        <f t="shared" si="88"/>
        <v>0.35416666666666663</v>
      </c>
      <c r="O423" s="36">
        <v>510</v>
      </c>
      <c r="P423" s="36">
        <f t="shared" si="79"/>
        <v>440</v>
      </c>
      <c r="Q423" s="36">
        <f t="shared" si="80"/>
        <v>440</v>
      </c>
      <c r="R423" s="15">
        <v>0</v>
      </c>
      <c r="S423" s="20">
        <v>0</v>
      </c>
      <c r="T423" s="16">
        <v>0</v>
      </c>
      <c r="U423" s="16">
        <v>0</v>
      </c>
      <c r="V423" s="20">
        <v>0</v>
      </c>
      <c r="W423" s="20">
        <v>0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  <c r="AC423" s="20">
        <v>0</v>
      </c>
      <c r="AD423" s="15">
        <f t="shared" ref="AD423:AD436" si="93">SUM(R423:AC423)</f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  <c r="AJ423" s="15">
        <v>30</v>
      </c>
      <c r="AK423" s="15">
        <v>10</v>
      </c>
      <c r="AL423" s="15">
        <v>30</v>
      </c>
      <c r="AM423" s="15">
        <f t="shared" ref="AM423:AM436" si="94">SUM(AE423:AL423)</f>
        <v>70</v>
      </c>
      <c r="AN423" s="29">
        <f t="shared" si="87"/>
        <v>1320</v>
      </c>
      <c r="AO423" s="19">
        <v>504</v>
      </c>
      <c r="AP423" s="21">
        <v>0</v>
      </c>
      <c r="AQ423" s="22">
        <v>0</v>
      </c>
      <c r="AR423" s="26">
        <f t="shared" si="91"/>
        <v>504</v>
      </c>
      <c r="AS423" s="37">
        <f t="shared" si="82"/>
        <v>1</v>
      </c>
      <c r="AT423" s="38">
        <f t="shared" si="92"/>
        <v>0.38181818181818183</v>
      </c>
      <c r="AU423" s="38">
        <f t="shared" si="83"/>
        <v>1</v>
      </c>
      <c r="AV423" s="27">
        <f t="shared" si="84"/>
        <v>0.38181818181818183</v>
      </c>
    </row>
    <row r="424" spans="1:48" s="1" customFormat="1" ht="21" customHeight="1" x14ac:dyDescent="0.25">
      <c r="A424" s="109">
        <v>46052</v>
      </c>
      <c r="B424" s="47" t="s">
        <v>49</v>
      </c>
      <c r="C424" s="79" t="s">
        <v>51</v>
      </c>
      <c r="D424" s="47" t="s">
        <v>122</v>
      </c>
      <c r="E424" s="48">
        <v>98992</v>
      </c>
      <c r="F424" s="48" t="s">
        <v>169</v>
      </c>
      <c r="G424" s="48" t="s">
        <v>125</v>
      </c>
      <c r="H424" s="30">
        <v>15676</v>
      </c>
      <c r="I424" s="30"/>
      <c r="J424" s="30">
        <v>32</v>
      </c>
      <c r="K424" s="28">
        <f t="shared" si="78"/>
        <v>112.5</v>
      </c>
      <c r="L424" s="31">
        <v>0.58333333333333337</v>
      </c>
      <c r="M424" s="31">
        <v>0.9375</v>
      </c>
      <c r="N424" s="32">
        <f t="shared" si="88"/>
        <v>0.35416666666666663</v>
      </c>
      <c r="O424" s="36">
        <v>510</v>
      </c>
      <c r="P424" s="36">
        <f t="shared" si="79"/>
        <v>320</v>
      </c>
      <c r="Q424" s="36">
        <f t="shared" si="80"/>
        <v>320</v>
      </c>
      <c r="R424" s="15">
        <v>0</v>
      </c>
      <c r="S424" s="20">
        <v>0</v>
      </c>
      <c r="T424" s="16">
        <v>0</v>
      </c>
      <c r="U424" s="16">
        <v>0</v>
      </c>
      <c r="V424" s="20">
        <v>0</v>
      </c>
      <c r="W424" s="20">
        <v>0</v>
      </c>
      <c r="X424" s="20">
        <v>0</v>
      </c>
      <c r="Y424" s="20">
        <v>0</v>
      </c>
      <c r="Z424" s="20">
        <v>0</v>
      </c>
      <c r="AA424" s="20">
        <v>0</v>
      </c>
      <c r="AB424" s="20">
        <v>0</v>
      </c>
      <c r="AC424" s="20">
        <v>0</v>
      </c>
      <c r="AD424" s="15">
        <f t="shared" si="93"/>
        <v>0</v>
      </c>
      <c r="AE424" s="15">
        <v>0</v>
      </c>
      <c r="AF424" s="15">
        <v>0</v>
      </c>
      <c r="AG424" s="15">
        <v>0</v>
      </c>
      <c r="AH424" s="15">
        <v>120</v>
      </c>
      <c r="AI424" s="15">
        <v>0</v>
      </c>
      <c r="AJ424" s="15">
        <v>30</v>
      </c>
      <c r="AK424" s="15">
        <v>10</v>
      </c>
      <c r="AL424" s="15">
        <v>30</v>
      </c>
      <c r="AM424" s="15">
        <f t="shared" si="94"/>
        <v>190</v>
      </c>
      <c r="AN424" s="29">
        <f t="shared" si="87"/>
        <v>600</v>
      </c>
      <c r="AO424" s="19">
        <v>520</v>
      </c>
      <c r="AP424" s="21">
        <v>0</v>
      </c>
      <c r="AQ424" s="22">
        <v>2</v>
      </c>
      <c r="AR424" s="26">
        <f t="shared" si="91"/>
        <v>518</v>
      </c>
      <c r="AS424" s="37">
        <f t="shared" si="82"/>
        <v>1</v>
      </c>
      <c r="AT424" s="38">
        <f t="shared" si="92"/>
        <v>0.8666666666666667</v>
      </c>
      <c r="AU424" s="38">
        <f t="shared" si="83"/>
        <v>0.99615384615384617</v>
      </c>
      <c r="AV424" s="27">
        <f t="shared" si="84"/>
        <v>0.8633333333333334</v>
      </c>
    </row>
    <row r="425" spans="1:48" s="1" customFormat="1" ht="21" customHeight="1" x14ac:dyDescent="0.25">
      <c r="A425" s="109">
        <v>46053</v>
      </c>
      <c r="B425" s="47" t="s">
        <v>49</v>
      </c>
      <c r="C425" s="79" t="s">
        <v>21</v>
      </c>
      <c r="D425" s="47" t="s">
        <v>94</v>
      </c>
      <c r="E425" s="48">
        <v>98992</v>
      </c>
      <c r="F425" s="48" t="s">
        <v>67</v>
      </c>
      <c r="G425" s="48" t="s">
        <v>174</v>
      </c>
      <c r="H425" s="30">
        <v>13105</v>
      </c>
      <c r="I425" s="30"/>
      <c r="J425" s="30">
        <v>23</v>
      </c>
      <c r="K425" s="28">
        <f t="shared" si="78"/>
        <v>156.52173913043478</v>
      </c>
      <c r="L425" s="31">
        <v>0.25</v>
      </c>
      <c r="M425" s="31">
        <v>0.60416666666666696</v>
      </c>
      <c r="N425" s="32">
        <f t="shared" si="88"/>
        <v>0.35416666666666696</v>
      </c>
      <c r="O425" s="36">
        <v>510</v>
      </c>
      <c r="P425" s="36">
        <f t="shared" si="79"/>
        <v>440</v>
      </c>
      <c r="Q425" s="36">
        <f t="shared" si="80"/>
        <v>440</v>
      </c>
      <c r="R425" s="15">
        <v>0</v>
      </c>
      <c r="S425" s="20">
        <v>0</v>
      </c>
      <c r="T425" s="16">
        <v>0</v>
      </c>
      <c r="U425" s="16">
        <v>0</v>
      </c>
      <c r="V425" s="20">
        <v>0</v>
      </c>
      <c r="W425" s="20">
        <v>0</v>
      </c>
      <c r="X425" s="20">
        <v>0</v>
      </c>
      <c r="Y425" s="20">
        <v>0</v>
      </c>
      <c r="Z425" s="20">
        <v>0</v>
      </c>
      <c r="AA425" s="20">
        <v>0</v>
      </c>
      <c r="AB425" s="20">
        <v>0</v>
      </c>
      <c r="AC425" s="20">
        <v>0</v>
      </c>
      <c r="AD425" s="15">
        <f t="shared" si="93"/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  <c r="AJ425" s="15">
        <v>30</v>
      </c>
      <c r="AK425" s="15">
        <v>10</v>
      </c>
      <c r="AL425" s="15">
        <v>30</v>
      </c>
      <c r="AM425" s="15">
        <f t="shared" si="94"/>
        <v>70</v>
      </c>
      <c r="AN425" s="29">
        <f t="shared" si="87"/>
        <v>1147.8260869565217</v>
      </c>
      <c r="AO425" s="19">
        <v>1000</v>
      </c>
      <c r="AP425" s="21">
        <v>0</v>
      </c>
      <c r="AQ425" s="22">
        <v>0</v>
      </c>
      <c r="AR425" s="26">
        <f t="shared" si="91"/>
        <v>1000</v>
      </c>
      <c r="AS425" s="37">
        <f t="shared" si="82"/>
        <v>1</v>
      </c>
      <c r="AT425" s="38">
        <f t="shared" si="92"/>
        <v>0.87121212121212122</v>
      </c>
      <c r="AU425" s="38">
        <f t="shared" si="83"/>
        <v>1</v>
      </c>
      <c r="AV425" s="27">
        <f t="shared" si="84"/>
        <v>0.87121212121212122</v>
      </c>
    </row>
    <row r="426" spans="1:48" s="1" customFormat="1" ht="21" customHeight="1" x14ac:dyDescent="0.25">
      <c r="A426" s="109">
        <v>46053</v>
      </c>
      <c r="B426" s="47" t="s">
        <v>49</v>
      </c>
      <c r="C426" s="79" t="s">
        <v>21</v>
      </c>
      <c r="D426" s="47" t="s">
        <v>88</v>
      </c>
      <c r="E426" s="48">
        <v>98992</v>
      </c>
      <c r="F426" s="48" t="s">
        <v>126</v>
      </c>
      <c r="G426" s="48" t="s">
        <v>87</v>
      </c>
      <c r="H426" s="30">
        <v>13106</v>
      </c>
      <c r="I426" s="30"/>
      <c r="J426" s="30">
        <v>32</v>
      </c>
      <c r="K426" s="28">
        <f t="shared" si="78"/>
        <v>112.5</v>
      </c>
      <c r="L426" s="31">
        <v>0.25</v>
      </c>
      <c r="M426" s="31">
        <v>0.60416666666666696</v>
      </c>
      <c r="N426" s="32">
        <f t="shared" si="88"/>
        <v>0.35416666666666696</v>
      </c>
      <c r="O426" s="36">
        <v>510</v>
      </c>
      <c r="P426" s="36">
        <f t="shared" si="79"/>
        <v>440</v>
      </c>
      <c r="Q426" s="36">
        <f t="shared" si="80"/>
        <v>440</v>
      </c>
      <c r="R426" s="15">
        <v>0</v>
      </c>
      <c r="S426" s="20">
        <v>0</v>
      </c>
      <c r="T426" s="16">
        <v>0</v>
      </c>
      <c r="U426" s="16">
        <v>0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15">
        <f t="shared" si="93"/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  <c r="AJ426" s="15">
        <v>30</v>
      </c>
      <c r="AK426" s="15">
        <v>10</v>
      </c>
      <c r="AL426" s="15">
        <v>30</v>
      </c>
      <c r="AM426" s="15">
        <f t="shared" si="94"/>
        <v>70</v>
      </c>
      <c r="AN426" s="29">
        <f t="shared" si="87"/>
        <v>825</v>
      </c>
      <c r="AO426" s="19">
        <v>666</v>
      </c>
      <c r="AP426" s="21">
        <v>0</v>
      </c>
      <c r="AQ426" s="22">
        <v>0</v>
      </c>
      <c r="AR426" s="26">
        <f t="shared" si="91"/>
        <v>666</v>
      </c>
      <c r="AS426" s="37">
        <f t="shared" si="82"/>
        <v>1</v>
      </c>
      <c r="AT426" s="38">
        <f t="shared" si="92"/>
        <v>0.80727272727272725</v>
      </c>
      <c r="AU426" s="38">
        <f t="shared" si="83"/>
        <v>1</v>
      </c>
      <c r="AV426" s="27">
        <f t="shared" si="84"/>
        <v>0.80727272727272725</v>
      </c>
    </row>
    <row r="427" spans="1:48" s="1" customFormat="1" ht="21" customHeight="1" x14ac:dyDescent="0.25">
      <c r="A427" s="109">
        <v>46053</v>
      </c>
      <c r="B427" s="47" t="s">
        <v>49</v>
      </c>
      <c r="C427" s="79" t="s">
        <v>21</v>
      </c>
      <c r="D427" s="47" t="s">
        <v>89</v>
      </c>
      <c r="E427" s="48">
        <v>98992</v>
      </c>
      <c r="F427" s="48" t="s">
        <v>169</v>
      </c>
      <c r="G427" s="48" t="s">
        <v>87</v>
      </c>
      <c r="H427" s="30">
        <v>16219</v>
      </c>
      <c r="I427" s="30"/>
      <c r="J427" s="30">
        <v>32</v>
      </c>
      <c r="K427" s="28">
        <f t="shared" si="78"/>
        <v>112.5</v>
      </c>
      <c r="L427" s="31">
        <v>0.25</v>
      </c>
      <c r="M427" s="31">
        <v>0.60416666666666696</v>
      </c>
      <c r="N427" s="32">
        <f t="shared" si="88"/>
        <v>0.35416666666666696</v>
      </c>
      <c r="O427" s="36">
        <v>510</v>
      </c>
      <c r="P427" s="36">
        <f t="shared" si="79"/>
        <v>440</v>
      </c>
      <c r="Q427" s="36">
        <f t="shared" si="80"/>
        <v>440</v>
      </c>
      <c r="R427" s="15">
        <v>0</v>
      </c>
      <c r="S427" s="20">
        <v>0</v>
      </c>
      <c r="T427" s="16">
        <v>0</v>
      </c>
      <c r="U427" s="16">
        <v>0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15">
        <f t="shared" si="93"/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  <c r="AJ427" s="15">
        <v>30</v>
      </c>
      <c r="AK427" s="15">
        <v>10</v>
      </c>
      <c r="AL427" s="15">
        <v>30</v>
      </c>
      <c r="AM427" s="15">
        <f t="shared" si="94"/>
        <v>70</v>
      </c>
      <c r="AN427" s="29">
        <f t="shared" si="87"/>
        <v>825</v>
      </c>
      <c r="AO427" s="19">
        <v>664</v>
      </c>
      <c r="AP427" s="21">
        <v>0</v>
      </c>
      <c r="AQ427" s="22">
        <v>0</v>
      </c>
      <c r="AR427" s="26">
        <f t="shared" si="91"/>
        <v>664</v>
      </c>
      <c r="AS427" s="37">
        <f t="shared" si="82"/>
        <v>1</v>
      </c>
      <c r="AT427" s="38">
        <f t="shared" si="92"/>
        <v>0.80484848484848481</v>
      </c>
      <c r="AU427" s="38">
        <f t="shared" si="83"/>
        <v>1</v>
      </c>
      <c r="AV427" s="27">
        <f t="shared" si="84"/>
        <v>0.80484848484848481</v>
      </c>
    </row>
    <row r="428" spans="1:48" s="1" customFormat="1" ht="21" customHeight="1" x14ac:dyDescent="0.25">
      <c r="A428" s="109">
        <v>46053</v>
      </c>
      <c r="B428" s="47" t="s">
        <v>49</v>
      </c>
      <c r="C428" s="79" t="s">
        <v>21</v>
      </c>
      <c r="D428" s="47" t="s">
        <v>52</v>
      </c>
      <c r="E428" s="48">
        <v>98992</v>
      </c>
      <c r="F428" s="48" t="s">
        <v>53</v>
      </c>
      <c r="G428" s="48" t="s">
        <v>87</v>
      </c>
      <c r="H428" s="30"/>
      <c r="I428" s="30"/>
      <c r="J428" s="30">
        <v>32</v>
      </c>
      <c r="K428" s="28">
        <f t="shared" si="78"/>
        <v>112.5</v>
      </c>
      <c r="L428" s="31">
        <v>0.25</v>
      </c>
      <c r="M428" s="31">
        <v>0.60416666666666696</v>
      </c>
      <c r="N428" s="32">
        <f t="shared" si="88"/>
        <v>0.35416666666666696</v>
      </c>
      <c r="O428" s="36">
        <v>510</v>
      </c>
      <c r="P428" s="36">
        <f t="shared" si="79"/>
        <v>440</v>
      </c>
      <c r="Q428" s="36">
        <f t="shared" si="80"/>
        <v>440</v>
      </c>
      <c r="R428" s="15">
        <v>0</v>
      </c>
      <c r="S428" s="20">
        <v>0</v>
      </c>
      <c r="T428" s="16">
        <v>0</v>
      </c>
      <c r="U428" s="16">
        <v>0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15">
        <f t="shared" si="93"/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  <c r="AJ428" s="15">
        <v>30</v>
      </c>
      <c r="AK428" s="15">
        <v>10</v>
      </c>
      <c r="AL428" s="15">
        <v>30</v>
      </c>
      <c r="AM428" s="15">
        <f t="shared" si="94"/>
        <v>70</v>
      </c>
      <c r="AN428" s="29">
        <f t="shared" si="87"/>
        <v>825</v>
      </c>
      <c r="AO428" s="19">
        <v>672</v>
      </c>
      <c r="AP428" s="21">
        <v>0</v>
      </c>
      <c r="AQ428" s="22">
        <v>0</v>
      </c>
      <c r="AR428" s="26">
        <f t="shared" si="91"/>
        <v>672</v>
      </c>
      <c r="AS428" s="37">
        <f t="shared" si="82"/>
        <v>1</v>
      </c>
      <c r="AT428" s="38">
        <f t="shared" si="92"/>
        <v>0.81454545454545457</v>
      </c>
      <c r="AU428" s="38">
        <f t="shared" si="83"/>
        <v>1</v>
      </c>
      <c r="AV428" s="27">
        <f t="shared" si="84"/>
        <v>0.81454545454545457</v>
      </c>
    </row>
    <row r="429" spans="1:48" s="1" customFormat="1" ht="21" customHeight="1" x14ac:dyDescent="0.25">
      <c r="A429" s="109">
        <v>46053</v>
      </c>
      <c r="B429" s="47" t="s">
        <v>49</v>
      </c>
      <c r="C429" s="79" t="s">
        <v>21</v>
      </c>
      <c r="D429" s="47" t="s">
        <v>86</v>
      </c>
      <c r="E429" s="48">
        <v>98992</v>
      </c>
      <c r="F429" s="48" t="s">
        <v>176</v>
      </c>
      <c r="G429" s="48" t="s">
        <v>87</v>
      </c>
      <c r="H429" s="30">
        <v>15859</v>
      </c>
      <c r="I429" s="30"/>
      <c r="J429" s="30">
        <v>20</v>
      </c>
      <c r="K429" s="28">
        <f t="shared" si="78"/>
        <v>180</v>
      </c>
      <c r="L429" s="31">
        <v>0.25</v>
      </c>
      <c r="M429" s="31">
        <v>0.60416666666666696</v>
      </c>
      <c r="N429" s="32">
        <f t="shared" si="88"/>
        <v>0.35416666666666696</v>
      </c>
      <c r="O429" s="36">
        <v>510</v>
      </c>
      <c r="P429" s="36">
        <f t="shared" si="79"/>
        <v>320</v>
      </c>
      <c r="Q429" s="36">
        <f t="shared" si="80"/>
        <v>320</v>
      </c>
      <c r="R429" s="15">
        <v>0</v>
      </c>
      <c r="S429" s="20">
        <v>0</v>
      </c>
      <c r="T429" s="16">
        <v>0</v>
      </c>
      <c r="U429" s="16">
        <v>0</v>
      </c>
      <c r="V429" s="20">
        <v>0</v>
      </c>
      <c r="W429" s="20">
        <v>0</v>
      </c>
      <c r="X429" s="20">
        <v>0</v>
      </c>
      <c r="Y429" s="20">
        <v>0</v>
      </c>
      <c r="Z429" s="20">
        <v>0</v>
      </c>
      <c r="AA429" s="20">
        <v>0</v>
      </c>
      <c r="AB429" s="20">
        <v>0</v>
      </c>
      <c r="AC429" s="20">
        <v>0</v>
      </c>
      <c r="AD429" s="15">
        <f t="shared" si="93"/>
        <v>0</v>
      </c>
      <c r="AE429" s="15">
        <v>0</v>
      </c>
      <c r="AF429" s="15">
        <v>0</v>
      </c>
      <c r="AG429" s="15">
        <v>0</v>
      </c>
      <c r="AH429" s="15">
        <v>120</v>
      </c>
      <c r="AI429" s="15">
        <v>0</v>
      </c>
      <c r="AJ429" s="15">
        <v>30</v>
      </c>
      <c r="AK429" s="15">
        <v>10</v>
      </c>
      <c r="AL429" s="15">
        <v>30</v>
      </c>
      <c r="AM429" s="15">
        <f t="shared" si="94"/>
        <v>190</v>
      </c>
      <c r="AN429" s="29">
        <f t="shared" si="87"/>
        <v>960</v>
      </c>
      <c r="AO429" s="19">
        <v>720</v>
      </c>
      <c r="AP429" s="21">
        <v>0</v>
      </c>
      <c r="AQ429" s="22">
        <v>0</v>
      </c>
      <c r="AR429" s="26">
        <f t="shared" si="91"/>
        <v>720</v>
      </c>
      <c r="AS429" s="37">
        <f t="shared" si="82"/>
        <v>1</v>
      </c>
      <c r="AT429" s="38">
        <f t="shared" si="92"/>
        <v>0.75</v>
      </c>
      <c r="AU429" s="38">
        <f t="shared" si="83"/>
        <v>1</v>
      </c>
      <c r="AV429" s="27">
        <f t="shared" si="84"/>
        <v>0.75</v>
      </c>
    </row>
    <row r="430" spans="1:48" s="1" customFormat="1" ht="21" customHeight="1" x14ac:dyDescent="0.25">
      <c r="A430" s="109">
        <v>46053</v>
      </c>
      <c r="B430" s="47" t="s">
        <v>49</v>
      </c>
      <c r="C430" s="79" t="s">
        <v>21</v>
      </c>
      <c r="D430" s="47" t="s">
        <v>172</v>
      </c>
      <c r="E430" s="48">
        <v>98992</v>
      </c>
      <c r="F430" s="48" t="s">
        <v>175</v>
      </c>
      <c r="G430" s="48" t="s">
        <v>87</v>
      </c>
      <c r="H430" s="30"/>
      <c r="I430" s="30"/>
      <c r="J430" s="30">
        <v>20</v>
      </c>
      <c r="K430" s="28">
        <f t="shared" si="78"/>
        <v>180</v>
      </c>
      <c r="L430" s="31">
        <v>0.25</v>
      </c>
      <c r="M430" s="31">
        <v>0.60416666666666696</v>
      </c>
      <c r="N430" s="32">
        <f t="shared" si="88"/>
        <v>0.35416666666666696</v>
      </c>
      <c r="O430" s="36">
        <v>510</v>
      </c>
      <c r="P430" s="36">
        <f t="shared" si="79"/>
        <v>320</v>
      </c>
      <c r="Q430" s="36">
        <f t="shared" si="80"/>
        <v>320</v>
      </c>
      <c r="R430" s="15">
        <v>0</v>
      </c>
      <c r="S430" s="20">
        <v>0</v>
      </c>
      <c r="T430" s="16">
        <v>0</v>
      </c>
      <c r="U430" s="16">
        <v>0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15">
        <f t="shared" si="93"/>
        <v>0</v>
      </c>
      <c r="AE430" s="15">
        <v>0</v>
      </c>
      <c r="AF430" s="15">
        <v>0</v>
      </c>
      <c r="AG430" s="15">
        <v>0</v>
      </c>
      <c r="AH430" s="15">
        <v>120</v>
      </c>
      <c r="AI430" s="15">
        <v>0</v>
      </c>
      <c r="AJ430" s="15">
        <v>30</v>
      </c>
      <c r="AK430" s="15">
        <v>10</v>
      </c>
      <c r="AL430" s="15">
        <v>30</v>
      </c>
      <c r="AM430" s="15">
        <f t="shared" si="94"/>
        <v>190</v>
      </c>
      <c r="AN430" s="29">
        <f t="shared" si="87"/>
        <v>960</v>
      </c>
      <c r="AO430" s="19">
        <v>750</v>
      </c>
      <c r="AP430" s="21">
        <v>0</v>
      </c>
      <c r="AQ430" s="22">
        <v>0</v>
      </c>
      <c r="AR430" s="26">
        <f t="shared" si="91"/>
        <v>750</v>
      </c>
      <c r="AS430" s="37">
        <f t="shared" si="82"/>
        <v>1</v>
      </c>
      <c r="AT430" s="38">
        <f t="shared" si="92"/>
        <v>0.78125</v>
      </c>
      <c r="AU430" s="38">
        <f t="shared" si="83"/>
        <v>1</v>
      </c>
      <c r="AV430" s="27">
        <f t="shared" si="84"/>
        <v>0.78125</v>
      </c>
    </row>
    <row r="431" spans="1:48" s="1" customFormat="1" ht="21" customHeight="1" x14ac:dyDescent="0.25">
      <c r="A431" s="109">
        <v>46053</v>
      </c>
      <c r="B431" s="47" t="s">
        <v>49</v>
      </c>
      <c r="C431" s="79" t="s">
        <v>51</v>
      </c>
      <c r="D431" s="47" t="s">
        <v>94</v>
      </c>
      <c r="E431" s="48">
        <v>98992</v>
      </c>
      <c r="F431" s="48" t="s">
        <v>67</v>
      </c>
      <c r="G431" s="48" t="s">
        <v>174</v>
      </c>
      <c r="H431" s="30">
        <v>13562</v>
      </c>
      <c r="I431" s="30"/>
      <c r="J431" s="30">
        <v>26</v>
      </c>
      <c r="K431" s="28">
        <f t="shared" si="78"/>
        <v>138.46153846153845</v>
      </c>
      <c r="L431" s="31">
        <v>0.58333333333333337</v>
      </c>
      <c r="M431" s="31">
        <v>0.9375</v>
      </c>
      <c r="N431" s="32">
        <f t="shared" si="88"/>
        <v>0.35416666666666663</v>
      </c>
      <c r="O431" s="36">
        <v>510</v>
      </c>
      <c r="P431" s="36">
        <f t="shared" si="79"/>
        <v>220</v>
      </c>
      <c r="Q431" s="36">
        <f t="shared" si="80"/>
        <v>220</v>
      </c>
      <c r="R431" s="15">
        <v>0</v>
      </c>
      <c r="S431" s="20">
        <v>0</v>
      </c>
      <c r="T431" s="20">
        <v>0</v>
      </c>
      <c r="U431" s="20">
        <v>0</v>
      </c>
      <c r="V431" s="20">
        <v>0</v>
      </c>
      <c r="W431" s="20">
        <v>0</v>
      </c>
      <c r="X431" s="19">
        <v>0</v>
      </c>
      <c r="Y431" s="19">
        <v>0</v>
      </c>
      <c r="Z431" s="20">
        <v>0</v>
      </c>
      <c r="AA431" s="20">
        <v>0</v>
      </c>
      <c r="AB431" s="20">
        <v>0</v>
      </c>
      <c r="AC431" s="20">
        <v>0</v>
      </c>
      <c r="AD431" s="15">
        <f t="shared" si="93"/>
        <v>0</v>
      </c>
      <c r="AE431" s="15">
        <v>0</v>
      </c>
      <c r="AF431" s="19">
        <v>0</v>
      </c>
      <c r="AG431" s="20">
        <v>0</v>
      </c>
      <c r="AH431" s="15">
        <v>220</v>
      </c>
      <c r="AI431" s="15">
        <v>0</v>
      </c>
      <c r="AJ431" s="15">
        <v>30</v>
      </c>
      <c r="AK431" s="15">
        <v>10</v>
      </c>
      <c r="AL431" s="15">
        <v>30</v>
      </c>
      <c r="AM431" s="15">
        <f t="shared" si="94"/>
        <v>290</v>
      </c>
      <c r="AN431" s="29">
        <f t="shared" si="87"/>
        <v>507.69230769230762</v>
      </c>
      <c r="AO431" s="19">
        <v>428</v>
      </c>
      <c r="AP431" s="21">
        <v>0</v>
      </c>
      <c r="AQ431" s="22">
        <v>0</v>
      </c>
      <c r="AR431" s="26">
        <f t="shared" si="91"/>
        <v>428</v>
      </c>
      <c r="AS431" s="37">
        <f t="shared" si="82"/>
        <v>1</v>
      </c>
      <c r="AT431" s="38">
        <f t="shared" si="92"/>
        <v>0.84303030303030313</v>
      </c>
      <c r="AU431" s="38">
        <f t="shared" si="83"/>
        <v>1</v>
      </c>
      <c r="AV431" s="27">
        <f t="shared" si="84"/>
        <v>0.84303030303030313</v>
      </c>
    </row>
    <row r="432" spans="1:48" s="1" customFormat="1" ht="21" customHeight="1" x14ac:dyDescent="0.25">
      <c r="A432" s="109">
        <v>46053</v>
      </c>
      <c r="B432" s="47" t="s">
        <v>49</v>
      </c>
      <c r="C432" s="79" t="s">
        <v>51</v>
      </c>
      <c r="D432" s="47" t="s">
        <v>88</v>
      </c>
      <c r="E432" s="48">
        <v>98992</v>
      </c>
      <c r="F432" s="48" t="s">
        <v>126</v>
      </c>
      <c r="G432" s="48" t="s">
        <v>87</v>
      </c>
      <c r="H432" s="30">
        <v>15036</v>
      </c>
      <c r="I432" s="30"/>
      <c r="J432" s="30">
        <v>32</v>
      </c>
      <c r="K432" s="28">
        <f t="shared" si="78"/>
        <v>112.5</v>
      </c>
      <c r="L432" s="31">
        <v>0.58333333333333337</v>
      </c>
      <c r="M432" s="31">
        <v>0.9375</v>
      </c>
      <c r="N432" s="32">
        <f t="shared" si="88"/>
        <v>0.35416666666666663</v>
      </c>
      <c r="O432" s="36">
        <v>510</v>
      </c>
      <c r="P432" s="36">
        <f t="shared" si="79"/>
        <v>440</v>
      </c>
      <c r="Q432" s="36">
        <f t="shared" si="80"/>
        <v>440</v>
      </c>
      <c r="R432" s="15">
        <v>0</v>
      </c>
      <c r="S432" s="20">
        <v>0</v>
      </c>
      <c r="T432" s="20">
        <v>0</v>
      </c>
      <c r="U432" s="20">
        <v>0</v>
      </c>
      <c r="V432" s="20">
        <v>0</v>
      </c>
      <c r="W432" s="20">
        <v>0</v>
      </c>
      <c r="X432" s="19">
        <v>0</v>
      </c>
      <c r="Y432" s="19">
        <v>0</v>
      </c>
      <c r="Z432" s="20">
        <v>0</v>
      </c>
      <c r="AA432" s="20">
        <v>0</v>
      </c>
      <c r="AB432" s="20">
        <v>0</v>
      </c>
      <c r="AC432" s="20">
        <v>0</v>
      </c>
      <c r="AD432" s="15">
        <f t="shared" si="93"/>
        <v>0</v>
      </c>
      <c r="AE432" s="15">
        <v>0</v>
      </c>
      <c r="AF432" s="19">
        <v>0</v>
      </c>
      <c r="AG432" s="20">
        <v>0</v>
      </c>
      <c r="AH432" s="15">
        <v>0</v>
      </c>
      <c r="AI432" s="15">
        <v>0</v>
      </c>
      <c r="AJ432" s="15">
        <v>30</v>
      </c>
      <c r="AK432" s="15">
        <v>10</v>
      </c>
      <c r="AL432" s="15">
        <v>30</v>
      </c>
      <c r="AM432" s="15">
        <f t="shared" si="94"/>
        <v>70</v>
      </c>
      <c r="AN432" s="29">
        <f t="shared" si="87"/>
        <v>825</v>
      </c>
      <c r="AO432" s="19">
        <v>701</v>
      </c>
      <c r="AP432" s="21">
        <v>0</v>
      </c>
      <c r="AQ432" s="22">
        <v>0</v>
      </c>
      <c r="AR432" s="26">
        <f t="shared" si="91"/>
        <v>701</v>
      </c>
      <c r="AS432" s="37">
        <f t="shared" si="82"/>
        <v>1</v>
      </c>
      <c r="AT432" s="38">
        <f t="shared" si="92"/>
        <v>0.84969696969696973</v>
      </c>
      <c r="AU432" s="38">
        <f t="shared" si="83"/>
        <v>1</v>
      </c>
      <c r="AV432" s="27">
        <f t="shared" si="84"/>
        <v>0.84969696969696973</v>
      </c>
    </row>
    <row r="433" spans="1:48" s="1" customFormat="1" ht="21" customHeight="1" x14ac:dyDescent="0.25">
      <c r="A433" s="109">
        <v>46053</v>
      </c>
      <c r="B433" s="47" t="s">
        <v>49</v>
      </c>
      <c r="C433" s="79" t="s">
        <v>51</v>
      </c>
      <c r="D433" s="47" t="s">
        <v>89</v>
      </c>
      <c r="E433" s="48">
        <v>98992</v>
      </c>
      <c r="F433" s="48" t="s">
        <v>169</v>
      </c>
      <c r="G433" s="48" t="s">
        <v>87</v>
      </c>
      <c r="H433" s="30">
        <v>11682</v>
      </c>
      <c r="I433" s="30"/>
      <c r="J433" s="30">
        <v>32</v>
      </c>
      <c r="K433" s="28">
        <f t="shared" si="78"/>
        <v>112.5</v>
      </c>
      <c r="L433" s="31">
        <v>0.58333333333333337</v>
      </c>
      <c r="M433" s="31">
        <v>0.9375</v>
      </c>
      <c r="N433" s="32">
        <f t="shared" si="88"/>
        <v>0.35416666666666663</v>
      </c>
      <c r="O433" s="36">
        <v>510</v>
      </c>
      <c r="P433" s="36">
        <f t="shared" si="79"/>
        <v>440</v>
      </c>
      <c r="Q433" s="36">
        <f t="shared" si="80"/>
        <v>440</v>
      </c>
      <c r="R433" s="15">
        <v>0</v>
      </c>
      <c r="S433" s="20">
        <v>0</v>
      </c>
      <c r="T433" s="20">
        <v>0</v>
      </c>
      <c r="U433" s="20">
        <v>0</v>
      </c>
      <c r="V433" s="20">
        <v>0</v>
      </c>
      <c r="W433" s="20">
        <v>0</v>
      </c>
      <c r="X433" s="19">
        <v>0</v>
      </c>
      <c r="Y433" s="19">
        <v>0</v>
      </c>
      <c r="Z433" s="20">
        <v>0</v>
      </c>
      <c r="AA433" s="20">
        <v>0</v>
      </c>
      <c r="AB433" s="20">
        <v>0</v>
      </c>
      <c r="AC433" s="20">
        <v>0</v>
      </c>
      <c r="AD433" s="15">
        <f t="shared" si="93"/>
        <v>0</v>
      </c>
      <c r="AE433" s="15">
        <v>0</v>
      </c>
      <c r="AF433" s="19">
        <v>0</v>
      </c>
      <c r="AG433" s="20">
        <v>0</v>
      </c>
      <c r="AH433" s="15">
        <v>0</v>
      </c>
      <c r="AI433" s="15">
        <v>0</v>
      </c>
      <c r="AJ433" s="15">
        <v>30</v>
      </c>
      <c r="AK433" s="15">
        <v>10</v>
      </c>
      <c r="AL433" s="15">
        <v>30</v>
      </c>
      <c r="AM433" s="15">
        <f t="shared" si="94"/>
        <v>70</v>
      </c>
      <c r="AN433" s="29">
        <f t="shared" si="87"/>
        <v>825</v>
      </c>
      <c r="AO433" s="19">
        <v>666</v>
      </c>
      <c r="AP433" s="21">
        <v>0</v>
      </c>
      <c r="AQ433" s="22">
        <v>0</v>
      </c>
      <c r="AR433" s="26">
        <f t="shared" si="91"/>
        <v>666</v>
      </c>
      <c r="AS433" s="37">
        <f t="shared" si="82"/>
        <v>1</v>
      </c>
      <c r="AT433" s="38">
        <f t="shared" si="92"/>
        <v>0.80727272727272725</v>
      </c>
      <c r="AU433" s="38">
        <f t="shared" si="83"/>
        <v>1</v>
      </c>
      <c r="AV433" s="27">
        <f t="shared" si="84"/>
        <v>0.80727272727272725</v>
      </c>
    </row>
    <row r="434" spans="1:48" s="1" customFormat="1" ht="21" customHeight="1" x14ac:dyDescent="0.25">
      <c r="A434" s="109">
        <v>46053</v>
      </c>
      <c r="B434" s="47" t="s">
        <v>49</v>
      </c>
      <c r="C434" s="79" t="s">
        <v>51</v>
      </c>
      <c r="D434" s="47" t="s">
        <v>52</v>
      </c>
      <c r="E434" s="48">
        <v>98992</v>
      </c>
      <c r="F434" s="48" t="s">
        <v>53</v>
      </c>
      <c r="G434" s="48" t="s">
        <v>87</v>
      </c>
      <c r="H434" s="30">
        <v>16000</v>
      </c>
      <c r="I434" s="30"/>
      <c r="J434" s="30">
        <v>32</v>
      </c>
      <c r="K434" s="28">
        <f t="shared" si="78"/>
        <v>112.5</v>
      </c>
      <c r="L434" s="31">
        <v>0.58333333333333337</v>
      </c>
      <c r="M434" s="31">
        <v>0.9375</v>
      </c>
      <c r="N434" s="32">
        <f t="shared" si="88"/>
        <v>0.35416666666666663</v>
      </c>
      <c r="O434" s="36">
        <v>510</v>
      </c>
      <c r="P434" s="36">
        <f t="shared" si="79"/>
        <v>440</v>
      </c>
      <c r="Q434" s="36">
        <f t="shared" si="80"/>
        <v>440</v>
      </c>
      <c r="R434" s="15">
        <v>0</v>
      </c>
      <c r="S434" s="20">
        <v>0</v>
      </c>
      <c r="T434" s="20">
        <v>0</v>
      </c>
      <c r="U434" s="20">
        <v>0</v>
      </c>
      <c r="V434" s="20">
        <v>0</v>
      </c>
      <c r="W434" s="20">
        <v>0</v>
      </c>
      <c r="X434" s="19">
        <v>0</v>
      </c>
      <c r="Y434" s="19">
        <v>0</v>
      </c>
      <c r="Z434" s="20">
        <v>0</v>
      </c>
      <c r="AA434" s="20">
        <v>0</v>
      </c>
      <c r="AB434" s="20">
        <v>0</v>
      </c>
      <c r="AC434" s="20">
        <v>0</v>
      </c>
      <c r="AD434" s="15">
        <f t="shared" si="93"/>
        <v>0</v>
      </c>
      <c r="AE434" s="15">
        <v>0</v>
      </c>
      <c r="AF434" s="19">
        <v>0</v>
      </c>
      <c r="AG434" s="20">
        <v>0</v>
      </c>
      <c r="AH434" s="15">
        <v>0</v>
      </c>
      <c r="AI434" s="15">
        <v>0</v>
      </c>
      <c r="AJ434" s="15">
        <v>30</v>
      </c>
      <c r="AK434" s="15">
        <v>10</v>
      </c>
      <c r="AL434" s="15">
        <v>30</v>
      </c>
      <c r="AM434" s="15">
        <f t="shared" si="94"/>
        <v>70</v>
      </c>
      <c r="AN434" s="29">
        <f t="shared" si="87"/>
        <v>825</v>
      </c>
      <c r="AO434" s="19">
        <v>576</v>
      </c>
      <c r="AP434" s="21">
        <v>0</v>
      </c>
      <c r="AQ434" s="22">
        <v>0</v>
      </c>
      <c r="AR434" s="26">
        <f t="shared" si="91"/>
        <v>576</v>
      </c>
      <c r="AS434" s="37">
        <f t="shared" si="82"/>
        <v>1</v>
      </c>
      <c r="AT434" s="38">
        <f t="shared" si="92"/>
        <v>0.69818181818181824</v>
      </c>
      <c r="AU434" s="38">
        <f t="shared" si="83"/>
        <v>1</v>
      </c>
      <c r="AV434" s="27">
        <f t="shared" si="84"/>
        <v>0.69818181818181824</v>
      </c>
    </row>
    <row r="435" spans="1:48" s="1" customFormat="1" ht="21" customHeight="1" x14ac:dyDescent="0.25">
      <c r="A435" s="109">
        <v>46053</v>
      </c>
      <c r="B435" s="47" t="s">
        <v>49</v>
      </c>
      <c r="C435" s="79" t="s">
        <v>51</v>
      </c>
      <c r="D435" s="47" t="s">
        <v>86</v>
      </c>
      <c r="E435" s="48">
        <v>98992</v>
      </c>
      <c r="F435" s="48" t="s">
        <v>176</v>
      </c>
      <c r="G435" s="48" t="s">
        <v>87</v>
      </c>
      <c r="H435" s="30">
        <v>15688</v>
      </c>
      <c r="I435" s="30"/>
      <c r="J435" s="30">
        <v>20</v>
      </c>
      <c r="K435" s="28">
        <f t="shared" si="78"/>
        <v>180</v>
      </c>
      <c r="L435" s="31">
        <v>0.58333333333333337</v>
      </c>
      <c r="M435" s="31">
        <v>0.9375</v>
      </c>
      <c r="N435" s="32">
        <f t="shared" si="88"/>
        <v>0.35416666666666663</v>
      </c>
      <c r="O435" s="36">
        <v>510</v>
      </c>
      <c r="P435" s="36">
        <f t="shared" si="79"/>
        <v>260</v>
      </c>
      <c r="Q435" s="36">
        <f t="shared" si="80"/>
        <v>260</v>
      </c>
      <c r="R435" s="15">
        <v>0</v>
      </c>
      <c r="S435" s="20">
        <v>0</v>
      </c>
      <c r="T435" s="20">
        <v>0</v>
      </c>
      <c r="U435" s="20">
        <v>0</v>
      </c>
      <c r="V435" s="20">
        <v>0</v>
      </c>
      <c r="W435" s="20">
        <v>0</v>
      </c>
      <c r="X435" s="19">
        <v>0</v>
      </c>
      <c r="Y435" s="19">
        <v>0</v>
      </c>
      <c r="Z435" s="20">
        <v>0</v>
      </c>
      <c r="AA435" s="20">
        <v>0</v>
      </c>
      <c r="AB435" s="20">
        <v>0</v>
      </c>
      <c r="AC435" s="20">
        <v>0</v>
      </c>
      <c r="AD435" s="15">
        <f t="shared" si="93"/>
        <v>0</v>
      </c>
      <c r="AE435" s="15">
        <v>0</v>
      </c>
      <c r="AF435" s="19">
        <v>0</v>
      </c>
      <c r="AG435" s="20">
        <v>0</v>
      </c>
      <c r="AH435" s="15">
        <v>180</v>
      </c>
      <c r="AI435" s="15">
        <v>0</v>
      </c>
      <c r="AJ435" s="15">
        <v>30</v>
      </c>
      <c r="AK435" s="15">
        <v>10</v>
      </c>
      <c r="AL435" s="15">
        <v>30</v>
      </c>
      <c r="AM435" s="15">
        <f t="shared" si="94"/>
        <v>250</v>
      </c>
      <c r="AN435" s="29">
        <f t="shared" si="87"/>
        <v>780</v>
      </c>
      <c r="AO435" s="19">
        <v>575</v>
      </c>
      <c r="AP435" s="21">
        <v>0</v>
      </c>
      <c r="AQ435" s="22">
        <v>0</v>
      </c>
      <c r="AR435" s="26">
        <f t="shared" si="91"/>
        <v>575</v>
      </c>
      <c r="AS435" s="37">
        <f t="shared" si="82"/>
        <v>1</v>
      </c>
      <c r="AT435" s="38">
        <f t="shared" si="92"/>
        <v>0.73717948717948723</v>
      </c>
      <c r="AU435" s="38">
        <f t="shared" si="83"/>
        <v>1</v>
      </c>
      <c r="AV435" s="27">
        <f t="shared" si="84"/>
        <v>0.73717948717948723</v>
      </c>
    </row>
    <row r="436" spans="1:48" s="1" customFormat="1" ht="21" customHeight="1" x14ac:dyDescent="0.25">
      <c r="A436" s="109">
        <v>46053</v>
      </c>
      <c r="B436" s="47" t="s">
        <v>49</v>
      </c>
      <c r="C436" s="79" t="s">
        <v>51</v>
      </c>
      <c r="D436" s="47" t="s">
        <v>172</v>
      </c>
      <c r="E436" s="48">
        <v>98992</v>
      </c>
      <c r="F436" s="48" t="s">
        <v>175</v>
      </c>
      <c r="G436" s="48" t="s">
        <v>87</v>
      </c>
      <c r="H436" s="30">
        <v>15857</v>
      </c>
      <c r="I436" s="30"/>
      <c r="J436" s="30">
        <v>20</v>
      </c>
      <c r="K436" s="28">
        <f t="shared" si="78"/>
        <v>180</v>
      </c>
      <c r="L436" s="31">
        <v>0.58333333333333337</v>
      </c>
      <c r="M436" s="31">
        <v>0.9375</v>
      </c>
      <c r="N436" s="32">
        <f t="shared" si="88"/>
        <v>0.35416666666666663</v>
      </c>
      <c r="O436" s="36">
        <v>510</v>
      </c>
      <c r="P436" s="36">
        <f t="shared" si="79"/>
        <v>140</v>
      </c>
      <c r="Q436" s="36">
        <f t="shared" si="80"/>
        <v>140</v>
      </c>
      <c r="R436" s="15">
        <v>0</v>
      </c>
      <c r="S436" s="20">
        <v>0</v>
      </c>
      <c r="T436" s="20">
        <v>0</v>
      </c>
      <c r="U436" s="20">
        <v>0</v>
      </c>
      <c r="V436" s="20">
        <v>0</v>
      </c>
      <c r="W436" s="20">
        <v>0</v>
      </c>
      <c r="X436" s="19">
        <v>0</v>
      </c>
      <c r="Y436" s="19">
        <v>0</v>
      </c>
      <c r="Z436" s="20">
        <v>0</v>
      </c>
      <c r="AA436" s="20">
        <v>0</v>
      </c>
      <c r="AB436" s="20">
        <v>0</v>
      </c>
      <c r="AC436" s="20">
        <v>0</v>
      </c>
      <c r="AD436" s="15">
        <f t="shared" si="93"/>
        <v>0</v>
      </c>
      <c r="AE436" s="15">
        <v>0</v>
      </c>
      <c r="AF436" s="19">
        <v>0</v>
      </c>
      <c r="AG436" s="20">
        <v>0</v>
      </c>
      <c r="AH436" s="15">
        <v>300</v>
      </c>
      <c r="AI436" s="15">
        <v>0</v>
      </c>
      <c r="AJ436" s="15">
        <v>30</v>
      </c>
      <c r="AK436" s="15">
        <v>10</v>
      </c>
      <c r="AL436" s="15">
        <v>30</v>
      </c>
      <c r="AM436" s="15">
        <f t="shared" si="94"/>
        <v>370</v>
      </c>
      <c r="AN436" s="29">
        <f t="shared" si="87"/>
        <v>420</v>
      </c>
      <c r="AO436" s="19">
        <v>384</v>
      </c>
      <c r="AP436" s="21">
        <v>0</v>
      </c>
      <c r="AQ436" s="22">
        <v>0</v>
      </c>
      <c r="AR436" s="26">
        <f t="shared" si="91"/>
        <v>384</v>
      </c>
      <c r="AS436" s="37">
        <f t="shared" si="82"/>
        <v>1</v>
      </c>
      <c r="AT436" s="38">
        <f t="shared" si="92"/>
        <v>0.91428571428571426</v>
      </c>
      <c r="AU436" s="38">
        <f t="shared" si="83"/>
        <v>1</v>
      </c>
      <c r="AV436" s="27">
        <f t="shared" si="84"/>
        <v>0.91428571428571426</v>
      </c>
    </row>
    <row r="437" spans="1:48" s="1" customFormat="1" ht="21" customHeight="1" x14ac:dyDescent="0.25">
      <c r="A437" s="109"/>
      <c r="B437" s="47"/>
      <c r="C437" s="79"/>
      <c r="D437" s="47"/>
      <c r="E437" s="48"/>
      <c r="F437" s="48"/>
      <c r="G437" s="48"/>
      <c r="H437" s="30"/>
      <c r="I437" s="30"/>
      <c r="J437" s="30"/>
      <c r="K437" s="28"/>
      <c r="L437" s="31"/>
      <c r="M437" s="31"/>
      <c r="N437" s="32">
        <f t="shared" si="88"/>
        <v>1</v>
      </c>
      <c r="O437" s="36">
        <v>510</v>
      </c>
      <c r="P437" s="36">
        <f t="shared" si="79"/>
        <v>510</v>
      </c>
      <c r="Q437" s="36">
        <f t="shared" si="80"/>
        <v>510</v>
      </c>
      <c r="R437" s="15"/>
      <c r="S437" s="20"/>
      <c r="T437" s="20"/>
      <c r="U437" s="20"/>
      <c r="V437" s="20"/>
      <c r="W437" s="20"/>
      <c r="X437" s="19"/>
      <c r="Y437" s="19"/>
      <c r="Z437" s="20"/>
      <c r="AA437" s="20"/>
      <c r="AB437" s="20"/>
      <c r="AC437" s="20"/>
      <c r="AD437" s="15"/>
      <c r="AE437" s="15"/>
      <c r="AF437" s="19"/>
      <c r="AG437" s="20"/>
      <c r="AH437" s="15"/>
      <c r="AI437" s="15"/>
      <c r="AJ437" s="15">
        <v>30</v>
      </c>
      <c r="AK437" s="15">
        <v>10</v>
      </c>
      <c r="AL437" s="15">
        <v>30</v>
      </c>
      <c r="AM437" s="15"/>
      <c r="AN437" s="29"/>
      <c r="AO437" s="19"/>
      <c r="AP437" s="21"/>
      <c r="AQ437" s="22"/>
      <c r="AR437" s="26"/>
      <c r="AS437" s="37"/>
      <c r="AT437" s="38"/>
      <c r="AU437" s="38"/>
      <c r="AV437" s="27"/>
    </row>
    <row r="438" spans="1:48" s="1" customFormat="1" ht="21" customHeight="1" x14ac:dyDescent="0.25">
      <c r="A438" s="109"/>
      <c r="B438" s="47"/>
      <c r="C438" s="79"/>
      <c r="D438" s="47"/>
      <c r="E438" s="48"/>
      <c r="F438" s="48"/>
      <c r="G438" s="48"/>
      <c r="H438" s="30"/>
      <c r="I438" s="30"/>
      <c r="J438" s="30"/>
      <c r="K438" s="28"/>
      <c r="L438" s="31"/>
      <c r="M438" s="31"/>
      <c r="N438" s="32"/>
      <c r="O438" s="36"/>
      <c r="P438" s="36"/>
      <c r="Q438" s="36"/>
      <c r="R438" s="15"/>
      <c r="S438" s="20"/>
      <c r="T438" s="20"/>
      <c r="U438" s="20"/>
      <c r="V438" s="20"/>
      <c r="W438" s="20"/>
      <c r="X438" s="19"/>
      <c r="Y438" s="19"/>
      <c r="Z438" s="20"/>
      <c r="AA438" s="20"/>
      <c r="AB438" s="20"/>
      <c r="AC438" s="20"/>
      <c r="AD438" s="15"/>
      <c r="AE438" s="15"/>
      <c r="AF438" s="19"/>
      <c r="AG438" s="20"/>
      <c r="AH438" s="15"/>
      <c r="AI438" s="15"/>
      <c r="AJ438" s="15"/>
      <c r="AK438" s="15"/>
      <c r="AL438" s="15"/>
      <c r="AM438" s="15"/>
      <c r="AN438" s="29"/>
      <c r="AO438" s="19"/>
      <c r="AP438" s="21"/>
      <c r="AQ438" s="22"/>
      <c r="AR438" s="26"/>
      <c r="AS438" s="37"/>
      <c r="AT438" s="38"/>
      <c r="AU438" s="38"/>
      <c r="AV438" s="27"/>
    </row>
    <row r="439" spans="1:48" s="1" customFormat="1" ht="21" customHeight="1" x14ac:dyDescent="0.25">
      <c r="A439" s="109"/>
      <c r="B439" s="47"/>
      <c r="C439" s="79"/>
      <c r="D439" s="47"/>
      <c r="E439" s="48"/>
      <c r="F439" s="48"/>
      <c r="G439" s="48"/>
      <c r="H439" s="30"/>
      <c r="I439" s="30"/>
      <c r="J439" s="30"/>
      <c r="K439" s="28"/>
      <c r="L439" s="31"/>
      <c r="M439" s="31"/>
      <c r="N439" s="32"/>
      <c r="O439" s="36"/>
      <c r="P439" s="36"/>
      <c r="Q439" s="36"/>
      <c r="R439" s="15"/>
      <c r="S439" s="20"/>
      <c r="T439" s="20"/>
      <c r="U439" s="20"/>
      <c r="V439" s="20"/>
      <c r="W439" s="20"/>
      <c r="X439" s="19"/>
      <c r="Y439" s="19"/>
      <c r="Z439" s="20"/>
      <c r="AA439" s="20"/>
      <c r="AB439" s="20"/>
      <c r="AC439" s="20"/>
      <c r="AD439" s="15"/>
      <c r="AE439" s="15"/>
      <c r="AF439" s="19"/>
      <c r="AG439" s="20"/>
      <c r="AH439" s="15"/>
      <c r="AI439" s="15"/>
      <c r="AJ439" s="15"/>
      <c r="AK439" s="15"/>
      <c r="AL439" s="15"/>
      <c r="AM439" s="15"/>
      <c r="AN439" s="29"/>
      <c r="AO439" s="19"/>
      <c r="AP439" s="21"/>
      <c r="AQ439" s="22"/>
      <c r="AR439" s="26"/>
      <c r="AS439" s="37"/>
      <c r="AT439" s="38"/>
      <c r="AU439" s="38"/>
      <c r="AV439" s="27"/>
    </row>
    <row r="440" spans="1:48" s="1" customFormat="1" ht="21" customHeight="1" x14ac:dyDescent="0.25">
      <c r="A440" s="45"/>
      <c r="B440" s="47"/>
      <c r="C440" s="79"/>
      <c r="D440" s="47"/>
      <c r="E440" s="48"/>
      <c r="F440" s="48"/>
      <c r="G440" s="48"/>
      <c r="H440" s="30"/>
      <c r="I440" s="30"/>
      <c r="J440" s="30"/>
      <c r="K440" s="28"/>
      <c r="L440" s="31"/>
      <c r="M440" s="31"/>
      <c r="N440" s="32"/>
      <c r="O440" s="36"/>
      <c r="P440" s="36"/>
      <c r="Q440" s="36"/>
      <c r="R440" s="15"/>
      <c r="S440" s="20"/>
      <c r="T440" s="20"/>
      <c r="U440" s="20"/>
      <c r="V440" s="20"/>
      <c r="W440" s="20"/>
      <c r="X440" s="19"/>
      <c r="Y440" s="19"/>
      <c r="Z440" s="20"/>
      <c r="AA440" s="20"/>
      <c r="AB440" s="20"/>
      <c r="AC440" s="20"/>
      <c r="AD440" s="15"/>
      <c r="AE440" s="15"/>
      <c r="AF440" s="19"/>
      <c r="AG440" s="20"/>
      <c r="AH440" s="15"/>
      <c r="AI440" s="15"/>
      <c r="AJ440" s="15"/>
      <c r="AK440" s="15"/>
      <c r="AL440" s="15"/>
      <c r="AM440" s="15"/>
      <c r="AN440" s="29"/>
      <c r="AO440" s="19"/>
      <c r="AP440" s="21"/>
      <c r="AQ440" s="22"/>
      <c r="AR440" s="26"/>
      <c r="AS440" s="37"/>
      <c r="AT440" s="38"/>
      <c r="AU440" s="38"/>
      <c r="AV440" s="27"/>
    </row>
    <row r="441" spans="1:48" s="1" customFormat="1" ht="21" customHeight="1" x14ac:dyDescent="0.25">
      <c r="A441" s="45"/>
      <c r="B441" s="47"/>
      <c r="C441" s="79"/>
      <c r="D441" s="47"/>
      <c r="E441" s="48"/>
      <c r="F441" s="48"/>
      <c r="G441" s="48"/>
      <c r="H441" s="30"/>
      <c r="I441" s="30"/>
      <c r="J441" s="30"/>
      <c r="K441" s="28"/>
      <c r="L441" s="31"/>
      <c r="M441" s="31"/>
      <c r="N441" s="32"/>
      <c r="O441" s="36"/>
      <c r="P441" s="36"/>
      <c r="Q441" s="36"/>
      <c r="R441" s="15"/>
      <c r="S441" s="20"/>
      <c r="T441" s="20"/>
      <c r="U441" s="20"/>
      <c r="V441" s="20"/>
      <c r="W441" s="20"/>
      <c r="X441" s="19"/>
      <c r="Y441" s="19"/>
      <c r="Z441" s="20"/>
      <c r="AA441" s="20"/>
      <c r="AB441" s="20"/>
      <c r="AC441" s="20"/>
      <c r="AD441" s="15"/>
      <c r="AE441" s="15"/>
      <c r="AF441" s="19"/>
      <c r="AG441" s="20"/>
      <c r="AH441" s="15"/>
      <c r="AI441" s="15"/>
      <c r="AJ441" s="15"/>
      <c r="AK441" s="15"/>
      <c r="AL441" s="15"/>
      <c r="AM441" s="15"/>
      <c r="AN441" s="29"/>
      <c r="AO441" s="19"/>
      <c r="AP441" s="21"/>
      <c r="AQ441" s="22"/>
      <c r="AR441" s="26"/>
      <c r="AS441" s="37"/>
      <c r="AT441" s="38"/>
      <c r="AU441" s="38"/>
      <c r="AV441" s="27"/>
    </row>
    <row r="442" spans="1:48" s="1" customFormat="1" ht="21" customHeight="1" x14ac:dyDescent="0.25">
      <c r="A442" s="45"/>
      <c r="B442" s="47"/>
      <c r="C442" s="79"/>
      <c r="D442" s="47"/>
      <c r="E442" s="48"/>
      <c r="F442" s="48"/>
      <c r="G442" s="48"/>
      <c r="H442" s="30"/>
      <c r="I442" s="30"/>
      <c r="J442" s="30"/>
      <c r="K442" s="28"/>
      <c r="L442" s="31"/>
      <c r="M442" s="31"/>
      <c r="N442" s="32"/>
      <c r="O442" s="36"/>
      <c r="P442" s="36"/>
      <c r="Q442" s="36"/>
      <c r="R442" s="15"/>
      <c r="S442" s="20"/>
      <c r="T442" s="20"/>
      <c r="U442" s="20"/>
      <c r="V442" s="20"/>
      <c r="W442" s="20"/>
      <c r="X442" s="19"/>
      <c r="Y442" s="19"/>
      <c r="Z442" s="20"/>
      <c r="AA442" s="20"/>
      <c r="AB442" s="20"/>
      <c r="AC442" s="20"/>
      <c r="AD442" s="15"/>
      <c r="AE442" s="15"/>
      <c r="AF442" s="19"/>
      <c r="AG442" s="20"/>
      <c r="AH442" s="15"/>
      <c r="AI442" s="15"/>
      <c r="AJ442" s="15"/>
      <c r="AK442" s="15"/>
      <c r="AL442" s="15"/>
      <c r="AM442" s="15"/>
      <c r="AN442" s="29"/>
      <c r="AO442" s="19"/>
      <c r="AP442" s="21"/>
      <c r="AQ442" s="22"/>
      <c r="AR442" s="26"/>
      <c r="AS442" s="37"/>
      <c r="AT442" s="38"/>
      <c r="AU442" s="38"/>
      <c r="AV442" s="27"/>
    </row>
    <row r="443" spans="1:48" s="1" customFormat="1" ht="21" customHeight="1" x14ac:dyDescent="0.25">
      <c r="A443" s="45"/>
      <c r="B443" s="47"/>
      <c r="C443" s="79"/>
      <c r="D443" s="47"/>
      <c r="E443" s="48"/>
      <c r="F443" s="48"/>
      <c r="G443" s="48"/>
      <c r="H443" s="30"/>
      <c r="I443" s="30"/>
      <c r="J443" s="30"/>
      <c r="K443" s="28"/>
      <c r="L443" s="31"/>
      <c r="M443" s="31"/>
      <c r="N443" s="32"/>
      <c r="O443" s="36"/>
      <c r="P443" s="36"/>
      <c r="Q443" s="36"/>
      <c r="R443" s="15"/>
      <c r="S443" s="20"/>
      <c r="T443" s="20"/>
      <c r="U443" s="20"/>
      <c r="V443" s="20"/>
      <c r="W443" s="20"/>
      <c r="X443" s="19"/>
      <c r="Y443" s="19"/>
      <c r="Z443" s="20"/>
      <c r="AA443" s="20"/>
      <c r="AB443" s="20"/>
      <c r="AC443" s="20"/>
      <c r="AD443" s="15"/>
      <c r="AE443" s="15"/>
      <c r="AF443" s="19"/>
      <c r="AG443" s="20"/>
      <c r="AH443" s="15"/>
      <c r="AI443" s="15"/>
      <c r="AJ443" s="15"/>
      <c r="AK443" s="15"/>
      <c r="AL443" s="15"/>
      <c r="AM443" s="15"/>
      <c r="AN443" s="29"/>
      <c r="AO443" s="19"/>
      <c r="AP443" s="21"/>
      <c r="AQ443" s="22"/>
      <c r="AR443" s="26"/>
      <c r="AS443" s="37"/>
      <c r="AT443" s="38"/>
      <c r="AU443" s="38"/>
      <c r="AV443" s="27"/>
    </row>
    <row r="444" spans="1:48" s="1" customFormat="1" ht="21" customHeight="1" x14ac:dyDescent="0.25">
      <c r="A444" s="45"/>
      <c r="B444" s="47"/>
      <c r="C444" s="79"/>
      <c r="D444" s="47"/>
      <c r="E444" s="48"/>
      <c r="F444" s="48"/>
      <c r="G444" s="48"/>
      <c r="H444" s="30"/>
      <c r="I444" s="30"/>
      <c r="J444" s="30"/>
      <c r="K444" s="28"/>
      <c r="L444" s="31"/>
      <c r="M444" s="31"/>
      <c r="N444" s="32"/>
      <c r="O444" s="36"/>
      <c r="P444" s="36"/>
      <c r="Q444" s="36"/>
      <c r="R444" s="15"/>
      <c r="S444" s="20"/>
      <c r="T444" s="20"/>
      <c r="U444" s="20"/>
      <c r="V444" s="20"/>
      <c r="W444" s="20"/>
      <c r="X444" s="19"/>
      <c r="Y444" s="19"/>
      <c r="Z444" s="20"/>
      <c r="AA444" s="20"/>
      <c r="AB444" s="20"/>
      <c r="AC444" s="20"/>
      <c r="AD444" s="15"/>
      <c r="AE444" s="15"/>
      <c r="AF444" s="19"/>
      <c r="AG444" s="20"/>
      <c r="AH444" s="15"/>
      <c r="AI444" s="15"/>
      <c r="AJ444" s="15"/>
      <c r="AK444" s="15"/>
      <c r="AL444" s="15"/>
      <c r="AM444" s="15"/>
      <c r="AN444" s="29"/>
      <c r="AO444" s="19"/>
      <c r="AP444" s="21"/>
      <c r="AQ444" s="22"/>
      <c r="AR444" s="26"/>
      <c r="AS444" s="37"/>
      <c r="AT444" s="38"/>
      <c r="AU444" s="38"/>
      <c r="AV444" s="27"/>
    </row>
    <row r="445" spans="1:48" s="1" customFormat="1" ht="21" customHeight="1" x14ac:dyDescent="0.25">
      <c r="A445" s="45"/>
      <c r="B445" s="47"/>
      <c r="C445" s="79"/>
      <c r="D445" s="47"/>
      <c r="E445" s="48"/>
      <c r="F445" s="48"/>
      <c r="G445" s="48"/>
      <c r="H445" s="30"/>
      <c r="I445" s="30"/>
      <c r="J445" s="30"/>
      <c r="K445" s="28"/>
      <c r="L445" s="31"/>
      <c r="M445" s="31"/>
      <c r="N445" s="32"/>
      <c r="O445" s="36"/>
      <c r="P445" s="36"/>
      <c r="Q445" s="36"/>
      <c r="R445" s="15"/>
      <c r="S445" s="20"/>
      <c r="T445" s="20"/>
      <c r="U445" s="20"/>
      <c r="V445" s="20"/>
      <c r="W445" s="20"/>
      <c r="X445" s="19"/>
      <c r="Y445" s="19"/>
      <c r="Z445" s="20"/>
      <c r="AA445" s="20"/>
      <c r="AB445" s="20"/>
      <c r="AC445" s="20"/>
      <c r="AD445" s="15"/>
      <c r="AE445" s="15"/>
      <c r="AF445" s="19"/>
      <c r="AG445" s="20"/>
      <c r="AH445" s="15"/>
      <c r="AI445" s="15"/>
      <c r="AJ445" s="15"/>
      <c r="AK445" s="15"/>
      <c r="AL445" s="15"/>
      <c r="AM445" s="15"/>
      <c r="AN445" s="29"/>
      <c r="AO445" s="19"/>
      <c r="AP445" s="21"/>
      <c r="AQ445" s="22"/>
      <c r="AR445" s="26"/>
      <c r="AS445" s="37"/>
      <c r="AT445" s="38"/>
      <c r="AU445" s="38"/>
      <c r="AV445" s="27"/>
    </row>
    <row r="446" spans="1:48" s="1" customFormat="1" ht="21" customHeight="1" x14ac:dyDescent="0.25">
      <c r="A446" s="45"/>
      <c r="B446" s="47"/>
      <c r="C446" s="79"/>
      <c r="D446" s="47"/>
      <c r="E446" s="48"/>
      <c r="F446" s="48"/>
      <c r="G446" s="48"/>
      <c r="H446" s="30"/>
      <c r="I446" s="30"/>
      <c r="J446" s="30"/>
      <c r="K446" s="28"/>
      <c r="L446" s="31"/>
      <c r="M446" s="31"/>
      <c r="N446" s="32"/>
      <c r="O446" s="36"/>
      <c r="P446" s="36"/>
      <c r="Q446" s="36"/>
      <c r="R446" s="15"/>
      <c r="S446" s="20"/>
      <c r="T446" s="20"/>
      <c r="U446" s="20"/>
      <c r="V446" s="20"/>
      <c r="W446" s="20"/>
      <c r="X446" s="19"/>
      <c r="Y446" s="19"/>
      <c r="Z446" s="20"/>
      <c r="AA446" s="20"/>
      <c r="AB446" s="20"/>
      <c r="AC446" s="20"/>
      <c r="AD446" s="15"/>
      <c r="AE446" s="15"/>
      <c r="AF446" s="19"/>
      <c r="AG446" s="20"/>
      <c r="AH446" s="15"/>
      <c r="AI446" s="15"/>
      <c r="AJ446" s="15"/>
      <c r="AK446" s="15"/>
      <c r="AL446" s="15"/>
      <c r="AM446" s="15"/>
      <c r="AN446" s="29"/>
      <c r="AO446" s="19"/>
      <c r="AP446" s="21"/>
      <c r="AQ446" s="22"/>
      <c r="AR446" s="26"/>
      <c r="AS446" s="37"/>
      <c r="AT446" s="38"/>
      <c r="AU446" s="38"/>
      <c r="AV446" s="27"/>
    </row>
    <row r="447" spans="1:48" s="1" customFormat="1" ht="21" customHeight="1" x14ac:dyDescent="0.25">
      <c r="A447" s="45"/>
      <c r="B447" s="47"/>
      <c r="C447" s="79"/>
      <c r="D447" s="47"/>
      <c r="E447" s="48"/>
      <c r="F447" s="48"/>
      <c r="G447" s="48"/>
      <c r="H447" s="30"/>
      <c r="I447" s="30"/>
      <c r="J447" s="30"/>
      <c r="K447" s="28"/>
      <c r="L447" s="31"/>
      <c r="M447" s="31"/>
      <c r="N447" s="32"/>
      <c r="O447" s="36"/>
      <c r="P447" s="36"/>
      <c r="Q447" s="36"/>
      <c r="R447" s="15"/>
      <c r="S447" s="20"/>
      <c r="T447" s="20"/>
      <c r="U447" s="20"/>
      <c r="V447" s="20"/>
      <c r="W447" s="20"/>
      <c r="X447" s="19"/>
      <c r="Y447" s="19"/>
      <c r="Z447" s="20"/>
      <c r="AA447" s="20"/>
      <c r="AB447" s="20"/>
      <c r="AC447" s="20"/>
      <c r="AD447" s="15"/>
      <c r="AE447" s="15"/>
      <c r="AF447" s="19"/>
      <c r="AG447" s="20"/>
      <c r="AH447" s="15"/>
      <c r="AI447" s="15"/>
      <c r="AJ447" s="15"/>
      <c r="AK447" s="15"/>
      <c r="AL447" s="15"/>
      <c r="AM447" s="15"/>
      <c r="AN447" s="29"/>
      <c r="AO447" s="19"/>
      <c r="AP447" s="21"/>
      <c r="AQ447" s="22"/>
      <c r="AR447" s="26"/>
      <c r="AS447" s="37"/>
      <c r="AT447" s="38"/>
      <c r="AU447" s="38"/>
      <c r="AV447" s="27"/>
    </row>
    <row r="448" spans="1:48" s="1" customFormat="1" ht="21" customHeight="1" x14ac:dyDescent="0.25">
      <c r="A448" s="45"/>
      <c r="B448" s="47"/>
      <c r="C448" s="81"/>
      <c r="D448" s="47"/>
      <c r="E448" s="48"/>
      <c r="F448" s="48"/>
      <c r="G448" s="48"/>
      <c r="H448" s="30"/>
      <c r="I448" s="30"/>
      <c r="J448" s="30"/>
      <c r="K448" s="28"/>
      <c r="L448" s="31"/>
      <c r="M448" s="31"/>
      <c r="N448" s="32"/>
      <c r="O448" s="36"/>
      <c r="P448" s="36"/>
      <c r="Q448" s="36"/>
      <c r="R448" s="15"/>
      <c r="S448" s="20"/>
      <c r="T448" s="20"/>
      <c r="U448" s="20"/>
      <c r="V448" s="20"/>
      <c r="W448" s="20"/>
      <c r="X448" s="19"/>
      <c r="Y448" s="19"/>
      <c r="Z448" s="20"/>
      <c r="AA448" s="20"/>
      <c r="AB448" s="20"/>
      <c r="AC448" s="20"/>
      <c r="AD448" s="15"/>
      <c r="AE448" s="15"/>
      <c r="AF448" s="19"/>
      <c r="AG448" s="20"/>
      <c r="AH448" s="15"/>
      <c r="AI448" s="15"/>
      <c r="AJ448" s="15"/>
      <c r="AK448" s="15"/>
      <c r="AL448" s="15"/>
      <c r="AM448" s="15"/>
      <c r="AN448" s="29"/>
      <c r="AO448" s="19"/>
      <c r="AP448" s="21"/>
      <c r="AQ448" s="22"/>
      <c r="AR448" s="26"/>
      <c r="AS448" s="37"/>
      <c r="AT448" s="38"/>
      <c r="AU448" s="38"/>
      <c r="AV448" s="27"/>
    </row>
    <row r="449" spans="1:48" s="1" customFormat="1" ht="21" customHeight="1" x14ac:dyDescent="0.25">
      <c r="A449" s="45"/>
      <c r="B449" s="47"/>
      <c r="C449" s="81"/>
      <c r="D449" s="47"/>
      <c r="E449" s="48"/>
      <c r="F449" s="48"/>
      <c r="G449" s="48"/>
      <c r="H449" s="30"/>
      <c r="I449" s="30"/>
      <c r="J449" s="30"/>
      <c r="K449" s="28"/>
      <c r="L449" s="31"/>
      <c r="M449" s="31"/>
      <c r="N449" s="32"/>
      <c r="O449" s="36"/>
      <c r="P449" s="36"/>
      <c r="Q449" s="36"/>
      <c r="R449" s="15"/>
      <c r="S449" s="20"/>
      <c r="T449" s="20"/>
      <c r="U449" s="20"/>
      <c r="V449" s="20"/>
      <c r="W449" s="20"/>
      <c r="X449" s="19"/>
      <c r="Y449" s="19"/>
      <c r="Z449" s="20"/>
      <c r="AA449" s="20"/>
      <c r="AB449" s="20"/>
      <c r="AC449" s="20"/>
      <c r="AD449" s="15"/>
      <c r="AE449" s="15"/>
      <c r="AF449" s="19"/>
      <c r="AG449" s="20"/>
      <c r="AH449" s="15"/>
      <c r="AI449" s="15"/>
      <c r="AJ449" s="15"/>
      <c r="AK449" s="15"/>
      <c r="AL449" s="15"/>
      <c r="AM449" s="15"/>
      <c r="AN449" s="29"/>
      <c r="AO449" s="19"/>
      <c r="AP449" s="21"/>
      <c r="AQ449" s="22"/>
      <c r="AR449" s="26"/>
      <c r="AS449" s="37"/>
      <c r="AT449" s="38"/>
      <c r="AU449" s="38"/>
      <c r="AV449" s="27"/>
    </row>
    <row r="450" spans="1:48" s="1" customFormat="1" ht="21" customHeight="1" x14ac:dyDescent="0.25">
      <c r="A450" s="45"/>
      <c r="B450" s="47"/>
      <c r="C450" s="81"/>
      <c r="D450" s="47"/>
      <c r="E450" s="48"/>
      <c r="F450" s="48"/>
      <c r="G450" s="48"/>
      <c r="H450" s="30"/>
      <c r="I450" s="30"/>
      <c r="J450" s="30"/>
      <c r="K450" s="28"/>
      <c r="L450" s="31"/>
      <c r="M450" s="31"/>
      <c r="N450" s="32"/>
      <c r="O450" s="36"/>
      <c r="P450" s="36"/>
      <c r="Q450" s="36"/>
      <c r="R450" s="15"/>
      <c r="S450" s="20"/>
      <c r="T450" s="20"/>
      <c r="U450" s="20"/>
      <c r="V450" s="20"/>
      <c r="W450" s="20"/>
      <c r="X450" s="19"/>
      <c r="Y450" s="19"/>
      <c r="Z450" s="20"/>
      <c r="AA450" s="20"/>
      <c r="AB450" s="20"/>
      <c r="AC450" s="20"/>
      <c r="AD450" s="15"/>
      <c r="AE450" s="15"/>
      <c r="AF450" s="19"/>
      <c r="AG450" s="20"/>
      <c r="AH450" s="15"/>
      <c r="AI450" s="15"/>
      <c r="AJ450" s="15"/>
      <c r="AK450" s="15"/>
      <c r="AL450" s="15"/>
      <c r="AM450" s="15"/>
      <c r="AN450" s="29"/>
      <c r="AO450" s="19"/>
      <c r="AP450" s="21"/>
      <c r="AQ450" s="22"/>
      <c r="AR450" s="26"/>
      <c r="AS450" s="37"/>
      <c r="AT450" s="38"/>
      <c r="AU450" s="38"/>
      <c r="AV450" s="27"/>
    </row>
    <row r="451" spans="1:48" s="1" customFormat="1" ht="21" customHeight="1" x14ac:dyDescent="0.25">
      <c r="A451" s="45"/>
      <c r="B451" s="47"/>
      <c r="C451" s="81"/>
      <c r="D451" s="47"/>
      <c r="E451" s="48"/>
      <c r="F451" s="48"/>
      <c r="G451" s="48"/>
      <c r="H451" s="30"/>
      <c r="I451" s="30"/>
      <c r="J451" s="30"/>
      <c r="K451" s="28"/>
      <c r="L451" s="31"/>
      <c r="M451" s="31"/>
      <c r="N451" s="32"/>
      <c r="O451" s="36"/>
      <c r="P451" s="36"/>
      <c r="Q451" s="36"/>
      <c r="R451" s="15"/>
      <c r="S451" s="20"/>
      <c r="T451" s="20"/>
      <c r="U451" s="20"/>
      <c r="V451" s="20"/>
      <c r="W451" s="20"/>
      <c r="X451" s="19"/>
      <c r="Y451" s="19"/>
      <c r="Z451" s="20"/>
      <c r="AA451" s="20"/>
      <c r="AB451" s="20"/>
      <c r="AC451" s="20"/>
      <c r="AD451" s="15"/>
      <c r="AE451" s="15"/>
      <c r="AF451" s="19"/>
      <c r="AG451" s="20"/>
      <c r="AH451" s="15"/>
      <c r="AI451" s="15"/>
      <c r="AJ451" s="15"/>
      <c r="AK451" s="15"/>
      <c r="AL451" s="15"/>
      <c r="AM451" s="15"/>
      <c r="AN451" s="29"/>
      <c r="AO451" s="19"/>
      <c r="AP451" s="21"/>
      <c r="AQ451" s="22"/>
      <c r="AR451" s="26"/>
      <c r="AS451" s="37"/>
      <c r="AT451" s="38"/>
      <c r="AU451" s="38"/>
      <c r="AV451" s="27"/>
    </row>
    <row r="452" spans="1:48" s="1" customFormat="1" ht="21" customHeight="1" x14ac:dyDescent="0.25">
      <c r="A452" s="45"/>
      <c r="B452" s="47"/>
      <c r="C452" s="81"/>
      <c r="D452" s="47"/>
      <c r="E452" s="48"/>
      <c r="F452" s="48"/>
      <c r="G452" s="48"/>
      <c r="H452" s="30"/>
      <c r="I452" s="30"/>
      <c r="J452" s="30"/>
      <c r="K452" s="28"/>
      <c r="L452" s="31"/>
      <c r="M452" s="31"/>
      <c r="N452" s="32"/>
      <c r="O452" s="36"/>
      <c r="P452" s="36"/>
      <c r="Q452" s="36"/>
      <c r="R452" s="15"/>
      <c r="S452" s="20"/>
      <c r="T452" s="20"/>
      <c r="U452" s="20"/>
      <c r="V452" s="20"/>
      <c r="W452" s="20"/>
      <c r="X452" s="19"/>
      <c r="Y452" s="19"/>
      <c r="Z452" s="20"/>
      <c r="AA452" s="20"/>
      <c r="AB452" s="20"/>
      <c r="AC452" s="20"/>
      <c r="AD452" s="15"/>
      <c r="AE452" s="15"/>
      <c r="AF452" s="19"/>
      <c r="AG452" s="20"/>
      <c r="AH452" s="15"/>
      <c r="AI452" s="15"/>
      <c r="AJ452" s="15"/>
      <c r="AK452" s="15"/>
      <c r="AL452" s="15"/>
      <c r="AM452" s="15"/>
      <c r="AN452" s="29"/>
      <c r="AO452" s="19"/>
      <c r="AP452" s="21"/>
      <c r="AQ452" s="22"/>
      <c r="AR452" s="26"/>
      <c r="AS452" s="37"/>
      <c r="AT452" s="38"/>
      <c r="AU452" s="38"/>
      <c r="AV452" s="27"/>
    </row>
    <row r="453" spans="1:48" s="1" customFormat="1" ht="21" customHeight="1" x14ac:dyDescent="0.25">
      <c r="A453" s="45"/>
      <c r="B453" s="47"/>
      <c r="C453" s="81"/>
      <c r="D453" s="47"/>
      <c r="E453" s="48"/>
      <c r="F453" s="48"/>
      <c r="G453" s="48"/>
      <c r="H453" s="30"/>
      <c r="I453" s="30"/>
      <c r="J453" s="30"/>
      <c r="K453" s="28"/>
      <c r="L453" s="31"/>
      <c r="M453" s="31"/>
      <c r="N453" s="32"/>
      <c r="O453" s="36"/>
      <c r="P453" s="36"/>
      <c r="Q453" s="36"/>
      <c r="R453" s="15"/>
      <c r="S453" s="20"/>
      <c r="T453" s="20"/>
      <c r="U453" s="20"/>
      <c r="V453" s="20"/>
      <c r="W453" s="20"/>
      <c r="X453" s="19"/>
      <c r="Y453" s="19"/>
      <c r="Z453" s="20"/>
      <c r="AA453" s="20"/>
      <c r="AB453" s="20"/>
      <c r="AC453" s="20"/>
      <c r="AD453" s="15"/>
      <c r="AE453" s="15"/>
      <c r="AF453" s="19"/>
      <c r="AG453" s="20"/>
      <c r="AH453" s="15"/>
      <c r="AI453" s="15"/>
      <c r="AJ453" s="15"/>
      <c r="AK453" s="15"/>
      <c r="AL453" s="15"/>
      <c r="AM453" s="15"/>
      <c r="AN453" s="29"/>
      <c r="AO453" s="19"/>
      <c r="AP453" s="21"/>
      <c r="AQ453" s="22"/>
      <c r="AR453" s="26"/>
      <c r="AS453" s="37"/>
      <c r="AT453" s="38"/>
      <c r="AU453" s="38"/>
      <c r="AV453" s="27"/>
    </row>
    <row r="454" spans="1:48" s="1" customFormat="1" ht="21" customHeight="1" x14ac:dyDescent="0.25">
      <c r="A454" s="45"/>
      <c r="B454" s="47"/>
      <c r="C454" s="81"/>
      <c r="D454" s="47"/>
      <c r="E454" s="48"/>
      <c r="F454" s="48"/>
      <c r="G454" s="48"/>
      <c r="H454" s="30"/>
      <c r="I454" s="30"/>
      <c r="J454" s="30"/>
      <c r="K454" s="28"/>
      <c r="L454" s="31"/>
      <c r="M454" s="31"/>
      <c r="N454" s="32"/>
      <c r="O454" s="36"/>
      <c r="P454" s="36"/>
      <c r="Q454" s="36"/>
      <c r="R454" s="15"/>
      <c r="S454" s="20"/>
      <c r="T454" s="20"/>
      <c r="U454" s="20"/>
      <c r="V454" s="20"/>
      <c r="W454" s="20"/>
      <c r="X454" s="19"/>
      <c r="Y454" s="19"/>
      <c r="Z454" s="20"/>
      <c r="AA454" s="20"/>
      <c r="AB454" s="20"/>
      <c r="AC454" s="20"/>
      <c r="AD454" s="15"/>
      <c r="AE454" s="15"/>
      <c r="AF454" s="19"/>
      <c r="AG454" s="20"/>
      <c r="AH454" s="15"/>
      <c r="AI454" s="15"/>
      <c r="AJ454" s="15"/>
      <c r="AK454" s="15"/>
      <c r="AL454" s="15"/>
      <c r="AM454" s="15"/>
      <c r="AN454" s="29"/>
      <c r="AO454" s="19"/>
      <c r="AP454" s="21"/>
      <c r="AQ454" s="22"/>
      <c r="AR454" s="26"/>
      <c r="AS454" s="37"/>
      <c r="AT454" s="38"/>
      <c r="AU454" s="38"/>
      <c r="AV454" s="27"/>
    </row>
    <row r="455" spans="1:48" s="1" customFormat="1" ht="21" customHeight="1" x14ac:dyDescent="0.25">
      <c r="A455" s="45"/>
      <c r="B455" s="47"/>
      <c r="C455" s="81"/>
      <c r="D455" s="47"/>
      <c r="E455" s="48"/>
      <c r="F455" s="48"/>
      <c r="G455" s="48"/>
      <c r="H455" s="30"/>
      <c r="I455" s="30"/>
      <c r="J455" s="30"/>
      <c r="K455" s="28"/>
      <c r="L455" s="31"/>
      <c r="M455" s="31"/>
      <c r="N455" s="32"/>
      <c r="O455" s="36"/>
      <c r="P455" s="36"/>
      <c r="Q455" s="36"/>
      <c r="R455" s="15"/>
      <c r="S455" s="20"/>
      <c r="T455" s="20"/>
      <c r="U455" s="20"/>
      <c r="V455" s="20"/>
      <c r="W455" s="20"/>
      <c r="X455" s="19"/>
      <c r="Y455" s="19"/>
      <c r="Z455" s="20"/>
      <c r="AA455" s="20"/>
      <c r="AB455" s="20"/>
      <c r="AC455" s="20"/>
      <c r="AD455" s="15"/>
      <c r="AE455" s="15"/>
      <c r="AF455" s="19"/>
      <c r="AG455" s="20"/>
      <c r="AH455" s="15"/>
      <c r="AI455" s="15"/>
      <c r="AJ455" s="15"/>
      <c r="AK455" s="15"/>
      <c r="AL455" s="15"/>
      <c r="AM455" s="15"/>
      <c r="AN455" s="29"/>
      <c r="AO455" s="19"/>
      <c r="AP455" s="21"/>
      <c r="AQ455" s="22"/>
      <c r="AR455" s="26"/>
      <c r="AS455" s="37"/>
      <c r="AT455" s="38"/>
      <c r="AU455" s="38"/>
      <c r="AV455" s="27"/>
    </row>
    <row r="456" spans="1:48" s="1" customFormat="1" ht="21" customHeight="1" x14ac:dyDescent="0.25">
      <c r="A456" s="83"/>
      <c r="B456" s="47"/>
      <c r="C456" s="80"/>
      <c r="D456" s="47"/>
      <c r="E456" s="48"/>
      <c r="F456" s="48"/>
      <c r="G456" s="48"/>
      <c r="H456" s="30"/>
      <c r="I456" s="30"/>
      <c r="J456" s="30"/>
      <c r="K456" s="28"/>
      <c r="L456" s="31"/>
      <c r="M456" s="31"/>
      <c r="N456" s="32"/>
      <c r="O456" s="36"/>
      <c r="P456" s="36"/>
      <c r="Q456" s="36"/>
      <c r="R456" s="15"/>
      <c r="S456" s="20"/>
      <c r="T456" s="20"/>
      <c r="U456" s="20"/>
      <c r="V456" s="20"/>
      <c r="W456" s="20"/>
      <c r="X456" s="19"/>
      <c r="Y456" s="19"/>
      <c r="Z456" s="20"/>
      <c r="AA456" s="20"/>
      <c r="AB456" s="20"/>
      <c r="AC456" s="20"/>
      <c r="AD456" s="15"/>
      <c r="AE456" s="15"/>
      <c r="AF456" s="19"/>
      <c r="AG456" s="20"/>
      <c r="AH456" s="15"/>
      <c r="AI456" s="15"/>
      <c r="AJ456" s="15"/>
      <c r="AK456" s="15"/>
      <c r="AL456" s="15"/>
      <c r="AM456" s="15"/>
      <c r="AN456" s="29"/>
      <c r="AO456" s="19"/>
      <c r="AP456" s="21"/>
      <c r="AQ456" s="22"/>
      <c r="AR456" s="26"/>
      <c r="AS456" s="37"/>
      <c r="AT456" s="38"/>
      <c r="AU456" s="38"/>
      <c r="AV456" s="27"/>
    </row>
    <row r="457" spans="1:48" s="1" customFormat="1" ht="21" customHeight="1" x14ac:dyDescent="0.25">
      <c r="A457" s="83"/>
      <c r="B457" s="47"/>
      <c r="C457" s="80"/>
      <c r="D457" s="47"/>
      <c r="E457" s="48"/>
      <c r="F457" s="48"/>
      <c r="G457" s="48"/>
      <c r="H457" s="30"/>
      <c r="I457" s="30"/>
      <c r="J457" s="30"/>
      <c r="K457" s="28"/>
      <c r="L457" s="31"/>
      <c r="M457" s="31"/>
      <c r="N457" s="32"/>
      <c r="O457" s="36"/>
      <c r="P457" s="36"/>
      <c r="Q457" s="36"/>
      <c r="R457" s="15"/>
      <c r="S457" s="20"/>
      <c r="T457" s="20"/>
      <c r="U457" s="20"/>
      <c r="V457" s="20"/>
      <c r="W457" s="20"/>
      <c r="X457" s="19"/>
      <c r="Y457" s="19"/>
      <c r="Z457" s="20"/>
      <c r="AA457" s="20"/>
      <c r="AB457" s="20"/>
      <c r="AC457" s="20"/>
      <c r="AD457" s="15"/>
      <c r="AE457" s="15"/>
      <c r="AF457" s="19"/>
      <c r="AG457" s="20"/>
      <c r="AH457" s="15"/>
      <c r="AI457" s="15"/>
      <c r="AJ457" s="15"/>
      <c r="AK457" s="15"/>
      <c r="AL457" s="15"/>
      <c r="AM457" s="15"/>
      <c r="AN457" s="29"/>
      <c r="AO457" s="19"/>
      <c r="AP457" s="21"/>
      <c r="AQ457" s="22"/>
      <c r="AR457" s="26"/>
      <c r="AS457" s="37"/>
      <c r="AT457" s="38"/>
      <c r="AU457" s="38"/>
      <c r="AV457" s="27"/>
    </row>
    <row r="458" spans="1:48" s="1" customFormat="1" ht="21" customHeight="1" x14ac:dyDescent="0.25">
      <c r="A458" s="83"/>
      <c r="B458" s="47"/>
      <c r="C458" s="80"/>
      <c r="D458" s="47"/>
      <c r="E458" s="48"/>
      <c r="F458" s="48"/>
      <c r="G458" s="48"/>
      <c r="H458" s="30"/>
      <c r="I458" s="30"/>
      <c r="J458" s="30"/>
      <c r="K458" s="28"/>
      <c r="L458" s="31"/>
      <c r="M458" s="31"/>
      <c r="N458" s="32"/>
      <c r="O458" s="36"/>
      <c r="P458" s="36"/>
      <c r="Q458" s="36"/>
      <c r="R458" s="15"/>
      <c r="S458" s="20"/>
      <c r="T458" s="20"/>
      <c r="U458" s="20"/>
      <c r="V458" s="20"/>
      <c r="W458" s="20"/>
      <c r="X458" s="19"/>
      <c r="Y458" s="19"/>
      <c r="Z458" s="20"/>
      <c r="AA458" s="20"/>
      <c r="AB458" s="20"/>
      <c r="AC458" s="20"/>
      <c r="AD458" s="15"/>
      <c r="AE458" s="15"/>
      <c r="AF458" s="19"/>
      <c r="AG458" s="20"/>
      <c r="AH458" s="15"/>
      <c r="AI458" s="15"/>
      <c r="AJ458" s="15"/>
      <c r="AK458" s="15"/>
      <c r="AL458" s="15"/>
      <c r="AM458" s="15"/>
      <c r="AN458" s="29"/>
      <c r="AO458" s="19"/>
      <c r="AP458" s="21"/>
      <c r="AQ458" s="22"/>
      <c r="AR458" s="26"/>
      <c r="AS458" s="37"/>
      <c r="AT458" s="38"/>
      <c r="AU458" s="38"/>
      <c r="AV458" s="27"/>
    </row>
    <row r="459" spans="1:48" s="1" customFormat="1" ht="21" customHeight="1" x14ac:dyDescent="0.25">
      <c r="A459" s="83"/>
      <c r="B459" s="47"/>
      <c r="C459" s="80"/>
      <c r="D459" s="47"/>
      <c r="E459" s="48"/>
      <c r="F459" s="48"/>
      <c r="G459" s="48"/>
      <c r="H459" s="30"/>
      <c r="I459" s="30"/>
      <c r="J459" s="30"/>
      <c r="K459" s="28"/>
      <c r="L459" s="31"/>
      <c r="M459" s="31"/>
      <c r="N459" s="32"/>
      <c r="O459" s="36"/>
      <c r="P459" s="36"/>
      <c r="Q459" s="36"/>
      <c r="R459" s="15"/>
      <c r="S459" s="20"/>
      <c r="T459" s="20"/>
      <c r="U459" s="20"/>
      <c r="V459" s="20"/>
      <c r="W459" s="20"/>
      <c r="X459" s="19"/>
      <c r="Y459" s="19"/>
      <c r="Z459" s="20"/>
      <c r="AA459" s="20"/>
      <c r="AB459" s="20"/>
      <c r="AC459" s="20"/>
      <c r="AD459" s="15"/>
      <c r="AE459" s="15"/>
      <c r="AF459" s="19"/>
      <c r="AG459" s="20"/>
      <c r="AH459" s="15"/>
      <c r="AI459" s="15"/>
      <c r="AJ459" s="15"/>
      <c r="AK459" s="15"/>
      <c r="AL459" s="15"/>
      <c r="AM459" s="15"/>
      <c r="AN459" s="29"/>
      <c r="AO459" s="19"/>
      <c r="AP459" s="21"/>
      <c r="AQ459" s="22"/>
      <c r="AR459" s="26"/>
      <c r="AS459" s="37"/>
      <c r="AT459" s="38"/>
      <c r="AU459" s="38"/>
      <c r="AV459" s="27"/>
    </row>
    <row r="460" spans="1:48" s="1" customFormat="1" ht="21" customHeight="1" x14ac:dyDescent="0.25">
      <c r="A460" s="83"/>
      <c r="B460" s="47"/>
      <c r="C460" s="80"/>
      <c r="D460" s="47"/>
      <c r="E460" s="48"/>
      <c r="F460" s="48"/>
      <c r="G460" s="48"/>
      <c r="H460" s="30"/>
      <c r="I460" s="30"/>
      <c r="J460" s="30"/>
      <c r="K460" s="28"/>
      <c r="L460" s="31"/>
      <c r="M460" s="31"/>
      <c r="N460" s="32"/>
      <c r="O460" s="36"/>
      <c r="P460" s="36"/>
      <c r="Q460" s="36"/>
      <c r="R460" s="15"/>
      <c r="S460" s="20"/>
      <c r="T460" s="20"/>
      <c r="U460" s="20"/>
      <c r="V460" s="20"/>
      <c r="W460" s="20"/>
      <c r="X460" s="19"/>
      <c r="Y460" s="19"/>
      <c r="Z460" s="20"/>
      <c r="AA460" s="20"/>
      <c r="AB460" s="20"/>
      <c r="AC460" s="20"/>
      <c r="AD460" s="15"/>
      <c r="AE460" s="15"/>
      <c r="AF460" s="19"/>
      <c r="AG460" s="20"/>
      <c r="AH460" s="15"/>
      <c r="AI460" s="15"/>
      <c r="AJ460" s="15"/>
      <c r="AK460" s="15"/>
      <c r="AL460" s="15"/>
      <c r="AM460" s="15"/>
      <c r="AN460" s="29"/>
      <c r="AO460" s="19"/>
      <c r="AP460" s="21"/>
      <c r="AQ460" s="22"/>
      <c r="AR460" s="26"/>
      <c r="AS460" s="37"/>
      <c r="AT460" s="38"/>
      <c r="AU460" s="38"/>
      <c r="AV460" s="27"/>
    </row>
    <row r="461" spans="1:48" s="1" customFormat="1" ht="21" customHeight="1" x14ac:dyDescent="0.25">
      <c r="A461" s="83"/>
      <c r="B461" s="47"/>
      <c r="C461" s="80"/>
      <c r="D461" s="47"/>
      <c r="E461" s="48"/>
      <c r="F461" s="48"/>
      <c r="G461" s="48"/>
      <c r="H461" s="30"/>
      <c r="I461" s="30"/>
      <c r="J461" s="30"/>
      <c r="K461" s="28"/>
      <c r="L461" s="31"/>
      <c r="M461" s="31"/>
      <c r="N461" s="32"/>
      <c r="O461" s="36"/>
      <c r="P461" s="36"/>
      <c r="Q461" s="36"/>
      <c r="R461" s="15"/>
      <c r="S461" s="20"/>
      <c r="T461" s="20"/>
      <c r="U461" s="20"/>
      <c r="V461" s="20"/>
      <c r="W461" s="20"/>
      <c r="X461" s="19"/>
      <c r="Y461" s="19"/>
      <c r="Z461" s="20"/>
      <c r="AA461" s="20"/>
      <c r="AB461" s="20"/>
      <c r="AC461" s="20"/>
      <c r="AD461" s="15"/>
      <c r="AE461" s="15"/>
      <c r="AF461" s="19"/>
      <c r="AG461" s="20"/>
      <c r="AH461" s="15"/>
      <c r="AI461" s="15"/>
      <c r="AJ461" s="15"/>
      <c r="AK461" s="15"/>
      <c r="AL461" s="15"/>
      <c r="AM461" s="15"/>
      <c r="AN461" s="29"/>
      <c r="AO461" s="19"/>
      <c r="AP461" s="21"/>
      <c r="AQ461" s="22"/>
      <c r="AR461" s="26"/>
      <c r="AS461" s="37"/>
      <c r="AT461" s="38"/>
      <c r="AU461" s="38"/>
      <c r="AV461" s="27"/>
    </row>
    <row r="462" spans="1:48" s="1" customFormat="1" ht="21" customHeight="1" x14ac:dyDescent="0.25">
      <c r="A462" s="83"/>
      <c r="B462" s="47"/>
      <c r="C462" s="80"/>
      <c r="D462" s="47"/>
      <c r="E462" s="48"/>
      <c r="F462" s="48"/>
      <c r="G462" s="48"/>
      <c r="H462" s="30"/>
      <c r="I462" s="30"/>
      <c r="J462" s="30"/>
      <c r="K462" s="28"/>
      <c r="L462" s="31"/>
      <c r="M462" s="31"/>
      <c r="N462" s="32"/>
      <c r="O462" s="36"/>
      <c r="P462" s="36"/>
      <c r="Q462" s="36"/>
      <c r="R462" s="15"/>
      <c r="S462" s="20"/>
      <c r="T462" s="20"/>
      <c r="U462" s="20"/>
      <c r="V462" s="20"/>
      <c r="W462" s="20"/>
      <c r="X462" s="19"/>
      <c r="Y462" s="19"/>
      <c r="Z462" s="20"/>
      <c r="AA462" s="20"/>
      <c r="AB462" s="20"/>
      <c r="AC462" s="20"/>
      <c r="AD462" s="15"/>
      <c r="AE462" s="15"/>
      <c r="AF462" s="19"/>
      <c r="AG462" s="20"/>
      <c r="AH462" s="15"/>
      <c r="AI462" s="15"/>
      <c r="AJ462" s="15"/>
      <c r="AK462" s="15"/>
      <c r="AL462" s="15"/>
      <c r="AM462" s="15"/>
      <c r="AN462" s="29"/>
      <c r="AO462" s="19"/>
      <c r="AP462" s="21"/>
      <c r="AQ462" s="22"/>
      <c r="AR462" s="26"/>
      <c r="AS462" s="37"/>
      <c r="AT462" s="38"/>
      <c r="AU462" s="38"/>
      <c r="AV462" s="27"/>
    </row>
    <row r="463" spans="1:48" s="1" customFormat="1" ht="21" customHeight="1" x14ac:dyDescent="0.25">
      <c r="A463" s="83"/>
      <c r="B463" s="47"/>
      <c r="C463" s="80"/>
      <c r="D463" s="47"/>
      <c r="E463" s="48"/>
      <c r="F463" s="48"/>
      <c r="G463" s="48"/>
      <c r="H463" s="30"/>
      <c r="I463" s="30"/>
      <c r="J463" s="30"/>
      <c r="K463" s="28"/>
      <c r="L463" s="31"/>
      <c r="M463" s="31"/>
      <c r="N463" s="32"/>
      <c r="O463" s="36"/>
      <c r="P463" s="36"/>
      <c r="Q463" s="36"/>
      <c r="R463" s="15"/>
      <c r="S463" s="20"/>
      <c r="T463" s="20"/>
      <c r="U463" s="20"/>
      <c r="V463" s="20"/>
      <c r="W463" s="20"/>
      <c r="X463" s="19"/>
      <c r="Y463" s="19"/>
      <c r="Z463" s="20"/>
      <c r="AA463" s="20"/>
      <c r="AB463" s="20"/>
      <c r="AC463" s="20"/>
      <c r="AD463" s="15"/>
      <c r="AE463" s="15"/>
      <c r="AF463" s="19"/>
      <c r="AG463" s="20"/>
      <c r="AH463" s="15"/>
      <c r="AI463" s="15"/>
      <c r="AJ463" s="15"/>
      <c r="AK463" s="15"/>
      <c r="AL463" s="15"/>
      <c r="AM463" s="15"/>
      <c r="AN463" s="29"/>
      <c r="AO463" s="19"/>
      <c r="AP463" s="21"/>
      <c r="AQ463" s="22"/>
      <c r="AR463" s="26"/>
      <c r="AS463" s="37"/>
      <c r="AT463" s="38"/>
      <c r="AU463" s="38"/>
      <c r="AV463" s="27"/>
    </row>
    <row r="464" spans="1:48" s="1" customFormat="1" ht="21" customHeight="1" x14ac:dyDescent="0.25">
      <c r="A464" s="83"/>
      <c r="B464" s="47"/>
      <c r="C464" s="82"/>
      <c r="D464" s="47"/>
      <c r="E464" s="48"/>
      <c r="F464" s="48"/>
      <c r="G464" s="48"/>
      <c r="H464" s="30"/>
      <c r="I464" s="30"/>
      <c r="J464" s="30"/>
      <c r="K464" s="28"/>
      <c r="L464" s="31"/>
      <c r="M464" s="31"/>
      <c r="N464" s="32"/>
      <c r="O464" s="36"/>
      <c r="P464" s="36"/>
      <c r="Q464" s="36"/>
      <c r="R464" s="15"/>
      <c r="S464" s="20"/>
      <c r="T464" s="20"/>
      <c r="U464" s="20"/>
      <c r="V464" s="20"/>
      <c r="W464" s="20"/>
      <c r="X464" s="19"/>
      <c r="Y464" s="19"/>
      <c r="Z464" s="20"/>
      <c r="AA464" s="20"/>
      <c r="AB464" s="20"/>
      <c r="AC464" s="20"/>
      <c r="AD464" s="15"/>
      <c r="AE464" s="15"/>
      <c r="AF464" s="19"/>
      <c r="AG464" s="20"/>
      <c r="AH464" s="15"/>
      <c r="AI464" s="15"/>
      <c r="AJ464" s="15"/>
      <c r="AK464" s="15"/>
      <c r="AL464" s="15"/>
      <c r="AM464" s="15"/>
      <c r="AN464" s="29"/>
      <c r="AO464" s="19"/>
      <c r="AP464" s="21"/>
      <c r="AQ464" s="22"/>
      <c r="AR464" s="26"/>
      <c r="AS464" s="37"/>
      <c r="AT464" s="38"/>
      <c r="AU464" s="38"/>
      <c r="AV464" s="27"/>
    </row>
    <row r="465" spans="1:48" s="1" customFormat="1" ht="21" customHeight="1" x14ac:dyDescent="0.25">
      <c r="A465" s="83"/>
      <c r="B465" s="47"/>
      <c r="C465" s="82"/>
      <c r="D465" s="47"/>
      <c r="E465" s="48"/>
      <c r="F465" s="48"/>
      <c r="G465" s="48"/>
      <c r="H465" s="30"/>
      <c r="I465" s="30"/>
      <c r="J465" s="30"/>
      <c r="K465" s="28"/>
      <c r="L465" s="31"/>
      <c r="M465" s="31"/>
      <c r="N465" s="32"/>
      <c r="O465" s="36"/>
      <c r="P465" s="36"/>
      <c r="Q465" s="36"/>
      <c r="R465" s="15"/>
      <c r="S465" s="20"/>
      <c r="T465" s="20"/>
      <c r="U465" s="20"/>
      <c r="V465" s="20"/>
      <c r="W465" s="20"/>
      <c r="X465" s="19"/>
      <c r="Y465" s="19"/>
      <c r="Z465" s="20"/>
      <c r="AA465" s="20"/>
      <c r="AB465" s="20"/>
      <c r="AC465" s="20"/>
      <c r="AD465" s="15"/>
      <c r="AE465" s="15"/>
      <c r="AF465" s="19"/>
      <c r="AG465" s="20"/>
      <c r="AH465" s="15"/>
      <c r="AI465" s="15"/>
      <c r="AJ465" s="15"/>
      <c r="AK465" s="15"/>
      <c r="AL465" s="15"/>
      <c r="AM465" s="15"/>
      <c r="AN465" s="29"/>
      <c r="AO465" s="19"/>
      <c r="AP465" s="21"/>
      <c r="AQ465" s="22"/>
      <c r="AR465" s="26"/>
      <c r="AS465" s="37"/>
      <c r="AT465" s="38"/>
      <c r="AU465" s="38"/>
      <c r="AV465" s="27"/>
    </row>
    <row r="466" spans="1:48" s="1" customFormat="1" ht="21" customHeight="1" x14ac:dyDescent="0.25">
      <c r="A466" s="83"/>
      <c r="B466" s="47"/>
      <c r="C466" s="82"/>
      <c r="D466" s="47"/>
      <c r="E466" s="48"/>
      <c r="F466" s="48"/>
      <c r="G466" s="48"/>
      <c r="H466" s="30"/>
      <c r="I466" s="30"/>
      <c r="J466" s="30"/>
      <c r="K466" s="28"/>
      <c r="L466" s="31"/>
      <c r="M466" s="31"/>
      <c r="N466" s="32"/>
      <c r="O466" s="36"/>
      <c r="P466" s="36"/>
      <c r="Q466" s="36"/>
      <c r="R466" s="15"/>
      <c r="S466" s="20"/>
      <c r="T466" s="20"/>
      <c r="U466" s="20"/>
      <c r="V466" s="20"/>
      <c r="W466" s="20"/>
      <c r="X466" s="19"/>
      <c r="Y466" s="19"/>
      <c r="Z466" s="20"/>
      <c r="AA466" s="20"/>
      <c r="AB466" s="20"/>
      <c r="AC466" s="20"/>
      <c r="AD466" s="15"/>
      <c r="AE466" s="15"/>
      <c r="AF466" s="19"/>
      <c r="AG466" s="20"/>
      <c r="AH466" s="15"/>
      <c r="AI466" s="15"/>
      <c r="AJ466" s="15"/>
      <c r="AK466" s="15"/>
      <c r="AL466" s="15"/>
      <c r="AM466" s="15"/>
      <c r="AN466" s="29"/>
      <c r="AO466" s="19"/>
      <c r="AP466" s="21"/>
      <c r="AQ466" s="22"/>
      <c r="AR466" s="26"/>
      <c r="AS466" s="37"/>
      <c r="AT466" s="38"/>
      <c r="AU466" s="38"/>
      <c r="AV466" s="27"/>
    </row>
    <row r="467" spans="1:48" s="1" customFormat="1" ht="21" customHeight="1" x14ac:dyDescent="0.25">
      <c r="A467" s="83"/>
      <c r="B467" s="47"/>
      <c r="C467" s="82"/>
      <c r="D467" s="47"/>
      <c r="E467" s="48"/>
      <c r="F467" s="48"/>
      <c r="G467" s="48"/>
      <c r="H467" s="30"/>
      <c r="I467" s="30"/>
      <c r="J467" s="30"/>
      <c r="K467" s="28"/>
      <c r="L467" s="31"/>
      <c r="M467" s="31"/>
      <c r="N467" s="32"/>
      <c r="O467" s="36"/>
      <c r="P467" s="36"/>
      <c r="Q467" s="36"/>
      <c r="R467" s="15"/>
      <c r="S467" s="20"/>
      <c r="T467" s="20"/>
      <c r="U467" s="20"/>
      <c r="V467" s="20"/>
      <c r="W467" s="20"/>
      <c r="X467" s="19"/>
      <c r="Y467" s="19"/>
      <c r="Z467" s="20"/>
      <c r="AA467" s="20"/>
      <c r="AB467" s="20"/>
      <c r="AC467" s="20"/>
      <c r="AD467" s="15"/>
      <c r="AE467" s="15"/>
      <c r="AF467" s="19"/>
      <c r="AG467" s="20"/>
      <c r="AH467" s="15"/>
      <c r="AI467" s="15"/>
      <c r="AJ467" s="15"/>
      <c r="AK467" s="15"/>
      <c r="AL467" s="15"/>
      <c r="AM467" s="15"/>
      <c r="AN467" s="29"/>
      <c r="AO467" s="19"/>
      <c r="AP467" s="21"/>
      <c r="AQ467" s="22"/>
      <c r="AR467" s="26"/>
      <c r="AS467" s="37"/>
      <c r="AT467" s="38"/>
      <c r="AU467" s="38"/>
      <c r="AV467" s="27"/>
    </row>
    <row r="468" spans="1:48" s="1" customFormat="1" ht="21" customHeight="1" x14ac:dyDescent="0.25">
      <c r="A468" s="83"/>
      <c r="B468" s="47"/>
      <c r="C468" s="82"/>
      <c r="D468" s="47"/>
      <c r="E468" s="48"/>
      <c r="F468" s="48"/>
      <c r="G468" s="48"/>
      <c r="H468" s="30"/>
      <c r="I468" s="30"/>
      <c r="J468" s="30"/>
      <c r="K468" s="28"/>
      <c r="L468" s="31"/>
      <c r="M468" s="31"/>
      <c r="N468" s="32"/>
      <c r="O468" s="36"/>
      <c r="P468" s="36"/>
      <c r="Q468" s="36"/>
      <c r="R468" s="15"/>
      <c r="S468" s="20"/>
      <c r="T468" s="20"/>
      <c r="U468" s="20"/>
      <c r="V468" s="20"/>
      <c r="W468" s="20"/>
      <c r="X468" s="19"/>
      <c r="Y468" s="19"/>
      <c r="Z468" s="20"/>
      <c r="AA468" s="20"/>
      <c r="AB468" s="20"/>
      <c r="AC468" s="20"/>
      <c r="AD468" s="15"/>
      <c r="AE468" s="15"/>
      <c r="AF468" s="19"/>
      <c r="AG468" s="20"/>
      <c r="AH468" s="15"/>
      <c r="AI468" s="15"/>
      <c r="AJ468" s="15"/>
      <c r="AK468" s="15"/>
      <c r="AL468" s="15"/>
      <c r="AM468" s="15"/>
      <c r="AN468" s="29"/>
      <c r="AO468" s="19"/>
      <c r="AP468" s="21"/>
      <c r="AQ468" s="22"/>
      <c r="AR468" s="26"/>
      <c r="AS468" s="37"/>
      <c r="AT468" s="38"/>
      <c r="AU468" s="38"/>
      <c r="AV468" s="27"/>
    </row>
    <row r="469" spans="1:48" s="1" customFormat="1" ht="21" customHeight="1" x14ac:dyDescent="0.25">
      <c r="A469" s="83"/>
      <c r="B469" s="47"/>
      <c r="C469" s="82"/>
      <c r="D469" s="47"/>
      <c r="E469" s="48"/>
      <c r="F469" s="48"/>
      <c r="G469" s="48"/>
      <c r="H469" s="30"/>
      <c r="I469" s="30"/>
      <c r="J469" s="30"/>
      <c r="K469" s="28"/>
      <c r="L469" s="31"/>
      <c r="M469" s="31"/>
      <c r="N469" s="32"/>
      <c r="O469" s="36"/>
      <c r="P469" s="36"/>
      <c r="Q469" s="36"/>
      <c r="R469" s="15"/>
      <c r="S469" s="20"/>
      <c r="T469" s="20"/>
      <c r="U469" s="20"/>
      <c r="V469" s="20"/>
      <c r="W469" s="20"/>
      <c r="X469" s="19"/>
      <c r="Y469" s="19"/>
      <c r="Z469" s="20"/>
      <c r="AA469" s="20"/>
      <c r="AB469" s="20"/>
      <c r="AC469" s="20"/>
      <c r="AD469" s="15"/>
      <c r="AE469" s="15"/>
      <c r="AF469" s="19"/>
      <c r="AG469" s="20"/>
      <c r="AH469" s="15"/>
      <c r="AI469" s="15"/>
      <c r="AJ469" s="15"/>
      <c r="AK469" s="15"/>
      <c r="AL469" s="15"/>
      <c r="AM469" s="15"/>
      <c r="AN469" s="29"/>
      <c r="AO469" s="19"/>
      <c r="AP469" s="21"/>
      <c r="AQ469" s="22"/>
      <c r="AR469" s="26"/>
      <c r="AS469" s="37"/>
      <c r="AT469" s="38"/>
      <c r="AU469" s="38"/>
      <c r="AV469" s="27"/>
    </row>
    <row r="470" spans="1:48" s="1" customFormat="1" ht="21" customHeight="1" x14ac:dyDescent="0.25">
      <c r="A470" s="83"/>
      <c r="B470" s="47"/>
      <c r="C470" s="82"/>
      <c r="D470" s="47"/>
      <c r="E470" s="48"/>
      <c r="F470" s="48"/>
      <c r="G470" s="48"/>
      <c r="H470" s="30"/>
      <c r="I470" s="30"/>
      <c r="J470" s="30"/>
      <c r="K470" s="28"/>
      <c r="L470" s="31"/>
      <c r="M470" s="31"/>
      <c r="N470" s="32"/>
      <c r="O470" s="36"/>
      <c r="P470" s="36"/>
      <c r="Q470" s="36"/>
      <c r="R470" s="15"/>
      <c r="S470" s="20"/>
      <c r="T470" s="20"/>
      <c r="U470" s="20"/>
      <c r="V470" s="20"/>
      <c r="W470" s="20"/>
      <c r="X470" s="19"/>
      <c r="Y470" s="19"/>
      <c r="Z470" s="20"/>
      <c r="AA470" s="20"/>
      <c r="AB470" s="20"/>
      <c r="AC470" s="20"/>
      <c r="AD470" s="15"/>
      <c r="AE470" s="15"/>
      <c r="AF470" s="19"/>
      <c r="AG470" s="20"/>
      <c r="AH470" s="15"/>
      <c r="AI470" s="15"/>
      <c r="AJ470" s="15"/>
      <c r="AK470" s="15"/>
      <c r="AL470" s="15"/>
      <c r="AM470" s="15"/>
      <c r="AN470" s="29"/>
      <c r="AO470" s="19"/>
      <c r="AP470" s="21"/>
      <c r="AQ470" s="22"/>
      <c r="AR470" s="26"/>
      <c r="AS470" s="37"/>
      <c r="AT470" s="38"/>
      <c r="AU470" s="38"/>
      <c r="AV470" s="27"/>
    </row>
    <row r="471" spans="1:48" s="1" customFormat="1" ht="21" customHeight="1" x14ac:dyDescent="0.25">
      <c r="A471" s="83"/>
      <c r="B471" s="47"/>
      <c r="C471" s="82"/>
      <c r="D471" s="47"/>
      <c r="E471" s="48"/>
      <c r="F471" s="48"/>
      <c r="G471" s="48"/>
      <c r="H471" s="30"/>
      <c r="I471" s="30"/>
      <c r="J471" s="30"/>
      <c r="K471" s="28"/>
      <c r="L471" s="31"/>
      <c r="M471" s="31"/>
      <c r="N471" s="32"/>
      <c r="O471" s="36"/>
      <c r="P471" s="36"/>
      <c r="Q471" s="36"/>
      <c r="R471" s="15"/>
      <c r="S471" s="20"/>
      <c r="T471" s="20"/>
      <c r="U471" s="20"/>
      <c r="V471" s="20"/>
      <c r="W471" s="20"/>
      <c r="X471" s="19"/>
      <c r="Y471" s="19"/>
      <c r="Z471" s="20"/>
      <c r="AA471" s="20"/>
      <c r="AB471" s="20"/>
      <c r="AC471" s="20"/>
      <c r="AD471" s="15"/>
      <c r="AE471" s="15"/>
      <c r="AF471" s="19"/>
      <c r="AG471" s="20"/>
      <c r="AH471" s="15"/>
      <c r="AI471" s="15"/>
      <c r="AJ471" s="15"/>
      <c r="AK471" s="15"/>
      <c r="AL471" s="15"/>
      <c r="AM471" s="15"/>
      <c r="AN471" s="29"/>
      <c r="AO471" s="19"/>
      <c r="AP471" s="21"/>
      <c r="AQ471" s="22"/>
      <c r="AR471" s="26"/>
      <c r="AS471" s="37"/>
      <c r="AT471" s="38"/>
      <c r="AU471" s="38"/>
      <c r="AV471" s="27"/>
    </row>
    <row r="472" spans="1:48" s="1" customFormat="1" ht="21" customHeight="1" x14ac:dyDescent="0.25">
      <c r="A472" s="83"/>
      <c r="B472" s="47"/>
      <c r="C472" s="82"/>
      <c r="D472" s="47"/>
      <c r="E472" s="48"/>
      <c r="F472" s="48"/>
      <c r="G472" s="48"/>
      <c r="H472" s="30"/>
      <c r="I472" s="30"/>
      <c r="J472" s="30"/>
      <c r="K472" s="28"/>
      <c r="L472" s="31"/>
      <c r="M472" s="31"/>
      <c r="N472" s="32"/>
      <c r="O472" s="36"/>
      <c r="P472" s="36"/>
      <c r="Q472" s="36"/>
      <c r="R472" s="15"/>
      <c r="S472" s="20"/>
      <c r="T472" s="20"/>
      <c r="U472" s="20"/>
      <c r="V472" s="20"/>
      <c r="W472" s="20"/>
      <c r="X472" s="19"/>
      <c r="Y472" s="19"/>
      <c r="Z472" s="20"/>
      <c r="AA472" s="20"/>
      <c r="AB472" s="20"/>
      <c r="AC472" s="20"/>
      <c r="AD472" s="15"/>
      <c r="AE472" s="15"/>
      <c r="AF472" s="19"/>
      <c r="AG472" s="20"/>
      <c r="AH472" s="15"/>
      <c r="AI472" s="15"/>
      <c r="AJ472" s="15"/>
      <c r="AK472" s="15"/>
      <c r="AL472" s="15"/>
      <c r="AM472" s="15"/>
      <c r="AN472" s="29"/>
      <c r="AO472" s="19"/>
      <c r="AP472" s="21"/>
      <c r="AQ472" s="22"/>
      <c r="AR472" s="26"/>
      <c r="AS472" s="37"/>
      <c r="AT472" s="38"/>
      <c r="AU472" s="38"/>
      <c r="AV472" s="27"/>
    </row>
    <row r="473" spans="1:48" s="1" customFormat="1" ht="21" customHeight="1" x14ac:dyDescent="0.25">
      <c r="A473" s="83"/>
      <c r="B473" s="47"/>
      <c r="C473" s="82"/>
      <c r="D473" s="47"/>
      <c r="E473" s="48"/>
      <c r="F473" s="48"/>
      <c r="G473" s="48"/>
      <c r="H473" s="30"/>
      <c r="I473" s="30"/>
      <c r="J473" s="30"/>
      <c r="K473" s="28"/>
      <c r="L473" s="31"/>
      <c r="M473" s="31"/>
      <c r="N473" s="32"/>
      <c r="O473" s="36"/>
      <c r="P473" s="36"/>
      <c r="Q473" s="36"/>
      <c r="R473" s="15"/>
      <c r="S473" s="20"/>
      <c r="T473" s="20"/>
      <c r="U473" s="20"/>
      <c r="V473" s="20"/>
      <c r="W473" s="20"/>
      <c r="X473" s="19"/>
      <c r="Y473" s="19"/>
      <c r="Z473" s="20"/>
      <c r="AA473" s="20"/>
      <c r="AB473" s="20"/>
      <c r="AC473" s="20"/>
      <c r="AD473" s="15"/>
      <c r="AE473" s="15"/>
      <c r="AF473" s="19"/>
      <c r="AG473" s="20"/>
      <c r="AH473" s="15"/>
      <c r="AI473" s="15"/>
      <c r="AJ473" s="15"/>
      <c r="AK473" s="15"/>
      <c r="AL473" s="15"/>
      <c r="AM473" s="15"/>
      <c r="AN473" s="29"/>
      <c r="AO473" s="19"/>
      <c r="AP473" s="21"/>
      <c r="AQ473" s="22"/>
      <c r="AR473" s="26"/>
      <c r="AS473" s="37"/>
      <c r="AT473" s="38"/>
      <c r="AU473" s="38"/>
      <c r="AV473" s="27"/>
    </row>
    <row r="474" spans="1:48" s="1" customFormat="1" ht="21" customHeight="1" x14ac:dyDescent="0.25">
      <c r="A474" s="83"/>
      <c r="B474" s="47"/>
      <c r="C474" s="82"/>
      <c r="D474" s="47"/>
      <c r="E474" s="48"/>
      <c r="F474" s="48"/>
      <c r="G474" s="48"/>
      <c r="H474" s="30"/>
      <c r="I474" s="30"/>
      <c r="J474" s="30"/>
      <c r="K474" s="28"/>
      <c r="L474" s="31"/>
      <c r="M474" s="31"/>
      <c r="N474" s="32"/>
      <c r="O474" s="36"/>
      <c r="P474" s="36"/>
      <c r="Q474" s="36"/>
      <c r="R474" s="15"/>
      <c r="S474" s="20"/>
      <c r="T474" s="20"/>
      <c r="U474" s="20"/>
      <c r="V474" s="20"/>
      <c r="W474" s="20"/>
      <c r="X474" s="19"/>
      <c r="Y474" s="19"/>
      <c r="Z474" s="20"/>
      <c r="AA474" s="20"/>
      <c r="AB474" s="20"/>
      <c r="AC474" s="20"/>
      <c r="AD474" s="15"/>
      <c r="AE474" s="15"/>
      <c r="AF474" s="19"/>
      <c r="AG474" s="20"/>
      <c r="AH474" s="15"/>
      <c r="AI474" s="15"/>
      <c r="AJ474" s="15"/>
      <c r="AK474" s="15"/>
      <c r="AL474" s="15"/>
      <c r="AM474" s="15"/>
      <c r="AN474" s="29"/>
      <c r="AO474" s="19"/>
      <c r="AP474" s="21"/>
      <c r="AQ474" s="22"/>
      <c r="AR474" s="26"/>
      <c r="AS474" s="37"/>
      <c r="AT474" s="38"/>
      <c r="AU474" s="38"/>
      <c r="AV474" s="27"/>
    </row>
    <row r="475" spans="1:48" s="1" customFormat="1" ht="21" customHeight="1" x14ac:dyDescent="0.25">
      <c r="A475" s="83"/>
      <c r="B475" s="47"/>
      <c r="C475" s="80"/>
      <c r="D475" s="47"/>
      <c r="E475" s="48"/>
      <c r="F475" s="48"/>
      <c r="G475" s="48"/>
      <c r="H475" s="30"/>
      <c r="I475" s="30"/>
      <c r="J475" s="30"/>
      <c r="K475" s="28"/>
      <c r="L475" s="31"/>
      <c r="M475" s="31"/>
      <c r="N475" s="32"/>
      <c r="O475" s="36"/>
      <c r="P475" s="36"/>
      <c r="Q475" s="36"/>
      <c r="R475" s="15"/>
      <c r="S475" s="20"/>
      <c r="T475" s="20"/>
      <c r="U475" s="20"/>
      <c r="V475" s="20"/>
      <c r="W475" s="20"/>
      <c r="X475" s="19"/>
      <c r="Y475" s="19"/>
      <c r="Z475" s="20"/>
      <c r="AA475" s="20"/>
      <c r="AB475" s="20"/>
      <c r="AC475" s="20"/>
      <c r="AD475" s="15"/>
      <c r="AE475" s="15"/>
      <c r="AF475" s="19"/>
      <c r="AG475" s="20"/>
      <c r="AH475" s="15"/>
      <c r="AI475" s="15"/>
      <c r="AJ475" s="15"/>
      <c r="AK475" s="15"/>
      <c r="AL475" s="15"/>
      <c r="AM475" s="15"/>
      <c r="AN475" s="29"/>
      <c r="AO475" s="19"/>
      <c r="AP475" s="21"/>
      <c r="AQ475" s="22"/>
      <c r="AR475" s="26"/>
      <c r="AS475" s="37"/>
      <c r="AT475" s="38"/>
      <c r="AU475" s="38"/>
      <c r="AV475" s="27"/>
    </row>
    <row r="476" spans="1:48" s="1" customFormat="1" ht="21" customHeight="1" x14ac:dyDescent="0.25">
      <c r="A476" s="83"/>
      <c r="B476" s="47"/>
      <c r="C476" s="80"/>
      <c r="D476" s="47"/>
      <c r="E476" s="48"/>
      <c r="F476" s="48"/>
      <c r="G476" s="48"/>
      <c r="H476" s="30"/>
      <c r="I476" s="30"/>
      <c r="J476" s="30"/>
      <c r="K476" s="28"/>
      <c r="L476" s="31"/>
      <c r="M476" s="31"/>
      <c r="N476" s="32"/>
      <c r="O476" s="36"/>
      <c r="P476" s="36"/>
      <c r="Q476" s="36"/>
      <c r="R476" s="15"/>
      <c r="S476" s="20"/>
      <c r="T476" s="20"/>
      <c r="U476" s="20"/>
      <c r="V476" s="20"/>
      <c r="W476" s="20"/>
      <c r="X476" s="19"/>
      <c r="Y476" s="19"/>
      <c r="Z476" s="20"/>
      <c r="AA476" s="20"/>
      <c r="AB476" s="20"/>
      <c r="AC476" s="20"/>
      <c r="AD476" s="15"/>
      <c r="AE476" s="15"/>
      <c r="AF476" s="19"/>
      <c r="AG476" s="20"/>
      <c r="AH476" s="15"/>
      <c r="AI476" s="15"/>
      <c r="AJ476" s="15"/>
      <c r="AK476" s="15"/>
      <c r="AL476" s="15"/>
      <c r="AM476" s="15"/>
      <c r="AN476" s="29"/>
      <c r="AO476" s="19"/>
      <c r="AP476" s="21"/>
      <c r="AQ476" s="22"/>
      <c r="AR476" s="26"/>
      <c r="AS476" s="37"/>
      <c r="AT476" s="38"/>
      <c r="AU476" s="38"/>
      <c r="AV476" s="27"/>
    </row>
    <row r="477" spans="1:48" s="1" customFormat="1" ht="21" customHeight="1" x14ac:dyDescent="0.25">
      <c r="A477" s="83"/>
      <c r="B477" s="47"/>
      <c r="C477" s="80"/>
      <c r="D477" s="47"/>
      <c r="E477" s="48"/>
      <c r="F477" s="48"/>
      <c r="G477" s="48"/>
      <c r="H477" s="30"/>
      <c r="I477" s="30"/>
      <c r="J477" s="30"/>
      <c r="K477" s="28"/>
      <c r="L477" s="31"/>
      <c r="M477" s="31"/>
      <c r="N477" s="32"/>
      <c r="O477" s="36"/>
      <c r="P477" s="36"/>
      <c r="Q477" s="36"/>
      <c r="R477" s="15"/>
      <c r="S477" s="20"/>
      <c r="T477" s="20"/>
      <c r="U477" s="20"/>
      <c r="V477" s="20"/>
      <c r="W477" s="20"/>
      <c r="X477" s="19"/>
      <c r="Y477" s="19"/>
      <c r="Z477" s="20"/>
      <c r="AA477" s="20"/>
      <c r="AB477" s="20"/>
      <c r="AC477" s="20"/>
      <c r="AD477" s="15"/>
      <c r="AE477" s="15"/>
      <c r="AF477" s="19"/>
      <c r="AG477" s="20"/>
      <c r="AH477" s="15"/>
      <c r="AI477" s="15"/>
      <c r="AJ477" s="15"/>
      <c r="AK477" s="15"/>
      <c r="AL477" s="15"/>
      <c r="AM477" s="15"/>
      <c r="AN477" s="29"/>
      <c r="AO477" s="19"/>
      <c r="AP477" s="21"/>
      <c r="AQ477" s="22"/>
      <c r="AR477" s="26"/>
      <c r="AS477" s="37"/>
      <c r="AT477" s="38"/>
      <c r="AU477" s="38"/>
      <c r="AV477" s="27"/>
    </row>
    <row r="478" spans="1:48" s="1" customFormat="1" ht="21" customHeight="1" x14ac:dyDescent="0.25">
      <c r="A478" s="83"/>
      <c r="B478" s="47"/>
      <c r="C478" s="80"/>
      <c r="D478" s="47"/>
      <c r="E478" s="48"/>
      <c r="F478" s="48"/>
      <c r="G478" s="48"/>
      <c r="H478" s="30"/>
      <c r="I478" s="30"/>
      <c r="J478" s="30"/>
      <c r="K478" s="28"/>
      <c r="L478" s="31"/>
      <c r="M478" s="31"/>
      <c r="N478" s="32"/>
      <c r="O478" s="36"/>
      <c r="P478" s="36"/>
      <c r="Q478" s="36"/>
      <c r="R478" s="15"/>
      <c r="S478" s="20"/>
      <c r="T478" s="20"/>
      <c r="U478" s="20"/>
      <c r="V478" s="20"/>
      <c r="W478" s="20"/>
      <c r="X478" s="19"/>
      <c r="Y478" s="19"/>
      <c r="Z478" s="20"/>
      <c r="AA478" s="20"/>
      <c r="AB478" s="20"/>
      <c r="AC478" s="20"/>
      <c r="AD478" s="15"/>
      <c r="AE478" s="15"/>
      <c r="AF478" s="19"/>
      <c r="AG478" s="20"/>
      <c r="AH478" s="15"/>
      <c r="AI478" s="15"/>
      <c r="AJ478" s="15"/>
      <c r="AK478" s="15"/>
      <c r="AL478" s="15"/>
      <c r="AM478" s="15"/>
      <c r="AN478" s="29"/>
      <c r="AO478" s="19"/>
      <c r="AP478" s="21"/>
      <c r="AQ478" s="22"/>
      <c r="AR478" s="26"/>
      <c r="AS478" s="37"/>
      <c r="AT478" s="38"/>
      <c r="AU478" s="38"/>
      <c r="AV478" s="27"/>
    </row>
    <row r="479" spans="1:48" s="1" customFormat="1" ht="21" customHeight="1" x14ac:dyDescent="0.25">
      <c r="A479" s="83"/>
      <c r="B479" s="47"/>
      <c r="C479" s="80"/>
      <c r="D479" s="33"/>
      <c r="E479" s="48"/>
      <c r="F479" s="48"/>
      <c r="G479" s="48"/>
      <c r="H479" s="30"/>
      <c r="I479" s="30"/>
      <c r="J479" s="30"/>
      <c r="K479" s="28"/>
      <c r="L479" s="31"/>
      <c r="M479" s="31"/>
      <c r="N479" s="32"/>
      <c r="O479" s="36"/>
      <c r="P479" s="36"/>
      <c r="Q479" s="36"/>
      <c r="R479" s="15"/>
      <c r="S479" s="20"/>
      <c r="T479" s="20"/>
      <c r="U479" s="20"/>
      <c r="V479" s="20"/>
      <c r="W479" s="20"/>
      <c r="X479" s="19"/>
      <c r="Y479" s="19"/>
      <c r="Z479" s="20"/>
      <c r="AA479" s="20"/>
      <c r="AB479" s="20"/>
      <c r="AC479" s="20"/>
      <c r="AD479" s="15"/>
      <c r="AE479" s="15"/>
      <c r="AF479" s="19"/>
      <c r="AG479" s="20"/>
      <c r="AH479" s="15"/>
      <c r="AI479" s="15"/>
      <c r="AJ479" s="15"/>
      <c r="AK479" s="15"/>
      <c r="AL479" s="15"/>
      <c r="AM479" s="15"/>
      <c r="AN479" s="29"/>
      <c r="AO479" s="19"/>
      <c r="AP479" s="21"/>
      <c r="AQ479" s="22"/>
      <c r="AR479" s="26"/>
      <c r="AS479" s="37"/>
      <c r="AT479" s="38"/>
      <c r="AU479" s="38"/>
      <c r="AV479" s="27"/>
    </row>
    <row r="480" spans="1:48" s="1" customFormat="1" ht="21" customHeight="1" x14ac:dyDescent="0.25">
      <c r="A480" s="83"/>
      <c r="B480" s="47"/>
      <c r="C480" s="80"/>
      <c r="D480" s="33"/>
      <c r="E480" s="48"/>
      <c r="F480" s="48"/>
      <c r="G480" s="48"/>
      <c r="H480" s="30"/>
      <c r="I480" s="30"/>
      <c r="J480" s="30"/>
      <c r="K480" s="28"/>
      <c r="L480" s="31"/>
      <c r="M480" s="31"/>
      <c r="N480" s="32"/>
      <c r="O480" s="36"/>
      <c r="P480" s="36"/>
      <c r="Q480" s="36"/>
      <c r="R480" s="15"/>
      <c r="S480" s="20"/>
      <c r="T480" s="20"/>
      <c r="U480" s="20"/>
      <c r="V480" s="20"/>
      <c r="W480" s="20"/>
      <c r="X480" s="19"/>
      <c r="Y480" s="19"/>
      <c r="Z480" s="20"/>
      <c r="AA480" s="20"/>
      <c r="AB480" s="20"/>
      <c r="AC480" s="20"/>
      <c r="AD480" s="15"/>
      <c r="AE480" s="15"/>
      <c r="AF480" s="19"/>
      <c r="AG480" s="20"/>
      <c r="AH480" s="15"/>
      <c r="AI480" s="15"/>
      <c r="AJ480" s="15"/>
      <c r="AK480" s="15"/>
      <c r="AL480" s="15"/>
      <c r="AM480" s="15"/>
      <c r="AN480" s="29"/>
      <c r="AO480" s="19"/>
      <c r="AP480" s="21"/>
      <c r="AQ480" s="22"/>
      <c r="AR480" s="26"/>
      <c r="AS480" s="37"/>
      <c r="AT480" s="38"/>
      <c r="AU480" s="38"/>
      <c r="AV480" s="27"/>
    </row>
    <row r="481" spans="1:48" s="1" customFormat="1" ht="21" customHeight="1" x14ac:dyDescent="0.25">
      <c r="A481" s="83"/>
      <c r="B481" s="47"/>
      <c r="C481" s="80"/>
      <c r="D481" s="33"/>
      <c r="E481" s="48"/>
      <c r="F481" s="48"/>
      <c r="G481" s="48"/>
      <c r="H481" s="30"/>
      <c r="I481" s="30"/>
      <c r="J481" s="30"/>
      <c r="K481" s="28"/>
      <c r="L481" s="31"/>
      <c r="M481" s="31"/>
      <c r="N481" s="32"/>
      <c r="O481" s="36"/>
      <c r="P481" s="36"/>
      <c r="Q481" s="36"/>
      <c r="R481" s="15"/>
      <c r="S481" s="20"/>
      <c r="T481" s="20"/>
      <c r="U481" s="20"/>
      <c r="V481" s="20"/>
      <c r="W481" s="20"/>
      <c r="X481" s="19"/>
      <c r="Y481" s="19"/>
      <c r="Z481" s="20"/>
      <c r="AA481" s="20"/>
      <c r="AB481" s="20"/>
      <c r="AC481" s="20"/>
      <c r="AD481" s="15"/>
      <c r="AE481" s="15"/>
      <c r="AF481" s="19"/>
      <c r="AG481" s="20"/>
      <c r="AH481" s="15"/>
      <c r="AI481" s="15"/>
      <c r="AJ481" s="15"/>
      <c r="AK481" s="15"/>
      <c r="AL481" s="15"/>
      <c r="AM481" s="15"/>
      <c r="AN481" s="29"/>
      <c r="AO481" s="19"/>
      <c r="AP481" s="21"/>
      <c r="AQ481" s="22"/>
      <c r="AR481" s="26"/>
      <c r="AS481" s="37"/>
      <c r="AT481" s="38"/>
      <c r="AU481" s="38"/>
      <c r="AV481" s="27"/>
    </row>
    <row r="482" spans="1:48" s="1" customFormat="1" ht="21" customHeight="1" x14ac:dyDescent="0.25">
      <c r="A482" s="83"/>
      <c r="B482" s="47"/>
      <c r="C482" s="80"/>
      <c r="D482" s="33"/>
      <c r="E482" s="48"/>
      <c r="F482" s="48"/>
      <c r="G482" s="48"/>
      <c r="H482" s="30"/>
      <c r="I482" s="30"/>
      <c r="J482" s="30"/>
      <c r="K482" s="28"/>
      <c r="L482" s="31"/>
      <c r="M482" s="31"/>
      <c r="N482" s="32"/>
      <c r="O482" s="36"/>
      <c r="P482" s="36"/>
      <c r="Q482" s="36"/>
      <c r="R482" s="15"/>
      <c r="S482" s="20"/>
      <c r="T482" s="20"/>
      <c r="U482" s="20"/>
      <c r="V482" s="20"/>
      <c r="W482" s="20"/>
      <c r="X482" s="19"/>
      <c r="Y482" s="19"/>
      <c r="Z482" s="20"/>
      <c r="AA482" s="20"/>
      <c r="AB482" s="20"/>
      <c r="AC482" s="20"/>
      <c r="AD482" s="15"/>
      <c r="AE482" s="15"/>
      <c r="AF482" s="19"/>
      <c r="AG482" s="20"/>
      <c r="AH482" s="15"/>
      <c r="AI482" s="15"/>
      <c r="AJ482" s="15"/>
      <c r="AK482" s="15"/>
      <c r="AL482" s="15"/>
      <c r="AM482" s="15"/>
      <c r="AN482" s="29"/>
      <c r="AO482" s="19"/>
      <c r="AP482" s="21"/>
      <c r="AQ482" s="22"/>
      <c r="AR482" s="26"/>
      <c r="AS482" s="37"/>
      <c r="AT482" s="38"/>
      <c r="AU482" s="38"/>
      <c r="AV482" s="27"/>
    </row>
    <row r="483" spans="1:48" s="1" customFormat="1" ht="21" customHeight="1" x14ac:dyDescent="0.25">
      <c r="A483" s="83"/>
      <c r="B483" s="47"/>
      <c r="C483" s="80"/>
      <c r="D483" s="33"/>
      <c r="E483" s="48"/>
      <c r="F483" s="48"/>
      <c r="G483" s="48"/>
      <c r="H483" s="30"/>
      <c r="I483" s="30"/>
      <c r="J483" s="30"/>
      <c r="K483" s="28"/>
      <c r="L483" s="31"/>
      <c r="M483" s="31"/>
      <c r="N483" s="32"/>
      <c r="O483" s="36"/>
      <c r="P483" s="36"/>
      <c r="Q483" s="36"/>
      <c r="R483" s="15"/>
      <c r="S483" s="20"/>
      <c r="T483" s="20"/>
      <c r="U483" s="20"/>
      <c r="V483" s="20"/>
      <c r="W483" s="20"/>
      <c r="X483" s="19"/>
      <c r="Y483" s="19"/>
      <c r="Z483" s="20"/>
      <c r="AA483" s="20"/>
      <c r="AB483" s="20"/>
      <c r="AC483" s="20"/>
      <c r="AD483" s="15"/>
      <c r="AE483" s="15"/>
      <c r="AF483" s="19"/>
      <c r="AG483" s="20"/>
      <c r="AH483" s="15"/>
      <c r="AI483" s="15"/>
      <c r="AJ483" s="15"/>
      <c r="AK483" s="15"/>
      <c r="AL483" s="15"/>
      <c r="AM483" s="15"/>
      <c r="AN483" s="29"/>
      <c r="AO483" s="19"/>
      <c r="AP483" s="21"/>
      <c r="AQ483" s="22"/>
      <c r="AR483" s="26"/>
      <c r="AS483" s="37"/>
      <c r="AT483" s="38"/>
      <c r="AU483" s="38"/>
      <c r="AV483" s="27"/>
    </row>
    <row r="484" spans="1:48" s="1" customFormat="1" ht="21" customHeight="1" x14ac:dyDescent="0.25">
      <c r="A484" s="83"/>
      <c r="B484" s="47"/>
      <c r="C484" s="80"/>
      <c r="D484" s="33"/>
      <c r="E484" s="48"/>
      <c r="F484" s="48"/>
      <c r="G484" s="48"/>
      <c r="H484" s="30"/>
      <c r="I484" s="30"/>
      <c r="J484" s="30"/>
      <c r="K484" s="28"/>
      <c r="L484" s="31"/>
      <c r="M484" s="31"/>
      <c r="N484" s="32"/>
      <c r="O484" s="36"/>
      <c r="P484" s="36"/>
      <c r="Q484" s="36"/>
      <c r="R484" s="15"/>
      <c r="S484" s="20"/>
      <c r="T484" s="20"/>
      <c r="U484" s="20"/>
      <c r="V484" s="20"/>
      <c r="W484" s="20"/>
      <c r="X484" s="19"/>
      <c r="Y484" s="19"/>
      <c r="Z484" s="20"/>
      <c r="AA484" s="20"/>
      <c r="AB484" s="20"/>
      <c r="AC484" s="20"/>
      <c r="AD484" s="15"/>
      <c r="AE484" s="15"/>
      <c r="AF484" s="19"/>
      <c r="AG484" s="20"/>
      <c r="AH484" s="15"/>
      <c r="AI484" s="15"/>
      <c r="AJ484" s="15"/>
      <c r="AK484" s="15"/>
      <c r="AL484" s="15"/>
      <c r="AM484" s="15"/>
      <c r="AN484" s="29"/>
      <c r="AO484" s="19"/>
      <c r="AP484" s="21"/>
      <c r="AQ484" s="22"/>
      <c r="AR484" s="26"/>
      <c r="AS484" s="37"/>
      <c r="AT484" s="38"/>
      <c r="AU484" s="38"/>
      <c r="AV484" s="27"/>
    </row>
    <row r="485" spans="1:48" s="1" customFormat="1" ht="21" customHeight="1" x14ac:dyDescent="0.25">
      <c r="A485" s="83"/>
      <c r="B485" s="47"/>
      <c r="C485" s="80"/>
      <c r="D485" s="33"/>
      <c r="E485" s="48"/>
      <c r="F485" s="48"/>
      <c r="G485" s="48"/>
      <c r="H485" s="30"/>
      <c r="I485" s="30"/>
      <c r="J485" s="30"/>
      <c r="K485" s="28"/>
      <c r="L485" s="31"/>
      <c r="M485" s="31"/>
      <c r="N485" s="32"/>
      <c r="O485" s="36"/>
      <c r="P485" s="36"/>
      <c r="Q485" s="36"/>
      <c r="R485" s="15"/>
      <c r="S485" s="20"/>
      <c r="T485" s="20"/>
      <c r="U485" s="20"/>
      <c r="V485" s="20"/>
      <c r="W485" s="20"/>
      <c r="X485" s="19"/>
      <c r="Y485" s="19"/>
      <c r="Z485" s="20"/>
      <c r="AA485" s="20"/>
      <c r="AB485" s="20"/>
      <c r="AC485" s="20"/>
      <c r="AD485" s="15"/>
      <c r="AE485" s="15"/>
      <c r="AF485" s="19"/>
      <c r="AG485" s="20"/>
      <c r="AH485" s="15"/>
      <c r="AI485" s="15"/>
      <c r="AJ485" s="15"/>
      <c r="AK485" s="15"/>
      <c r="AL485" s="15"/>
      <c r="AM485" s="15"/>
      <c r="AN485" s="29"/>
      <c r="AO485" s="19"/>
      <c r="AP485" s="21"/>
      <c r="AQ485" s="22"/>
      <c r="AR485" s="26"/>
      <c r="AS485" s="37"/>
      <c r="AT485" s="38"/>
      <c r="AU485" s="38"/>
      <c r="AV485" s="27"/>
    </row>
    <row r="486" spans="1:48" s="1" customFormat="1" ht="21" customHeight="1" x14ac:dyDescent="0.25">
      <c r="A486" s="83"/>
      <c r="B486" s="47"/>
      <c r="C486" s="80"/>
      <c r="D486" s="33"/>
      <c r="E486" s="48"/>
      <c r="F486" s="48"/>
      <c r="G486" s="48"/>
      <c r="H486" s="30"/>
      <c r="I486" s="30"/>
      <c r="J486" s="30"/>
      <c r="K486" s="28"/>
      <c r="L486" s="31"/>
      <c r="M486" s="31"/>
      <c r="N486" s="32"/>
      <c r="O486" s="36"/>
      <c r="P486" s="36"/>
      <c r="Q486" s="36"/>
      <c r="R486" s="15"/>
      <c r="S486" s="20"/>
      <c r="T486" s="20"/>
      <c r="U486" s="20"/>
      <c r="V486" s="20"/>
      <c r="W486" s="20"/>
      <c r="X486" s="19"/>
      <c r="Y486" s="19"/>
      <c r="Z486" s="20"/>
      <c r="AA486" s="20"/>
      <c r="AB486" s="20"/>
      <c r="AC486" s="20"/>
      <c r="AD486" s="15"/>
      <c r="AE486" s="15"/>
      <c r="AF486" s="19"/>
      <c r="AG486" s="20"/>
      <c r="AH486" s="15"/>
      <c r="AI486" s="15"/>
      <c r="AJ486" s="15"/>
      <c r="AK486" s="15"/>
      <c r="AL486" s="15"/>
      <c r="AM486" s="15"/>
      <c r="AN486" s="29"/>
      <c r="AO486" s="19"/>
      <c r="AP486" s="21"/>
      <c r="AQ486" s="22"/>
      <c r="AR486" s="26"/>
      <c r="AS486" s="37"/>
      <c r="AT486" s="38"/>
      <c r="AU486" s="38"/>
      <c r="AV486" s="27"/>
    </row>
    <row r="487" spans="1:48" s="1" customFormat="1" ht="21" customHeight="1" x14ac:dyDescent="0.25">
      <c r="A487" s="83"/>
      <c r="B487" s="47"/>
      <c r="C487" s="80"/>
      <c r="D487" s="33"/>
      <c r="E487" s="48"/>
      <c r="F487" s="48"/>
      <c r="G487" s="48"/>
      <c r="H487" s="30"/>
      <c r="I487" s="30"/>
      <c r="J487" s="30"/>
      <c r="K487" s="28"/>
      <c r="L487" s="31"/>
      <c r="M487" s="31"/>
      <c r="N487" s="32"/>
      <c r="O487" s="36"/>
      <c r="P487" s="36"/>
      <c r="Q487" s="36"/>
      <c r="R487" s="15"/>
      <c r="S487" s="20"/>
      <c r="T487" s="20"/>
      <c r="U487" s="20"/>
      <c r="V487" s="20"/>
      <c r="W487" s="20"/>
      <c r="X487" s="19"/>
      <c r="Y487" s="19"/>
      <c r="Z487" s="20"/>
      <c r="AA487" s="20"/>
      <c r="AB487" s="20"/>
      <c r="AC487" s="20"/>
      <c r="AD487" s="15"/>
      <c r="AE487" s="15"/>
      <c r="AF487" s="19"/>
      <c r="AG487" s="20"/>
      <c r="AH487" s="15"/>
      <c r="AI487" s="15"/>
      <c r="AJ487" s="15"/>
      <c r="AK487" s="15"/>
      <c r="AL487" s="15"/>
      <c r="AM487" s="15"/>
      <c r="AN487" s="29"/>
      <c r="AO487" s="19"/>
      <c r="AP487" s="21"/>
      <c r="AQ487" s="22"/>
      <c r="AR487" s="26"/>
      <c r="AS487" s="37"/>
      <c r="AT487" s="38"/>
      <c r="AU487" s="38"/>
      <c r="AV487" s="27"/>
    </row>
    <row r="488" spans="1:48" s="1" customFormat="1" ht="21" customHeight="1" x14ac:dyDescent="0.25">
      <c r="A488" s="83"/>
      <c r="B488" s="47"/>
      <c r="C488" s="80"/>
      <c r="D488" s="33"/>
      <c r="E488" s="48"/>
      <c r="F488" s="48"/>
      <c r="G488" s="48"/>
      <c r="H488" s="30"/>
      <c r="I488" s="30"/>
      <c r="J488" s="30"/>
      <c r="K488" s="28"/>
      <c r="L488" s="31"/>
      <c r="M488" s="31"/>
      <c r="N488" s="32"/>
      <c r="O488" s="36"/>
      <c r="P488" s="36"/>
      <c r="Q488" s="36"/>
      <c r="R488" s="15"/>
      <c r="S488" s="20"/>
      <c r="T488" s="20"/>
      <c r="U488" s="20"/>
      <c r="V488" s="20"/>
      <c r="W488" s="20"/>
      <c r="X488" s="19"/>
      <c r="Y488" s="19"/>
      <c r="Z488" s="20"/>
      <c r="AA488" s="20"/>
      <c r="AB488" s="20"/>
      <c r="AC488" s="20"/>
      <c r="AD488" s="15"/>
      <c r="AE488" s="15"/>
      <c r="AF488" s="19"/>
      <c r="AG488" s="20"/>
      <c r="AH488" s="15"/>
      <c r="AI488" s="15"/>
      <c r="AJ488" s="15"/>
      <c r="AK488" s="15"/>
      <c r="AL488" s="15"/>
      <c r="AM488" s="15"/>
      <c r="AN488" s="29"/>
      <c r="AO488" s="19"/>
      <c r="AP488" s="21"/>
      <c r="AQ488" s="22"/>
      <c r="AR488" s="26"/>
      <c r="AS488" s="37"/>
      <c r="AT488" s="38"/>
      <c r="AU488" s="38"/>
      <c r="AV488" s="27"/>
    </row>
    <row r="489" spans="1:48" s="1" customFormat="1" ht="21" customHeight="1" x14ac:dyDescent="0.25">
      <c r="A489" s="83"/>
      <c r="B489" s="47"/>
      <c r="C489" s="80"/>
      <c r="D489" s="33"/>
      <c r="E489" s="48"/>
      <c r="F489" s="48"/>
      <c r="G489" s="48"/>
      <c r="H489" s="30"/>
      <c r="I489" s="30"/>
      <c r="J489" s="30"/>
      <c r="K489" s="28"/>
      <c r="L489" s="31"/>
      <c r="M489" s="31"/>
      <c r="N489" s="32"/>
      <c r="O489" s="36"/>
      <c r="P489" s="36"/>
      <c r="Q489" s="36"/>
      <c r="R489" s="15"/>
      <c r="S489" s="20"/>
      <c r="T489" s="20"/>
      <c r="U489" s="20"/>
      <c r="V489" s="20"/>
      <c r="W489" s="20"/>
      <c r="X489" s="19"/>
      <c r="Y489" s="19"/>
      <c r="Z489" s="20"/>
      <c r="AA489" s="20"/>
      <c r="AB489" s="20"/>
      <c r="AC489" s="20"/>
      <c r="AD489" s="15"/>
      <c r="AE489" s="15"/>
      <c r="AF489" s="19"/>
      <c r="AG489" s="20"/>
      <c r="AH489" s="15"/>
      <c r="AI489" s="15"/>
      <c r="AJ489" s="15"/>
      <c r="AK489" s="15"/>
      <c r="AL489" s="15"/>
      <c r="AM489" s="15"/>
      <c r="AN489" s="29"/>
      <c r="AO489" s="19"/>
      <c r="AP489" s="21"/>
      <c r="AQ489" s="22"/>
      <c r="AR489" s="26"/>
      <c r="AS489" s="37"/>
      <c r="AT489" s="38"/>
      <c r="AU489" s="38"/>
      <c r="AV489" s="27"/>
    </row>
    <row r="490" spans="1:48" s="1" customFormat="1" ht="21" customHeight="1" x14ac:dyDescent="0.25">
      <c r="A490" s="83"/>
      <c r="B490" s="47"/>
      <c r="C490" s="80"/>
      <c r="D490" s="33"/>
      <c r="E490" s="48"/>
      <c r="F490" s="48"/>
      <c r="G490" s="48"/>
      <c r="H490" s="30"/>
      <c r="I490" s="30"/>
      <c r="J490" s="30"/>
      <c r="K490" s="28"/>
      <c r="L490" s="31"/>
      <c r="M490" s="31"/>
      <c r="N490" s="32"/>
      <c r="O490" s="36"/>
      <c r="P490" s="36"/>
      <c r="Q490" s="36"/>
      <c r="R490" s="15"/>
      <c r="S490" s="20"/>
      <c r="T490" s="20"/>
      <c r="U490" s="20"/>
      <c r="V490" s="20"/>
      <c r="W490" s="20"/>
      <c r="X490" s="19"/>
      <c r="Y490" s="19"/>
      <c r="Z490" s="20"/>
      <c r="AA490" s="20"/>
      <c r="AB490" s="20"/>
      <c r="AC490" s="20"/>
      <c r="AD490" s="15"/>
      <c r="AE490" s="15"/>
      <c r="AF490" s="19"/>
      <c r="AG490" s="20"/>
      <c r="AH490" s="15"/>
      <c r="AI490" s="15"/>
      <c r="AJ490" s="15"/>
      <c r="AK490" s="15"/>
      <c r="AL490" s="15"/>
      <c r="AM490" s="15"/>
      <c r="AN490" s="29"/>
      <c r="AO490" s="19"/>
      <c r="AP490" s="21"/>
      <c r="AQ490" s="22"/>
      <c r="AR490" s="26"/>
      <c r="AS490" s="37"/>
      <c r="AT490" s="38"/>
      <c r="AU490" s="38"/>
      <c r="AV490" s="27"/>
    </row>
    <row r="491" spans="1:48" s="1" customFormat="1" ht="21" customHeight="1" x14ac:dyDescent="0.25">
      <c r="A491" s="83"/>
      <c r="B491" s="47"/>
      <c r="C491" s="80"/>
      <c r="D491" s="33"/>
      <c r="E491" s="48"/>
      <c r="F491" s="48"/>
      <c r="G491" s="48"/>
      <c r="H491" s="30"/>
      <c r="I491" s="30"/>
      <c r="J491" s="30"/>
      <c r="K491" s="28"/>
      <c r="L491" s="31"/>
      <c r="M491" s="31"/>
      <c r="N491" s="32"/>
      <c r="O491" s="36"/>
      <c r="P491" s="36"/>
      <c r="Q491" s="36"/>
      <c r="R491" s="15"/>
      <c r="S491" s="20"/>
      <c r="T491" s="20"/>
      <c r="U491" s="20"/>
      <c r="V491" s="20"/>
      <c r="W491" s="20"/>
      <c r="X491" s="19"/>
      <c r="Y491" s="19"/>
      <c r="Z491" s="20"/>
      <c r="AA491" s="20"/>
      <c r="AB491" s="20"/>
      <c r="AC491" s="20"/>
      <c r="AD491" s="15"/>
      <c r="AE491" s="15"/>
      <c r="AF491" s="19"/>
      <c r="AG491" s="20"/>
      <c r="AH491" s="15"/>
      <c r="AI491" s="15"/>
      <c r="AJ491" s="15"/>
      <c r="AK491" s="15"/>
      <c r="AL491" s="15"/>
      <c r="AM491" s="15"/>
      <c r="AN491" s="29"/>
      <c r="AO491" s="19"/>
      <c r="AP491" s="21"/>
      <c r="AQ491" s="22"/>
      <c r="AR491" s="26"/>
      <c r="AS491" s="37"/>
      <c r="AT491" s="38"/>
      <c r="AU491" s="38"/>
      <c r="AV491" s="27"/>
    </row>
    <row r="492" spans="1:48" s="1" customFormat="1" ht="21" customHeight="1" x14ac:dyDescent="0.25">
      <c r="A492" s="83"/>
      <c r="B492" s="47"/>
      <c r="C492" s="80"/>
      <c r="D492" s="33"/>
      <c r="E492" s="48"/>
      <c r="F492" s="48"/>
      <c r="G492" s="48"/>
      <c r="H492" s="30"/>
      <c r="I492" s="30"/>
      <c r="J492" s="30"/>
      <c r="K492" s="28"/>
      <c r="L492" s="31"/>
      <c r="M492" s="31"/>
      <c r="N492" s="32"/>
      <c r="O492" s="36"/>
      <c r="P492" s="36"/>
      <c r="Q492" s="36"/>
      <c r="R492" s="15"/>
      <c r="S492" s="20"/>
      <c r="T492" s="20"/>
      <c r="U492" s="20"/>
      <c r="V492" s="20"/>
      <c r="W492" s="20"/>
      <c r="X492" s="19"/>
      <c r="Y492" s="19"/>
      <c r="Z492" s="20"/>
      <c r="AA492" s="20"/>
      <c r="AB492" s="20"/>
      <c r="AC492" s="20"/>
      <c r="AD492" s="15"/>
      <c r="AE492" s="15"/>
      <c r="AF492" s="19"/>
      <c r="AG492" s="20"/>
      <c r="AH492" s="15"/>
      <c r="AI492" s="15"/>
      <c r="AJ492" s="15"/>
      <c r="AK492" s="15"/>
      <c r="AL492" s="15"/>
      <c r="AM492" s="15"/>
      <c r="AN492" s="29"/>
      <c r="AO492" s="19"/>
      <c r="AP492" s="21"/>
      <c r="AQ492" s="22"/>
      <c r="AR492" s="26"/>
      <c r="AS492" s="37"/>
      <c r="AT492" s="38"/>
      <c r="AU492" s="38"/>
      <c r="AV492" s="27"/>
    </row>
    <row r="493" spans="1:48" s="1" customFormat="1" ht="21" customHeight="1" x14ac:dyDescent="0.25">
      <c r="A493" s="83"/>
      <c r="B493" s="47"/>
      <c r="C493" s="80"/>
      <c r="D493" s="33"/>
      <c r="E493" s="48"/>
      <c r="F493" s="48"/>
      <c r="G493" s="48"/>
      <c r="H493" s="30"/>
      <c r="I493" s="30"/>
      <c r="J493" s="30"/>
      <c r="K493" s="28"/>
      <c r="L493" s="31"/>
      <c r="M493" s="31"/>
      <c r="N493" s="32"/>
      <c r="O493" s="36"/>
      <c r="P493" s="36"/>
      <c r="Q493" s="36"/>
      <c r="R493" s="15"/>
      <c r="S493" s="20"/>
      <c r="T493" s="20"/>
      <c r="U493" s="20"/>
      <c r="V493" s="20"/>
      <c r="W493" s="20"/>
      <c r="X493" s="19"/>
      <c r="Y493" s="19"/>
      <c r="Z493" s="20"/>
      <c r="AA493" s="20"/>
      <c r="AB493" s="20"/>
      <c r="AC493" s="20"/>
      <c r="AD493" s="15"/>
      <c r="AE493" s="15"/>
      <c r="AF493" s="19"/>
      <c r="AG493" s="20"/>
      <c r="AH493" s="15"/>
      <c r="AI493" s="15"/>
      <c r="AJ493" s="15"/>
      <c r="AK493" s="15"/>
      <c r="AL493" s="15"/>
      <c r="AM493" s="15"/>
      <c r="AN493" s="29"/>
      <c r="AO493" s="19"/>
      <c r="AP493" s="21"/>
      <c r="AQ493" s="22"/>
      <c r="AR493" s="26"/>
      <c r="AS493" s="37"/>
      <c r="AT493" s="38"/>
      <c r="AU493" s="38"/>
      <c r="AV493" s="27"/>
    </row>
    <row r="494" spans="1:48" s="1" customFormat="1" ht="21" customHeight="1" x14ac:dyDescent="0.25">
      <c r="A494" s="83"/>
      <c r="B494" s="47"/>
      <c r="C494" s="80"/>
      <c r="D494" s="33"/>
      <c r="E494" s="48"/>
      <c r="F494" s="48"/>
      <c r="G494" s="48"/>
      <c r="H494" s="30"/>
      <c r="I494" s="30"/>
      <c r="J494" s="30"/>
      <c r="K494" s="28"/>
      <c r="L494" s="31"/>
      <c r="M494" s="31"/>
      <c r="N494" s="32"/>
      <c r="O494" s="36"/>
      <c r="P494" s="36"/>
      <c r="Q494" s="36"/>
      <c r="R494" s="15"/>
      <c r="S494" s="20"/>
      <c r="T494" s="20"/>
      <c r="U494" s="20"/>
      <c r="V494" s="20"/>
      <c r="W494" s="20"/>
      <c r="X494" s="19"/>
      <c r="Y494" s="19"/>
      <c r="Z494" s="20"/>
      <c r="AA494" s="20"/>
      <c r="AB494" s="20"/>
      <c r="AC494" s="20"/>
      <c r="AD494" s="15"/>
      <c r="AE494" s="15"/>
      <c r="AF494" s="19"/>
      <c r="AG494" s="20"/>
      <c r="AH494" s="15"/>
      <c r="AI494" s="15"/>
      <c r="AJ494" s="15"/>
      <c r="AK494" s="15"/>
      <c r="AL494" s="15"/>
      <c r="AM494" s="15"/>
      <c r="AN494" s="29"/>
      <c r="AO494" s="19"/>
      <c r="AP494" s="21"/>
      <c r="AQ494" s="22"/>
      <c r="AR494" s="26"/>
      <c r="AS494" s="37"/>
      <c r="AT494" s="38"/>
      <c r="AU494" s="38"/>
      <c r="AV494" s="27"/>
    </row>
    <row r="495" spans="1:48" s="1" customFormat="1" ht="21" customHeight="1" x14ac:dyDescent="0.25">
      <c r="A495" s="83"/>
      <c r="B495" s="47"/>
      <c r="C495" s="80"/>
      <c r="D495" s="33"/>
      <c r="E495" s="48"/>
      <c r="F495" s="48"/>
      <c r="G495" s="48"/>
      <c r="H495" s="30"/>
      <c r="I495" s="30"/>
      <c r="J495" s="30"/>
      <c r="K495" s="28"/>
      <c r="L495" s="31"/>
      <c r="M495" s="31"/>
      <c r="N495" s="32"/>
      <c r="O495" s="36"/>
      <c r="P495" s="36"/>
      <c r="Q495" s="36"/>
      <c r="R495" s="15"/>
      <c r="S495" s="20"/>
      <c r="T495" s="20"/>
      <c r="U495" s="20"/>
      <c r="V495" s="20"/>
      <c r="W495" s="20"/>
      <c r="X495" s="19"/>
      <c r="Y495" s="19"/>
      <c r="Z495" s="20"/>
      <c r="AA495" s="20"/>
      <c r="AB495" s="20"/>
      <c r="AC495" s="20"/>
      <c r="AD495" s="15"/>
      <c r="AE495" s="15"/>
      <c r="AF495" s="19"/>
      <c r="AG495" s="20"/>
      <c r="AH495" s="15"/>
      <c r="AI495" s="15"/>
      <c r="AJ495" s="15"/>
      <c r="AK495" s="15"/>
      <c r="AL495" s="15"/>
      <c r="AM495" s="15"/>
      <c r="AN495" s="29"/>
      <c r="AO495" s="19"/>
      <c r="AP495" s="21"/>
      <c r="AQ495" s="22"/>
      <c r="AR495" s="26"/>
      <c r="AS495" s="37"/>
      <c r="AT495" s="38"/>
      <c r="AU495" s="38"/>
      <c r="AV495" s="27"/>
    </row>
    <row r="496" spans="1:48" s="1" customFormat="1" ht="21" customHeight="1" x14ac:dyDescent="0.25">
      <c r="A496" s="83"/>
      <c r="B496" s="47"/>
      <c r="C496" s="80"/>
      <c r="D496" s="33"/>
      <c r="E496" s="48"/>
      <c r="F496" s="48"/>
      <c r="G496" s="48"/>
      <c r="H496" s="30"/>
      <c r="I496" s="30"/>
      <c r="J496" s="30"/>
      <c r="K496" s="28"/>
      <c r="L496" s="31"/>
      <c r="M496" s="31"/>
      <c r="N496" s="32"/>
      <c r="O496" s="36"/>
      <c r="P496" s="36"/>
      <c r="Q496" s="36"/>
      <c r="R496" s="15"/>
      <c r="S496" s="20"/>
      <c r="T496" s="20"/>
      <c r="U496" s="20"/>
      <c r="V496" s="20"/>
      <c r="W496" s="20"/>
      <c r="X496" s="19"/>
      <c r="Y496" s="19"/>
      <c r="Z496" s="20"/>
      <c r="AA496" s="20"/>
      <c r="AB496" s="20"/>
      <c r="AC496" s="20"/>
      <c r="AD496" s="15"/>
      <c r="AE496" s="15"/>
      <c r="AF496" s="19"/>
      <c r="AG496" s="20"/>
      <c r="AH496" s="15"/>
      <c r="AI496" s="15"/>
      <c r="AJ496" s="15"/>
      <c r="AK496" s="15"/>
      <c r="AL496" s="15"/>
      <c r="AM496" s="15"/>
      <c r="AN496" s="29"/>
      <c r="AO496" s="19"/>
      <c r="AP496" s="21"/>
      <c r="AQ496" s="22"/>
      <c r="AR496" s="26"/>
      <c r="AS496" s="37"/>
      <c r="AT496" s="38"/>
      <c r="AU496" s="38"/>
      <c r="AV496" s="27"/>
    </row>
    <row r="497" spans="1:48" s="1" customFormat="1" ht="21" customHeight="1" x14ac:dyDescent="0.25">
      <c r="A497" s="83"/>
      <c r="B497" s="47"/>
      <c r="C497" s="80"/>
      <c r="D497" s="33"/>
      <c r="E497" s="48"/>
      <c r="F497" s="48"/>
      <c r="G497" s="48"/>
      <c r="H497" s="30"/>
      <c r="I497" s="30"/>
      <c r="J497" s="30"/>
      <c r="K497" s="28"/>
      <c r="L497" s="31"/>
      <c r="M497" s="31"/>
      <c r="N497" s="32"/>
      <c r="O497" s="36"/>
      <c r="P497" s="36"/>
      <c r="Q497" s="36"/>
      <c r="R497" s="15"/>
      <c r="S497" s="20"/>
      <c r="T497" s="20"/>
      <c r="U497" s="20"/>
      <c r="V497" s="20"/>
      <c r="W497" s="20"/>
      <c r="X497" s="19"/>
      <c r="Y497" s="19"/>
      <c r="Z497" s="20"/>
      <c r="AA497" s="20"/>
      <c r="AB497" s="20"/>
      <c r="AC497" s="20"/>
      <c r="AD497" s="15"/>
      <c r="AE497" s="15"/>
      <c r="AF497" s="19"/>
      <c r="AG497" s="20"/>
      <c r="AH497" s="15"/>
      <c r="AI497" s="15"/>
      <c r="AJ497" s="15"/>
      <c r="AK497" s="15"/>
      <c r="AL497" s="15"/>
      <c r="AM497" s="15"/>
      <c r="AN497" s="29"/>
      <c r="AO497" s="19"/>
      <c r="AP497" s="21"/>
      <c r="AQ497" s="22"/>
      <c r="AR497" s="26"/>
      <c r="AS497" s="37"/>
      <c r="AT497" s="38"/>
      <c r="AU497" s="38"/>
      <c r="AV497" s="27"/>
    </row>
    <row r="498" spans="1:48" s="1" customFormat="1" ht="21" customHeight="1" x14ac:dyDescent="0.25">
      <c r="A498" s="83"/>
      <c r="B498" s="47"/>
      <c r="C498" s="80"/>
      <c r="D498" s="33"/>
      <c r="E498" s="48"/>
      <c r="F498" s="48"/>
      <c r="G498" s="48"/>
      <c r="H498" s="30"/>
      <c r="I498" s="30"/>
      <c r="J498" s="30"/>
      <c r="K498" s="28"/>
      <c r="L498" s="31"/>
      <c r="M498" s="31"/>
      <c r="N498" s="32"/>
      <c r="O498" s="36"/>
      <c r="P498" s="36"/>
      <c r="Q498" s="36"/>
      <c r="R498" s="15"/>
      <c r="S498" s="20"/>
      <c r="T498" s="20"/>
      <c r="U498" s="20"/>
      <c r="V498" s="20"/>
      <c r="W498" s="20"/>
      <c r="X498" s="19"/>
      <c r="Y498" s="19"/>
      <c r="Z498" s="20"/>
      <c r="AA498" s="20"/>
      <c r="AB498" s="20"/>
      <c r="AC498" s="20"/>
      <c r="AD498" s="15"/>
      <c r="AE498" s="15"/>
      <c r="AF498" s="19"/>
      <c r="AG498" s="20"/>
      <c r="AH498" s="15"/>
      <c r="AI498" s="15"/>
      <c r="AJ498" s="15"/>
      <c r="AK498" s="15"/>
      <c r="AL498" s="15"/>
      <c r="AM498" s="15"/>
      <c r="AN498" s="29"/>
      <c r="AO498" s="19"/>
      <c r="AP498" s="21"/>
      <c r="AQ498" s="22"/>
      <c r="AR498" s="26"/>
      <c r="AS498" s="37"/>
      <c r="AT498" s="38"/>
      <c r="AU498" s="38"/>
      <c r="AV498" s="27"/>
    </row>
    <row r="499" spans="1:48" s="1" customFormat="1" ht="21" customHeight="1" x14ac:dyDescent="0.25">
      <c r="A499" s="83"/>
      <c r="B499" s="47"/>
      <c r="C499" s="80"/>
      <c r="D499" s="33"/>
      <c r="E499" s="48"/>
      <c r="F499" s="48"/>
      <c r="G499" s="48"/>
      <c r="H499" s="30"/>
      <c r="I499" s="30"/>
      <c r="J499" s="30"/>
      <c r="K499" s="28"/>
      <c r="L499" s="31"/>
      <c r="M499" s="31"/>
      <c r="N499" s="32"/>
      <c r="O499" s="36"/>
      <c r="P499" s="36"/>
      <c r="Q499" s="36"/>
      <c r="R499" s="15"/>
      <c r="S499" s="20"/>
      <c r="T499" s="20"/>
      <c r="U499" s="20"/>
      <c r="V499" s="20"/>
      <c r="W499" s="20"/>
      <c r="X499" s="19"/>
      <c r="Y499" s="19"/>
      <c r="Z499" s="20"/>
      <c r="AA499" s="20"/>
      <c r="AB499" s="20"/>
      <c r="AC499" s="20"/>
      <c r="AD499" s="15"/>
      <c r="AE499" s="15"/>
      <c r="AF499" s="19"/>
      <c r="AG499" s="20"/>
      <c r="AH499" s="15"/>
      <c r="AI499" s="15"/>
      <c r="AJ499" s="15"/>
      <c r="AK499" s="15"/>
      <c r="AL499" s="15"/>
      <c r="AM499" s="15"/>
      <c r="AN499" s="29"/>
      <c r="AO499" s="19"/>
      <c r="AP499" s="21"/>
      <c r="AQ499" s="22"/>
      <c r="AR499" s="26"/>
      <c r="AS499" s="37"/>
      <c r="AT499" s="38"/>
      <c r="AU499" s="38"/>
      <c r="AV499" s="27"/>
    </row>
    <row r="500" spans="1:48" s="1" customFormat="1" ht="21" customHeight="1" x14ac:dyDescent="0.25">
      <c r="A500" s="83"/>
      <c r="B500" s="47"/>
      <c r="C500" s="80"/>
      <c r="D500" s="33"/>
      <c r="E500" s="48"/>
      <c r="F500" s="48"/>
      <c r="G500" s="48"/>
      <c r="H500" s="30"/>
      <c r="I500" s="30"/>
      <c r="J500" s="30"/>
      <c r="K500" s="28"/>
      <c r="L500" s="31"/>
      <c r="M500" s="31"/>
      <c r="N500" s="32"/>
      <c r="O500" s="36"/>
      <c r="P500" s="36"/>
      <c r="Q500" s="36"/>
      <c r="R500" s="15"/>
      <c r="S500" s="20"/>
      <c r="T500" s="20"/>
      <c r="U500" s="20"/>
      <c r="V500" s="20"/>
      <c r="W500" s="20"/>
      <c r="X500" s="19"/>
      <c r="Y500" s="19"/>
      <c r="Z500" s="20"/>
      <c r="AA500" s="20"/>
      <c r="AB500" s="20"/>
      <c r="AC500" s="20"/>
      <c r="AD500" s="15"/>
      <c r="AE500" s="15"/>
      <c r="AF500" s="19"/>
      <c r="AG500" s="20"/>
      <c r="AH500" s="15"/>
      <c r="AI500" s="15"/>
      <c r="AJ500" s="15"/>
      <c r="AK500" s="15"/>
      <c r="AL500" s="15"/>
      <c r="AM500" s="15"/>
      <c r="AN500" s="29"/>
      <c r="AO500" s="19"/>
      <c r="AP500" s="21"/>
      <c r="AQ500" s="22"/>
      <c r="AR500" s="26"/>
      <c r="AS500" s="37"/>
      <c r="AT500" s="38"/>
      <c r="AU500" s="38"/>
      <c r="AV500" s="27"/>
    </row>
    <row r="501" spans="1:48" s="1" customFormat="1" ht="21" customHeight="1" x14ac:dyDescent="0.25">
      <c r="A501" s="83"/>
      <c r="B501" s="47"/>
      <c r="C501" s="80"/>
      <c r="D501" s="33"/>
      <c r="E501" s="48"/>
      <c r="F501" s="48"/>
      <c r="G501" s="48"/>
      <c r="H501" s="30"/>
      <c r="I501" s="30"/>
      <c r="J501" s="30"/>
      <c r="K501" s="28"/>
      <c r="L501" s="31"/>
      <c r="M501" s="31"/>
      <c r="N501" s="32"/>
      <c r="O501" s="36"/>
      <c r="P501" s="36"/>
      <c r="Q501" s="36"/>
      <c r="R501" s="15"/>
      <c r="S501" s="20"/>
      <c r="T501" s="20"/>
      <c r="U501" s="20"/>
      <c r="V501" s="20"/>
      <c r="W501" s="20"/>
      <c r="X501" s="19"/>
      <c r="Y501" s="19"/>
      <c r="Z501" s="20"/>
      <c r="AA501" s="20"/>
      <c r="AB501" s="20"/>
      <c r="AC501" s="20"/>
      <c r="AD501" s="15"/>
      <c r="AE501" s="15"/>
      <c r="AF501" s="19"/>
      <c r="AG501" s="20"/>
      <c r="AH501" s="15"/>
      <c r="AI501" s="15"/>
      <c r="AJ501" s="15"/>
      <c r="AK501" s="15"/>
      <c r="AL501" s="15"/>
      <c r="AM501" s="15"/>
      <c r="AN501" s="29"/>
      <c r="AO501" s="19"/>
      <c r="AP501" s="21"/>
      <c r="AQ501" s="22"/>
      <c r="AR501" s="26"/>
      <c r="AS501" s="37"/>
      <c r="AT501" s="38"/>
      <c r="AU501" s="38"/>
      <c r="AV501" s="27"/>
    </row>
    <row r="502" spans="1:48" s="1" customFormat="1" ht="21" customHeight="1" x14ac:dyDescent="0.25">
      <c r="A502" s="83"/>
      <c r="B502" s="47"/>
      <c r="C502" s="80"/>
      <c r="D502" s="33"/>
      <c r="E502" s="48"/>
      <c r="F502" s="48"/>
      <c r="G502" s="48"/>
      <c r="H502" s="30"/>
      <c r="I502" s="30"/>
      <c r="J502" s="30"/>
      <c r="K502" s="28"/>
      <c r="L502" s="31"/>
      <c r="M502" s="31"/>
      <c r="N502" s="32"/>
      <c r="O502" s="36"/>
      <c r="P502" s="36"/>
      <c r="Q502" s="36"/>
      <c r="R502" s="15"/>
      <c r="S502" s="20"/>
      <c r="T502" s="20"/>
      <c r="U502" s="20"/>
      <c r="V502" s="20"/>
      <c r="W502" s="20"/>
      <c r="X502" s="19"/>
      <c r="Y502" s="19"/>
      <c r="Z502" s="20"/>
      <c r="AA502" s="20"/>
      <c r="AB502" s="20"/>
      <c r="AC502" s="20"/>
      <c r="AD502" s="15"/>
      <c r="AE502" s="15"/>
      <c r="AF502" s="19"/>
      <c r="AG502" s="20"/>
      <c r="AH502" s="15"/>
      <c r="AI502" s="15"/>
      <c r="AJ502" s="15"/>
      <c r="AK502" s="15"/>
      <c r="AL502" s="15"/>
      <c r="AM502" s="15"/>
      <c r="AN502" s="29"/>
      <c r="AO502" s="19"/>
      <c r="AP502" s="21"/>
      <c r="AQ502" s="22"/>
      <c r="AR502" s="26"/>
      <c r="AS502" s="37"/>
      <c r="AT502" s="38"/>
      <c r="AU502" s="38"/>
      <c r="AV502" s="27"/>
    </row>
    <row r="503" spans="1:48" s="1" customFormat="1" ht="21" customHeight="1" x14ac:dyDescent="0.25">
      <c r="A503" s="83"/>
      <c r="B503" s="47"/>
      <c r="C503" s="80"/>
      <c r="D503" s="33"/>
      <c r="E503" s="48"/>
      <c r="F503" s="48"/>
      <c r="G503" s="48"/>
      <c r="H503" s="30"/>
      <c r="I503" s="30"/>
      <c r="J503" s="30"/>
      <c r="K503" s="28"/>
      <c r="L503" s="31"/>
      <c r="M503" s="31"/>
      <c r="N503" s="32"/>
      <c r="O503" s="36"/>
      <c r="P503" s="36"/>
      <c r="Q503" s="36"/>
      <c r="R503" s="15"/>
      <c r="S503" s="20"/>
      <c r="T503" s="20"/>
      <c r="U503" s="20"/>
      <c r="V503" s="20"/>
      <c r="W503" s="20"/>
      <c r="X503" s="19"/>
      <c r="Y503" s="19"/>
      <c r="Z503" s="20"/>
      <c r="AA503" s="20"/>
      <c r="AB503" s="20"/>
      <c r="AC503" s="20"/>
      <c r="AD503" s="15"/>
      <c r="AE503" s="15"/>
      <c r="AF503" s="19"/>
      <c r="AG503" s="20"/>
      <c r="AH503" s="15"/>
      <c r="AI503" s="15"/>
      <c r="AJ503" s="15"/>
      <c r="AK503" s="15"/>
      <c r="AL503" s="15"/>
      <c r="AM503" s="15"/>
      <c r="AN503" s="29"/>
      <c r="AO503" s="19"/>
      <c r="AP503" s="21"/>
      <c r="AQ503" s="22"/>
      <c r="AR503" s="26"/>
      <c r="AS503" s="37"/>
      <c r="AT503" s="38"/>
      <c r="AU503" s="38"/>
      <c r="AV503" s="27"/>
    </row>
    <row r="504" spans="1:48" s="1" customFormat="1" ht="21" customHeight="1" x14ac:dyDescent="0.25">
      <c r="A504" s="83"/>
      <c r="B504" s="47"/>
      <c r="C504" s="80"/>
      <c r="D504" s="33"/>
      <c r="E504" s="48"/>
      <c r="F504" s="48"/>
      <c r="G504" s="48"/>
      <c r="H504" s="30"/>
      <c r="I504" s="30"/>
      <c r="J504" s="30"/>
      <c r="K504" s="28"/>
      <c r="L504" s="31"/>
      <c r="M504" s="31"/>
      <c r="N504" s="32"/>
      <c r="O504" s="36"/>
      <c r="P504" s="36"/>
      <c r="Q504" s="36"/>
      <c r="R504" s="15"/>
      <c r="S504" s="20"/>
      <c r="T504" s="20"/>
      <c r="U504" s="20"/>
      <c r="V504" s="20"/>
      <c r="W504" s="20"/>
      <c r="X504" s="19"/>
      <c r="Y504" s="19"/>
      <c r="Z504" s="20"/>
      <c r="AA504" s="20"/>
      <c r="AB504" s="20"/>
      <c r="AC504" s="20"/>
      <c r="AD504" s="15"/>
      <c r="AE504" s="15"/>
      <c r="AF504" s="19"/>
      <c r="AG504" s="20"/>
      <c r="AH504" s="15"/>
      <c r="AI504" s="15"/>
      <c r="AJ504" s="15"/>
      <c r="AK504" s="15"/>
      <c r="AL504" s="15"/>
      <c r="AM504" s="15"/>
      <c r="AN504" s="29"/>
      <c r="AO504" s="19"/>
      <c r="AP504" s="21"/>
      <c r="AQ504" s="22"/>
      <c r="AR504" s="26"/>
      <c r="AS504" s="37"/>
      <c r="AT504" s="38"/>
      <c r="AU504" s="38"/>
      <c r="AV504" s="27"/>
    </row>
    <row r="505" spans="1:48" s="1" customFormat="1" ht="21" customHeight="1" x14ac:dyDescent="0.25">
      <c r="A505" s="83"/>
      <c r="B505" s="47"/>
      <c r="C505" s="80"/>
      <c r="D505" s="33"/>
      <c r="E505" s="48"/>
      <c r="F505" s="48"/>
      <c r="G505" s="48"/>
      <c r="H505" s="30"/>
      <c r="I505" s="30"/>
      <c r="J505" s="30"/>
      <c r="K505" s="28"/>
      <c r="L505" s="31"/>
      <c r="M505" s="31"/>
      <c r="N505" s="32"/>
      <c r="O505" s="36"/>
      <c r="P505" s="36"/>
      <c r="Q505" s="36"/>
      <c r="R505" s="15"/>
      <c r="S505" s="20"/>
      <c r="T505" s="20"/>
      <c r="U505" s="20"/>
      <c r="V505" s="20"/>
      <c r="W505" s="20"/>
      <c r="X505" s="19"/>
      <c r="Y505" s="19"/>
      <c r="Z505" s="20"/>
      <c r="AA505" s="20"/>
      <c r="AB505" s="20"/>
      <c r="AC505" s="20"/>
      <c r="AD505" s="15"/>
      <c r="AE505" s="15"/>
      <c r="AF505" s="19"/>
      <c r="AG505" s="20"/>
      <c r="AH505" s="15"/>
      <c r="AI505" s="15"/>
      <c r="AJ505" s="15"/>
      <c r="AK505" s="15"/>
      <c r="AL505" s="15"/>
      <c r="AM505" s="15"/>
      <c r="AN505" s="29"/>
      <c r="AO505" s="19"/>
      <c r="AP505" s="21"/>
      <c r="AQ505" s="22"/>
      <c r="AR505" s="26"/>
      <c r="AS505" s="37"/>
      <c r="AT505" s="38"/>
      <c r="AU505" s="38"/>
      <c r="AV505" s="27"/>
    </row>
    <row r="506" spans="1:48" s="1" customFormat="1" ht="21" customHeight="1" x14ac:dyDescent="0.25">
      <c r="A506" s="83"/>
      <c r="B506" s="47"/>
      <c r="C506" s="80"/>
      <c r="D506" s="33"/>
      <c r="E506" s="48"/>
      <c r="F506" s="48"/>
      <c r="G506" s="48"/>
      <c r="H506" s="30"/>
      <c r="I506" s="30"/>
      <c r="J506" s="30"/>
      <c r="K506" s="28"/>
      <c r="L506" s="31"/>
      <c r="M506" s="31"/>
      <c r="N506" s="32"/>
      <c r="O506" s="36"/>
      <c r="P506" s="36"/>
      <c r="Q506" s="36"/>
      <c r="R506" s="15"/>
      <c r="S506" s="20"/>
      <c r="T506" s="20"/>
      <c r="U506" s="20"/>
      <c r="V506" s="20"/>
      <c r="W506" s="20"/>
      <c r="X506" s="19"/>
      <c r="Y506" s="19"/>
      <c r="Z506" s="20"/>
      <c r="AA506" s="20"/>
      <c r="AB506" s="20"/>
      <c r="AC506" s="20"/>
      <c r="AD506" s="15"/>
      <c r="AE506" s="15"/>
      <c r="AF506" s="19"/>
      <c r="AG506" s="20"/>
      <c r="AH506" s="15"/>
      <c r="AI506" s="15"/>
      <c r="AJ506" s="15"/>
      <c r="AK506" s="15"/>
      <c r="AL506" s="15"/>
      <c r="AM506" s="15"/>
      <c r="AN506" s="29"/>
      <c r="AO506" s="19"/>
      <c r="AP506" s="21"/>
      <c r="AQ506" s="22"/>
      <c r="AR506" s="26"/>
      <c r="AS506" s="37"/>
      <c r="AT506" s="38"/>
      <c r="AU506" s="38"/>
      <c r="AV506" s="27"/>
    </row>
    <row r="507" spans="1:48" s="1" customFormat="1" ht="21" customHeight="1" x14ac:dyDescent="0.25">
      <c r="A507" s="83"/>
      <c r="B507" s="47"/>
      <c r="C507" s="80"/>
      <c r="D507" s="33"/>
      <c r="E507" s="48"/>
      <c r="F507" s="48"/>
      <c r="G507" s="48"/>
      <c r="H507" s="30"/>
      <c r="I507" s="30"/>
      <c r="J507" s="30"/>
      <c r="K507" s="28"/>
      <c r="L507" s="31"/>
      <c r="M507" s="31"/>
      <c r="N507" s="32"/>
      <c r="O507" s="36"/>
      <c r="P507" s="36"/>
      <c r="Q507" s="36"/>
      <c r="R507" s="15"/>
      <c r="S507" s="20"/>
      <c r="T507" s="20"/>
      <c r="U507" s="20"/>
      <c r="V507" s="20"/>
      <c r="W507" s="20"/>
      <c r="X507" s="19"/>
      <c r="Y507" s="19"/>
      <c r="Z507" s="20"/>
      <c r="AA507" s="20"/>
      <c r="AB507" s="20"/>
      <c r="AC507" s="20"/>
      <c r="AD507" s="15"/>
      <c r="AE507" s="15"/>
      <c r="AF507" s="19"/>
      <c r="AG507" s="20"/>
      <c r="AH507" s="15"/>
      <c r="AI507" s="15"/>
      <c r="AJ507" s="15"/>
      <c r="AK507" s="15"/>
      <c r="AL507" s="15"/>
      <c r="AM507" s="15"/>
      <c r="AN507" s="29"/>
      <c r="AO507" s="19"/>
      <c r="AP507" s="21"/>
      <c r="AQ507" s="22"/>
      <c r="AR507" s="26"/>
      <c r="AS507" s="37"/>
      <c r="AT507" s="38"/>
      <c r="AU507" s="38"/>
      <c r="AV507" s="27"/>
    </row>
    <row r="508" spans="1:48" s="1" customFormat="1" ht="21" customHeight="1" x14ac:dyDescent="0.25">
      <c r="A508" s="83"/>
      <c r="B508" s="47"/>
      <c r="C508" s="80"/>
      <c r="D508" s="33"/>
      <c r="E508" s="48"/>
      <c r="F508" s="48"/>
      <c r="G508" s="48"/>
      <c r="H508" s="30"/>
      <c r="I508" s="30"/>
      <c r="J508" s="30"/>
      <c r="K508" s="28"/>
      <c r="L508" s="31"/>
      <c r="M508" s="31"/>
      <c r="N508" s="32"/>
      <c r="O508" s="36"/>
      <c r="P508" s="36"/>
      <c r="Q508" s="36"/>
      <c r="R508" s="15"/>
      <c r="S508" s="20"/>
      <c r="T508" s="20"/>
      <c r="U508" s="20"/>
      <c r="V508" s="20"/>
      <c r="W508" s="20"/>
      <c r="X508" s="19"/>
      <c r="Y508" s="19"/>
      <c r="Z508" s="20"/>
      <c r="AA508" s="20"/>
      <c r="AB508" s="20"/>
      <c r="AC508" s="20"/>
      <c r="AD508" s="15"/>
      <c r="AE508" s="15"/>
      <c r="AF508" s="19"/>
      <c r="AG508" s="20"/>
      <c r="AH508" s="15"/>
      <c r="AI508" s="15"/>
      <c r="AJ508" s="15"/>
      <c r="AK508" s="15"/>
      <c r="AL508" s="15"/>
      <c r="AM508" s="15"/>
      <c r="AN508" s="29"/>
      <c r="AO508" s="19"/>
      <c r="AP508" s="21"/>
      <c r="AQ508" s="22"/>
      <c r="AR508" s="26"/>
      <c r="AS508" s="37"/>
      <c r="AT508" s="38"/>
      <c r="AU508" s="38"/>
      <c r="AV508" s="27"/>
    </row>
    <row r="509" spans="1:48" s="1" customFormat="1" ht="21" customHeight="1" x14ac:dyDescent="0.25">
      <c r="A509" s="83"/>
      <c r="B509" s="47"/>
      <c r="C509" s="80"/>
      <c r="D509" s="33"/>
      <c r="E509" s="48"/>
      <c r="F509" s="48"/>
      <c r="G509" s="48"/>
      <c r="H509" s="30"/>
      <c r="I509" s="30"/>
      <c r="J509" s="30"/>
      <c r="K509" s="28"/>
      <c r="L509" s="31"/>
      <c r="M509" s="31"/>
      <c r="N509" s="32"/>
      <c r="O509" s="36"/>
      <c r="P509" s="36"/>
      <c r="Q509" s="36"/>
      <c r="R509" s="15"/>
      <c r="S509" s="20"/>
      <c r="T509" s="20"/>
      <c r="U509" s="20"/>
      <c r="V509" s="20"/>
      <c r="W509" s="20"/>
      <c r="X509" s="19"/>
      <c r="Y509" s="19"/>
      <c r="Z509" s="20"/>
      <c r="AA509" s="20"/>
      <c r="AB509" s="20"/>
      <c r="AC509" s="20"/>
      <c r="AD509" s="15"/>
      <c r="AE509" s="15"/>
      <c r="AF509" s="19"/>
      <c r="AG509" s="20"/>
      <c r="AH509" s="15"/>
      <c r="AI509" s="15"/>
      <c r="AJ509" s="15"/>
      <c r="AK509" s="15"/>
      <c r="AL509" s="15"/>
      <c r="AM509" s="15"/>
      <c r="AN509" s="29"/>
      <c r="AO509" s="19"/>
      <c r="AP509" s="21"/>
      <c r="AQ509" s="22"/>
      <c r="AR509" s="26"/>
      <c r="AS509" s="37"/>
      <c r="AT509" s="38"/>
      <c r="AU509" s="38"/>
      <c r="AV509" s="27"/>
    </row>
    <row r="510" spans="1:48" s="1" customFormat="1" ht="21" customHeight="1" x14ac:dyDescent="0.25">
      <c r="A510" s="83"/>
      <c r="B510" s="47"/>
      <c r="C510" s="80"/>
      <c r="D510" s="33"/>
      <c r="E510" s="48"/>
      <c r="F510" s="48"/>
      <c r="G510" s="48"/>
      <c r="H510" s="30"/>
      <c r="I510" s="30"/>
      <c r="J510" s="30"/>
      <c r="K510" s="28"/>
      <c r="L510" s="31"/>
      <c r="M510" s="31"/>
      <c r="N510" s="32"/>
      <c r="O510" s="36"/>
      <c r="P510" s="36"/>
      <c r="Q510" s="36"/>
      <c r="R510" s="15"/>
      <c r="S510" s="20"/>
      <c r="T510" s="20"/>
      <c r="U510" s="20"/>
      <c r="V510" s="20"/>
      <c r="W510" s="20"/>
      <c r="X510" s="19"/>
      <c r="Y510" s="19"/>
      <c r="Z510" s="20"/>
      <c r="AA510" s="20"/>
      <c r="AB510" s="20"/>
      <c r="AC510" s="20"/>
      <c r="AD510" s="15"/>
      <c r="AE510" s="15"/>
      <c r="AF510" s="19"/>
      <c r="AG510" s="20"/>
      <c r="AH510" s="15"/>
      <c r="AI510" s="15"/>
      <c r="AJ510" s="15"/>
      <c r="AK510" s="15"/>
      <c r="AL510" s="15"/>
      <c r="AM510" s="15"/>
      <c r="AN510" s="29"/>
      <c r="AO510" s="19"/>
      <c r="AP510" s="21"/>
      <c r="AQ510" s="22"/>
      <c r="AR510" s="26"/>
      <c r="AS510" s="37"/>
      <c r="AT510" s="38"/>
      <c r="AU510" s="38"/>
      <c r="AV510" s="27"/>
    </row>
    <row r="511" spans="1:48" s="1" customFormat="1" ht="21" customHeight="1" x14ac:dyDescent="0.25">
      <c r="A511" s="83"/>
      <c r="B511" s="47"/>
      <c r="C511" s="80"/>
      <c r="D511" s="33"/>
      <c r="E511" s="48"/>
      <c r="F511" s="48"/>
      <c r="G511" s="48"/>
      <c r="H511" s="30"/>
      <c r="I511" s="30"/>
      <c r="J511" s="30"/>
      <c r="K511" s="28"/>
      <c r="L511" s="31"/>
      <c r="M511" s="31"/>
      <c r="N511" s="32"/>
      <c r="O511" s="36"/>
      <c r="P511" s="36"/>
      <c r="Q511" s="36"/>
      <c r="R511" s="15"/>
      <c r="S511" s="20"/>
      <c r="T511" s="20"/>
      <c r="U511" s="20"/>
      <c r="V511" s="20"/>
      <c r="W511" s="20"/>
      <c r="X511" s="19"/>
      <c r="Y511" s="19"/>
      <c r="Z511" s="20"/>
      <c r="AA511" s="20"/>
      <c r="AB511" s="20"/>
      <c r="AC511" s="20"/>
      <c r="AD511" s="15"/>
      <c r="AE511" s="15"/>
      <c r="AF511" s="19"/>
      <c r="AG511" s="20"/>
      <c r="AH511" s="15"/>
      <c r="AI511" s="15"/>
      <c r="AJ511" s="15"/>
      <c r="AK511" s="15"/>
      <c r="AL511" s="15"/>
      <c r="AM511" s="15"/>
      <c r="AN511" s="29"/>
      <c r="AO511" s="19"/>
      <c r="AP511" s="21"/>
      <c r="AQ511" s="22"/>
      <c r="AR511" s="26"/>
      <c r="AS511" s="37"/>
      <c r="AT511" s="38"/>
      <c r="AU511" s="38"/>
      <c r="AV511" s="27"/>
    </row>
    <row r="512" spans="1:48" s="1" customFormat="1" ht="21" customHeight="1" x14ac:dyDescent="0.25">
      <c r="A512" s="83"/>
      <c r="B512" s="47"/>
      <c r="C512" s="80"/>
      <c r="D512" s="33"/>
      <c r="E512" s="48"/>
      <c r="F512" s="48"/>
      <c r="G512" s="48"/>
      <c r="H512" s="30"/>
      <c r="I512" s="30"/>
      <c r="J512" s="30"/>
      <c r="K512" s="28"/>
      <c r="L512" s="31"/>
      <c r="M512" s="31"/>
      <c r="N512" s="32"/>
      <c r="O512" s="36"/>
      <c r="P512" s="36"/>
      <c r="Q512" s="36"/>
      <c r="R512" s="15"/>
      <c r="S512" s="20"/>
      <c r="T512" s="20"/>
      <c r="U512" s="20"/>
      <c r="V512" s="20"/>
      <c r="W512" s="20"/>
      <c r="X512" s="19"/>
      <c r="Y512" s="19"/>
      <c r="Z512" s="20"/>
      <c r="AA512" s="20"/>
      <c r="AB512" s="20"/>
      <c r="AC512" s="20"/>
      <c r="AD512" s="15"/>
      <c r="AE512" s="15"/>
      <c r="AF512" s="19"/>
      <c r="AG512" s="20"/>
      <c r="AH512" s="15"/>
      <c r="AI512" s="15"/>
      <c r="AJ512" s="15"/>
      <c r="AK512" s="15"/>
      <c r="AL512" s="15"/>
      <c r="AM512" s="15"/>
      <c r="AN512" s="29"/>
      <c r="AO512" s="19"/>
      <c r="AP512" s="21"/>
      <c r="AQ512" s="22"/>
      <c r="AR512" s="26"/>
      <c r="AS512" s="37"/>
      <c r="AT512" s="38"/>
      <c r="AU512" s="38"/>
      <c r="AV512" s="27"/>
    </row>
    <row r="513" spans="1:48" s="1" customFormat="1" ht="21" customHeight="1" x14ac:dyDescent="0.25">
      <c r="A513" s="83"/>
      <c r="B513" s="47"/>
      <c r="C513" s="80"/>
      <c r="D513" s="33"/>
      <c r="E513" s="48"/>
      <c r="F513" s="48"/>
      <c r="G513" s="48"/>
      <c r="H513" s="30"/>
      <c r="I513" s="30"/>
      <c r="J513" s="30"/>
      <c r="K513" s="28"/>
      <c r="L513" s="31"/>
      <c r="M513" s="31"/>
      <c r="N513" s="32"/>
      <c r="O513" s="36"/>
      <c r="P513" s="36"/>
      <c r="Q513" s="36"/>
      <c r="R513" s="15"/>
      <c r="S513" s="20"/>
      <c r="T513" s="20"/>
      <c r="U513" s="20"/>
      <c r="V513" s="20"/>
      <c r="W513" s="20"/>
      <c r="X513" s="19"/>
      <c r="Y513" s="19"/>
      <c r="Z513" s="20"/>
      <c r="AA513" s="20"/>
      <c r="AB513" s="20"/>
      <c r="AC513" s="20"/>
      <c r="AD513" s="15"/>
      <c r="AE513" s="15"/>
      <c r="AF513" s="19"/>
      <c r="AG513" s="20"/>
      <c r="AH513" s="15"/>
      <c r="AI513" s="15"/>
      <c r="AJ513" s="15"/>
      <c r="AK513" s="15"/>
      <c r="AL513" s="15"/>
      <c r="AM513" s="15"/>
      <c r="AN513" s="29"/>
      <c r="AO513" s="19"/>
      <c r="AP513" s="21"/>
      <c r="AQ513" s="22"/>
      <c r="AR513" s="26"/>
      <c r="AS513" s="37"/>
      <c r="AT513" s="38"/>
      <c r="AU513" s="38"/>
      <c r="AV513" s="27"/>
    </row>
    <row r="514" spans="1:48" s="1" customFormat="1" ht="21" customHeight="1" x14ac:dyDescent="0.25">
      <c r="A514" s="83"/>
      <c r="B514" s="47"/>
      <c r="C514" s="80"/>
      <c r="D514" s="33"/>
      <c r="E514" s="48"/>
      <c r="F514" s="48"/>
      <c r="G514" s="48"/>
      <c r="H514" s="30"/>
      <c r="I514" s="30"/>
      <c r="J514" s="30"/>
      <c r="K514" s="28"/>
      <c r="L514" s="31"/>
      <c r="M514" s="31"/>
      <c r="N514" s="32"/>
      <c r="O514" s="36"/>
      <c r="P514" s="36"/>
      <c r="Q514" s="36"/>
      <c r="R514" s="15"/>
      <c r="S514" s="20"/>
      <c r="T514" s="20"/>
      <c r="U514" s="20"/>
      <c r="V514" s="20"/>
      <c r="W514" s="20"/>
      <c r="X514" s="19"/>
      <c r="Y514" s="19"/>
      <c r="Z514" s="20"/>
      <c r="AA514" s="20"/>
      <c r="AB514" s="20"/>
      <c r="AC514" s="20"/>
      <c r="AD514" s="15"/>
      <c r="AE514" s="15"/>
      <c r="AF514" s="19"/>
      <c r="AG514" s="20"/>
      <c r="AH514" s="15"/>
      <c r="AI514" s="15"/>
      <c r="AJ514" s="15"/>
      <c r="AK514" s="15"/>
      <c r="AL514" s="15"/>
      <c r="AM514" s="15"/>
      <c r="AN514" s="29"/>
      <c r="AO514" s="19"/>
      <c r="AP514" s="21"/>
      <c r="AQ514" s="22"/>
      <c r="AR514" s="26"/>
      <c r="AS514" s="37"/>
      <c r="AT514" s="38"/>
      <c r="AU514" s="38"/>
      <c r="AV514" s="27"/>
    </row>
    <row r="515" spans="1:48" s="1" customFormat="1" ht="21" customHeight="1" x14ac:dyDescent="0.25">
      <c r="A515" s="83"/>
      <c r="B515" s="47"/>
      <c r="C515" s="80"/>
      <c r="D515" s="33"/>
      <c r="E515" s="48"/>
      <c r="F515" s="48"/>
      <c r="G515" s="48"/>
      <c r="H515" s="30"/>
      <c r="I515" s="30"/>
      <c r="J515" s="30"/>
      <c r="K515" s="28"/>
      <c r="L515" s="31"/>
      <c r="M515" s="31"/>
      <c r="N515" s="32"/>
      <c r="O515" s="36"/>
      <c r="P515" s="36"/>
      <c r="Q515" s="36"/>
      <c r="R515" s="15"/>
      <c r="S515" s="20"/>
      <c r="T515" s="20"/>
      <c r="U515" s="20"/>
      <c r="V515" s="20"/>
      <c r="W515" s="20"/>
      <c r="X515" s="19"/>
      <c r="Y515" s="19"/>
      <c r="Z515" s="20"/>
      <c r="AA515" s="20"/>
      <c r="AB515" s="20"/>
      <c r="AC515" s="20"/>
      <c r="AD515" s="15"/>
      <c r="AE515" s="15"/>
      <c r="AF515" s="19"/>
      <c r="AG515" s="20"/>
      <c r="AH515" s="15"/>
      <c r="AI515" s="15"/>
      <c r="AJ515" s="15"/>
      <c r="AK515" s="15"/>
      <c r="AL515" s="15"/>
      <c r="AM515" s="15"/>
      <c r="AN515" s="29"/>
      <c r="AO515" s="19"/>
      <c r="AP515" s="21"/>
      <c r="AQ515" s="22"/>
      <c r="AR515" s="26"/>
      <c r="AS515" s="37"/>
      <c r="AT515" s="38"/>
      <c r="AU515" s="38"/>
      <c r="AV515" s="27"/>
    </row>
    <row r="516" spans="1:48" s="1" customFormat="1" ht="21" customHeight="1" x14ac:dyDescent="0.25">
      <c r="A516" s="83"/>
      <c r="B516" s="47"/>
      <c r="C516" s="80"/>
      <c r="D516" s="33"/>
      <c r="E516" s="48"/>
      <c r="F516" s="48"/>
      <c r="G516" s="48"/>
      <c r="H516" s="30"/>
      <c r="I516" s="30"/>
      <c r="J516" s="30"/>
      <c r="K516" s="28"/>
      <c r="L516" s="31"/>
      <c r="M516" s="31"/>
      <c r="N516" s="32"/>
      <c r="O516" s="36"/>
      <c r="P516" s="36"/>
      <c r="Q516" s="36"/>
      <c r="R516" s="15"/>
      <c r="S516" s="20"/>
      <c r="T516" s="20"/>
      <c r="U516" s="20"/>
      <c r="V516" s="20"/>
      <c r="W516" s="20"/>
      <c r="X516" s="19"/>
      <c r="Y516" s="19"/>
      <c r="Z516" s="20"/>
      <c r="AA516" s="20"/>
      <c r="AB516" s="20"/>
      <c r="AC516" s="20"/>
      <c r="AD516" s="15"/>
      <c r="AE516" s="15"/>
      <c r="AF516" s="19"/>
      <c r="AG516" s="20"/>
      <c r="AH516" s="15"/>
      <c r="AI516" s="15"/>
      <c r="AJ516" s="15"/>
      <c r="AK516" s="15"/>
      <c r="AL516" s="15"/>
      <c r="AM516" s="15"/>
      <c r="AN516" s="29"/>
      <c r="AO516" s="19"/>
      <c r="AP516" s="21"/>
      <c r="AQ516" s="22"/>
      <c r="AR516" s="26"/>
      <c r="AS516" s="37"/>
      <c r="AT516" s="38"/>
      <c r="AU516" s="38"/>
      <c r="AV516" s="27"/>
    </row>
    <row r="517" spans="1:48" s="1" customFormat="1" ht="21" customHeight="1" x14ac:dyDescent="0.25">
      <c r="A517" s="83"/>
      <c r="B517" s="47"/>
      <c r="C517" s="80"/>
      <c r="D517" s="33"/>
      <c r="E517" s="48"/>
      <c r="F517" s="48"/>
      <c r="G517" s="48"/>
      <c r="H517" s="30"/>
      <c r="I517" s="30"/>
      <c r="J517" s="30"/>
      <c r="K517" s="28"/>
      <c r="L517" s="31"/>
      <c r="M517" s="31"/>
      <c r="N517" s="32"/>
      <c r="O517" s="36"/>
      <c r="P517" s="36"/>
      <c r="Q517" s="36"/>
      <c r="R517" s="15"/>
      <c r="S517" s="20"/>
      <c r="T517" s="20"/>
      <c r="U517" s="20"/>
      <c r="V517" s="20"/>
      <c r="W517" s="20"/>
      <c r="X517" s="19"/>
      <c r="Y517" s="19"/>
      <c r="Z517" s="20"/>
      <c r="AA517" s="20"/>
      <c r="AB517" s="20"/>
      <c r="AC517" s="20"/>
      <c r="AD517" s="15"/>
      <c r="AE517" s="15"/>
      <c r="AF517" s="19"/>
      <c r="AG517" s="20"/>
      <c r="AH517" s="15"/>
      <c r="AI517" s="15"/>
      <c r="AJ517" s="15"/>
      <c r="AK517" s="15"/>
      <c r="AL517" s="15"/>
      <c r="AM517" s="15"/>
      <c r="AN517" s="29"/>
      <c r="AO517" s="19"/>
      <c r="AP517" s="21"/>
      <c r="AQ517" s="22"/>
      <c r="AR517" s="26"/>
      <c r="AS517" s="37"/>
      <c r="AT517" s="38"/>
      <c r="AU517" s="38"/>
      <c r="AV517" s="27"/>
    </row>
    <row r="518" spans="1:48" s="1" customFormat="1" ht="21" customHeight="1" x14ac:dyDescent="0.25">
      <c r="A518" s="83"/>
      <c r="B518" s="47"/>
      <c r="C518" s="80"/>
      <c r="D518" s="33"/>
      <c r="E518" s="48"/>
      <c r="F518" s="48"/>
      <c r="G518" s="48"/>
      <c r="H518" s="30"/>
      <c r="I518" s="30"/>
      <c r="J518" s="30"/>
      <c r="K518" s="28"/>
      <c r="L518" s="31"/>
      <c r="M518" s="31"/>
      <c r="N518" s="32"/>
      <c r="O518" s="36"/>
      <c r="P518" s="36"/>
      <c r="Q518" s="36"/>
      <c r="R518" s="15"/>
      <c r="S518" s="20"/>
      <c r="T518" s="20"/>
      <c r="U518" s="20"/>
      <c r="V518" s="20"/>
      <c r="W518" s="20"/>
      <c r="X518" s="19"/>
      <c r="Y518" s="19"/>
      <c r="Z518" s="20"/>
      <c r="AA518" s="20"/>
      <c r="AB518" s="20"/>
      <c r="AC518" s="20"/>
      <c r="AD518" s="15"/>
      <c r="AE518" s="15"/>
      <c r="AF518" s="19"/>
      <c r="AG518" s="20"/>
      <c r="AH518" s="15"/>
      <c r="AI518" s="15"/>
      <c r="AJ518" s="15"/>
      <c r="AK518" s="15"/>
      <c r="AL518" s="15"/>
      <c r="AM518" s="15"/>
      <c r="AN518" s="29"/>
      <c r="AO518" s="19"/>
      <c r="AP518" s="21"/>
      <c r="AQ518" s="22"/>
      <c r="AR518" s="26"/>
      <c r="AS518" s="37"/>
      <c r="AT518" s="38"/>
      <c r="AU518" s="38"/>
      <c r="AV518" s="27"/>
    </row>
    <row r="519" spans="1:48" s="1" customFormat="1" ht="21" customHeight="1" x14ac:dyDescent="0.25">
      <c r="A519" s="83"/>
      <c r="B519" s="47"/>
      <c r="C519" s="80"/>
      <c r="D519" s="33"/>
      <c r="E519" s="48"/>
      <c r="F519" s="48"/>
      <c r="G519" s="48"/>
      <c r="H519" s="30"/>
      <c r="I519" s="30"/>
      <c r="J519" s="30"/>
      <c r="K519" s="28"/>
      <c r="L519" s="31"/>
      <c r="M519" s="31"/>
      <c r="N519" s="32"/>
      <c r="O519" s="36"/>
      <c r="P519" s="36"/>
      <c r="Q519" s="36"/>
      <c r="R519" s="15"/>
      <c r="S519" s="20"/>
      <c r="T519" s="20"/>
      <c r="U519" s="20"/>
      <c r="V519" s="20"/>
      <c r="W519" s="20"/>
      <c r="X519" s="19"/>
      <c r="Y519" s="19"/>
      <c r="Z519" s="20"/>
      <c r="AA519" s="20"/>
      <c r="AB519" s="20"/>
      <c r="AC519" s="20"/>
      <c r="AD519" s="15"/>
      <c r="AE519" s="15"/>
      <c r="AF519" s="19"/>
      <c r="AG519" s="20"/>
      <c r="AH519" s="15"/>
      <c r="AI519" s="15"/>
      <c r="AJ519" s="15"/>
      <c r="AK519" s="15"/>
      <c r="AL519" s="15"/>
      <c r="AM519" s="15"/>
      <c r="AN519" s="29"/>
      <c r="AO519" s="19"/>
      <c r="AP519" s="21"/>
      <c r="AQ519" s="22"/>
      <c r="AR519" s="26"/>
      <c r="AS519" s="37"/>
      <c r="AT519" s="38"/>
      <c r="AU519" s="38"/>
      <c r="AV519" s="27"/>
    </row>
    <row r="520" spans="1:48" s="1" customFormat="1" ht="21" customHeight="1" x14ac:dyDescent="0.25">
      <c r="A520" s="83"/>
      <c r="B520" s="47"/>
      <c r="C520" s="80"/>
      <c r="D520" s="33"/>
      <c r="E520" s="48"/>
      <c r="F520" s="48"/>
      <c r="G520" s="48"/>
      <c r="H520" s="30"/>
      <c r="I520" s="30"/>
      <c r="J520" s="30"/>
      <c r="K520" s="28"/>
      <c r="L520" s="31"/>
      <c r="M520" s="31"/>
      <c r="N520" s="32"/>
      <c r="O520" s="36"/>
      <c r="P520" s="36"/>
      <c r="Q520" s="36"/>
      <c r="R520" s="15"/>
      <c r="S520" s="20"/>
      <c r="T520" s="20"/>
      <c r="U520" s="20"/>
      <c r="V520" s="20"/>
      <c r="W520" s="20"/>
      <c r="X520" s="19"/>
      <c r="Y520" s="19"/>
      <c r="Z520" s="20"/>
      <c r="AA520" s="20"/>
      <c r="AB520" s="20"/>
      <c r="AC520" s="20"/>
      <c r="AD520" s="15"/>
      <c r="AE520" s="15"/>
      <c r="AF520" s="19"/>
      <c r="AG520" s="20"/>
      <c r="AH520" s="15"/>
      <c r="AI520" s="15"/>
      <c r="AJ520" s="15"/>
      <c r="AK520" s="15"/>
      <c r="AL520" s="15"/>
      <c r="AM520" s="15"/>
      <c r="AN520" s="29"/>
      <c r="AO520" s="19"/>
      <c r="AP520" s="21"/>
      <c r="AQ520" s="22"/>
      <c r="AR520" s="26"/>
      <c r="AS520" s="37"/>
      <c r="AT520" s="38"/>
      <c r="AU520" s="38"/>
      <c r="AV520" s="27"/>
    </row>
    <row r="521" spans="1:48" s="1" customFormat="1" ht="21" customHeight="1" x14ac:dyDescent="0.25">
      <c r="A521" s="83"/>
      <c r="B521" s="47"/>
      <c r="C521" s="80"/>
      <c r="D521" s="33"/>
      <c r="E521" s="48"/>
      <c r="F521" s="48"/>
      <c r="G521" s="48"/>
      <c r="H521" s="30"/>
      <c r="I521" s="30"/>
      <c r="J521" s="30"/>
      <c r="K521" s="28"/>
      <c r="L521" s="31"/>
      <c r="M521" s="31"/>
      <c r="N521" s="32"/>
      <c r="O521" s="36"/>
      <c r="P521" s="36"/>
      <c r="Q521" s="36"/>
      <c r="R521" s="15"/>
      <c r="S521" s="20"/>
      <c r="T521" s="20"/>
      <c r="U521" s="20"/>
      <c r="V521" s="20"/>
      <c r="W521" s="20"/>
      <c r="X521" s="19"/>
      <c r="Y521" s="19"/>
      <c r="Z521" s="20"/>
      <c r="AA521" s="20"/>
      <c r="AB521" s="20"/>
      <c r="AC521" s="20"/>
      <c r="AD521" s="15"/>
      <c r="AE521" s="15"/>
      <c r="AF521" s="19"/>
      <c r="AG521" s="20"/>
      <c r="AH521" s="15"/>
      <c r="AI521" s="15"/>
      <c r="AJ521" s="15"/>
      <c r="AK521" s="15"/>
      <c r="AL521" s="15"/>
      <c r="AM521" s="15"/>
      <c r="AN521" s="29"/>
      <c r="AO521" s="19"/>
      <c r="AP521" s="21"/>
      <c r="AQ521" s="22"/>
      <c r="AR521" s="26"/>
      <c r="AS521" s="37"/>
      <c r="AT521" s="38"/>
      <c r="AU521" s="38"/>
      <c r="AV521" s="27"/>
    </row>
    <row r="522" spans="1:48" s="1" customFormat="1" ht="21" customHeight="1" x14ac:dyDescent="0.25">
      <c r="A522" s="83"/>
      <c r="B522" s="47"/>
      <c r="C522" s="80"/>
      <c r="D522" s="33"/>
      <c r="E522" s="48"/>
      <c r="F522" s="48"/>
      <c r="G522" s="48"/>
      <c r="H522" s="30"/>
      <c r="I522" s="30"/>
      <c r="J522" s="30"/>
      <c r="K522" s="28"/>
      <c r="L522" s="31"/>
      <c r="M522" s="31"/>
      <c r="N522" s="32"/>
      <c r="O522" s="36"/>
      <c r="P522" s="36"/>
      <c r="Q522" s="36"/>
      <c r="R522" s="15"/>
      <c r="S522" s="20"/>
      <c r="T522" s="20"/>
      <c r="U522" s="20"/>
      <c r="V522" s="20"/>
      <c r="W522" s="20"/>
      <c r="X522" s="19"/>
      <c r="Y522" s="19"/>
      <c r="Z522" s="20"/>
      <c r="AA522" s="20"/>
      <c r="AB522" s="20"/>
      <c r="AC522" s="20"/>
      <c r="AD522" s="15"/>
      <c r="AE522" s="15"/>
      <c r="AF522" s="19"/>
      <c r="AG522" s="20"/>
      <c r="AH522" s="15"/>
      <c r="AI522" s="15"/>
      <c r="AJ522" s="15"/>
      <c r="AK522" s="15"/>
      <c r="AL522" s="15"/>
      <c r="AM522" s="15"/>
      <c r="AN522" s="29"/>
      <c r="AO522" s="19"/>
      <c r="AP522" s="21"/>
      <c r="AQ522" s="22"/>
      <c r="AR522" s="26"/>
      <c r="AS522" s="37"/>
      <c r="AT522" s="38"/>
      <c r="AU522" s="38"/>
      <c r="AV522" s="27"/>
    </row>
    <row r="523" spans="1:48" s="1" customFormat="1" ht="21" customHeight="1" x14ac:dyDescent="0.25">
      <c r="A523" s="83"/>
      <c r="B523" s="47"/>
      <c r="C523" s="80"/>
      <c r="D523" s="33"/>
      <c r="E523" s="48"/>
      <c r="F523" s="48"/>
      <c r="G523" s="48"/>
      <c r="H523" s="30"/>
      <c r="I523" s="30"/>
      <c r="J523" s="30"/>
      <c r="K523" s="28"/>
      <c r="L523" s="31"/>
      <c r="M523" s="31"/>
      <c r="N523" s="32"/>
      <c r="O523" s="36"/>
      <c r="P523" s="36"/>
      <c r="Q523" s="36"/>
      <c r="R523" s="15"/>
      <c r="S523" s="20"/>
      <c r="T523" s="20"/>
      <c r="U523" s="20"/>
      <c r="V523" s="20"/>
      <c r="W523" s="20"/>
      <c r="X523" s="19"/>
      <c r="Y523" s="19"/>
      <c r="Z523" s="20"/>
      <c r="AA523" s="20"/>
      <c r="AB523" s="20"/>
      <c r="AC523" s="20"/>
      <c r="AD523" s="15"/>
      <c r="AE523" s="15"/>
      <c r="AF523" s="19"/>
      <c r="AG523" s="20"/>
      <c r="AH523" s="15"/>
      <c r="AI523" s="15"/>
      <c r="AJ523" s="15"/>
      <c r="AK523" s="15"/>
      <c r="AL523" s="15"/>
      <c r="AM523" s="15"/>
      <c r="AN523" s="29"/>
      <c r="AO523" s="19"/>
      <c r="AP523" s="21"/>
      <c r="AQ523" s="22"/>
      <c r="AR523" s="26"/>
      <c r="AS523" s="37"/>
      <c r="AT523" s="38"/>
      <c r="AU523" s="38"/>
      <c r="AV523" s="27"/>
    </row>
    <row r="524" spans="1:48" s="1" customFormat="1" ht="21" customHeight="1" x14ac:dyDescent="0.25">
      <c r="A524" s="83"/>
      <c r="B524" s="47"/>
      <c r="C524" s="80"/>
      <c r="D524" s="33"/>
      <c r="E524" s="48"/>
      <c r="F524" s="48"/>
      <c r="G524" s="48"/>
      <c r="H524" s="30"/>
      <c r="I524" s="30"/>
      <c r="J524" s="30"/>
      <c r="K524" s="28"/>
      <c r="L524" s="31"/>
      <c r="M524" s="31"/>
      <c r="N524" s="32"/>
      <c r="O524" s="36"/>
      <c r="P524" s="36"/>
      <c r="Q524" s="36"/>
      <c r="R524" s="15"/>
      <c r="S524" s="20"/>
      <c r="T524" s="20"/>
      <c r="U524" s="20"/>
      <c r="V524" s="20"/>
      <c r="W524" s="20"/>
      <c r="X524" s="19"/>
      <c r="Y524" s="19"/>
      <c r="Z524" s="20"/>
      <c r="AA524" s="20"/>
      <c r="AB524" s="20"/>
      <c r="AC524" s="20"/>
      <c r="AD524" s="15"/>
      <c r="AE524" s="15"/>
      <c r="AF524" s="19"/>
      <c r="AG524" s="20"/>
      <c r="AH524" s="15"/>
      <c r="AI524" s="15"/>
      <c r="AJ524" s="15"/>
      <c r="AK524" s="15"/>
      <c r="AL524" s="15"/>
      <c r="AM524" s="15"/>
      <c r="AN524" s="29"/>
      <c r="AO524" s="19"/>
      <c r="AP524" s="21"/>
      <c r="AQ524" s="22"/>
      <c r="AR524" s="26"/>
      <c r="AS524" s="37"/>
      <c r="AT524" s="38"/>
      <c r="AU524" s="38"/>
      <c r="AV524" s="27"/>
    </row>
    <row r="525" spans="1:48" s="1" customFormat="1" ht="21" customHeight="1" x14ac:dyDescent="0.25">
      <c r="A525" s="83"/>
      <c r="B525" s="47"/>
      <c r="C525" s="80"/>
      <c r="D525" s="33"/>
      <c r="E525" s="48"/>
      <c r="F525" s="48"/>
      <c r="G525" s="48"/>
      <c r="H525" s="30"/>
      <c r="I525" s="30"/>
      <c r="J525" s="30"/>
      <c r="K525" s="28"/>
      <c r="L525" s="31"/>
      <c r="M525" s="31"/>
      <c r="N525" s="32"/>
      <c r="O525" s="36"/>
      <c r="P525" s="36"/>
      <c r="Q525" s="36"/>
      <c r="R525" s="15"/>
      <c r="S525" s="20"/>
      <c r="T525" s="20"/>
      <c r="U525" s="20"/>
      <c r="V525" s="20"/>
      <c r="W525" s="20"/>
      <c r="X525" s="19"/>
      <c r="Y525" s="19"/>
      <c r="Z525" s="20"/>
      <c r="AA525" s="20"/>
      <c r="AB525" s="20"/>
      <c r="AC525" s="20"/>
      <c r="AD525" s="15"/>
      <c r="AE525" s="15"/>
      <c r="AF525" s="19"/>
      <c r="AG525" s="20"/>
      <c r="AH525" s="15"/>
      <c r="AI525" s="15"/>
      <c r="AJ525" s="15"/>
      <c r="AK525" s="15"/>
      <c r="AL525" s="15"/>
      <c r="AM525" s="15"/>
      <c r="AN525" s="29"/>
      <c r="AO525" s="19"/>
      <c r="AP525" s="21"/>
      <c r="AQ525" s="22"/>
      <c r="AR525" s="26"/>
      <c r="AS525" s="37"/>
      <c r="AT525" s="38"/>
      <c r="AU525" s="38"/>
      <c r="AV525" s="27"/>
    </row>
    <row r="526" spans="1:48" s="1" customFormat="1" ht="21" customHeight="1" x14ac:dyDescent="0.25">
      <c r="A526" s="83"/>
      <c r="B526" s="47"/>
      <c r="C526" s="80"/>
      <c r="D526" s="33"/>
      <c r="E526" s="48"/>
      <c r="F526" s="48"/>
      <c r="G526" s="48"/>
      <c r="H526" s="30"/>
      <c r="I526" s="30"/>
      <c r="J526" s="30"/>
      <c r="K526" s="28"/>
      <c r="L526" s="31"/>
      <c r="M526" s="31"/>
      <c r="N526" s="32"/>
      <c r="O526" s="36"/>
      <c r="P526" s="36"/>
      <c r="Q526" s="36"/>
      <c r="R526" s="15"/>
      <c r="S526" s="20"/>
      <c r="T526" s="20"/>
      <c r="U526" s="20"/>
      <c r="V526" s="20"/>
      <c r="W526" s="20"/>
      <c r="X526" s="19"/>
      <c r="Y526" s="19"/>
      <c r="Z526" s="20"/>
      <c r="AA526" s="20"/>
      <c r="AB526" s="20"/>
      <c r="AC526" s="20"/>
      <c r="AD526" s="15"/>
      <c r="AE526" s="15"/>
      <c r="AF526" s="19"/>
      <c r="AG526" s="20"/>
      <c r="AH526" s="15"/>
      <c r="AI526" s="15"/>
      <c r="AJ526" s="15"/>
      <c r="AK526" s="15"/>
      <c r="AL526" s="15"/>
      <c r="AM526" s="15"/>
      <c r="AN526" s="29"/>
      <c r="AO526" s="19"/>
      <c r="AP526" s="21"/>
      <c r="AQ526" s="22"/>
      <c r="AR526" s="26"/>
      <c r="AS526" s="37"/>
      <c r="AT526" s="38"/>
      <c r="AU526" s="38"/>
      <c r="AV526" s="27"/>
    </row>
    <row r="527" spans="1:48" s="1" customFormat="1" ht="21" customHeight="1" x14ac:dyDescent="0.25">
      <c r="A527" s="83"/>
      <c r="B527" s="47"/>
      <c r="C527" s="80"/>
      <c r="D527" s="33"/>
      <c r="E527" s="48"/>
      <c r="F527" s="48"/>
      <c r="G527" s="48"/>
      <c r="H527" s="30"/>
      <c r="I527" s="30"/>
      <c r="J527" s="30"/>
      <c r="K527" s="28"/>
      <c r="L527" s="31"/>
      <c r="M527" s="31"/>
      <c r="N527" s="32"/>
      <c r="O527" s="36"/>
      <c r="P527" s="36"/>
      <c r="Q527" s="36"/>
      <c r="R527" s="15"/>
      <c r="S527" s="20"/>
      <c r="T527" s="20"/>
      <c r="U527" s="20"/>
      <c r="V527" s="20"/>
      <c r="W527" s="20"/>
      <c r="X527" s="19"/>
      <c r="Y527" s="19"/>
      <c r="Z527" s="20"/>
      <c r="AA527" s="20"/>
      <c r="AB527" s="20"/>
      <c r="AC527" s="20"/>
      <c r="AD527" s="15"/>
      <c r="AE527" s="15"/>
      <c r="AF527" s="19"/>
      <c r="AG527" s="20"/>
      <c r="AH527" s="15"/>
      <c r="AI527" s="15"/>
      <c r="AJ527" s="15"/>
      <c r="AK527" s="15"/>
      <c r="AL527" s="15"/>
      <c r="AM527" s="15"/>
      <c r="AN527" s="29"/>
      <c r="AO527" s="19"/>
      <c r="AP527" s="21"/>
      <c r="AQ527" s="22"/>
      <c r="AR527" s="26"/>
      <c r="AS527" s="37"/>
      <c r="AT527" s="38"/>
      <c r="AU527" s="38"/>
      <c r="AV527" s="27"/>
    </row>
    <row r="528" spans="1:48" s="1" customFormat="1" ht="21" customHeight="1" x14ac:dyDescent="0.25">
      <c r="A528" s="83"/>
      <c r="B528" s="47"/>
      <c r="C528" s="80"/>
      <c r="D528" s="33"/>
      <c r="E528" s="48"/>
      <c r="F528" s="48"/>
      <c r="G528" s="48"/>
      <c r="H528" s="30"/>
      <c r="I528" s="30"/>
      <c r="J528" s="30"/>
      <c r="K528" s="28"/>
      <c r="L528" s="31"/>
      <c r="M528" s="31"/>
      <c r="N528" s="32"/>
      <c r="O528" s="36"/>
      <c r="P528" s="36"/>
      <c r="Q528" s="36"/>
      <c r="R528" s="15"/>
      <c r="S528" s="20"/>
      <c r="T528" s="20"/>
      <c r="U528" s="20"/>
      <c r="V528" s="20"/>
      <c r="W528" s="20"/>
      <c r="X528" s="19"/>
      <c r="Y528" s="19"/>
      <c r="Z528" s="20"/>
      <c r="AA528" s="20"/>
      <c r="AB528" s="20"/>
      <c r="AC528" s="20"/>
      <c r="AD528" s="15"/>
      <c r="AE528" s="15"/>
      <c r="AF528" s="19"/>
      <c r="AG528" s="20"/>
      <c r="AH528" s="15"/>
      <c r="AI528" s="15"/>
      <c r="AJ528" s="15"/>
      <c r="AK528" s="15"/>
      <c r="AL528" s="15"/>
      <c r="AM528" s="15"/>
      <c r="AN528" s="29"/>
      <c r="AO528" s="19"/>
      <c r="AP528" s="21"/>
      <c r="AQ528" s="22"/>
      <c r="AR528" s="26"/>
      <c r="AS528" s="37"/>
      <c r="AT528" s="38"/>
      <c r="AU528" s="38"/>
      <c r="AV528" s="27"/>
    </row>
    <row r="529" spans="1:48" s="1" customFormat="1" ht="21" customHeight="1" x14ac:dyDescent="0.25">
      <c r="A529" s="83"/>
      <c r="B529" s="47"/>
      <c r="C529" s="80"/>
      <c r="D529" s="33"/>
      <c r="E529" s="48"/>
      <c r="F529" s="48"/>
      <c r="G529" s="48"/>
      <c r="H529" s="30"/>
      <c r="I529" s="30"/>
      <c r="J529" s="30"/>
      <c r="K529" s="28"/>
      <c r="L529" s="31"/>
      <c r="M529" s="31"/>
      <c r="N529" s="32"/>
      <c r="O529" s="36"/>
      <c r="P529" s="36"/>
      <c r="Q529" s="36"/>
      <c r="R529" s="15"/>
      <c r="S529" s="20"/>
      <c r="T529" s="20"/>
      <c r="U529" s="20"/>
      <c r="V529" s="20"/>
      <c r="W529" s="20"/>
      <c r="X529" s="19"/>
      <c r="Y529" s="19"/>
      <c r="Z529" s="20"/>
      <c r="AA529" s="20"/>
      <c r="AB529" s="20"/>
      <c r="AC529" s="20"/>
      <c r="AD529" s="15"/>
      <c r="AE529" s="15"/>
      <c r="AF529" s="19"/>
      <c r="AG529" s="20"/>
      <c r="AH529" s="15"/>
      <c r="AI529" s="15"/>
      <c r="AJ529" s="15"/>
      <c r="AK529" s="15"/>
      <c r="AL529" s="15"/>
      <c r="AM529" s="15"/>
      <c r="AN529" s="29"/>
      <c r="AO529" s="19"/>
      <c r="AP529" s="21"/>
      <c r="AQ529" s="22"/>
      <c r="AR529" s="26"/>
      <c r="AS529" s="37"/>
      <c r="AT529" s="38"/>
      <c r="AU529" s="38"/>
      <c r="AV529" s="27"/>
    </row>
    <row r="530" spans="1:48" s="1" customFormat="1" ht="21" customHeight="1" x14ac:dyDescent="0.25">
      <c r="A530" s="83"/>
      <c r="B530" s="47"/>
      <c r="C530" s="80"/>
      <c r="D530" s="33"/>
      <c r="E530" s="48"/>
      <c r="F530" s="48"/>
      <c r="G530" s="48"/>
      <c r="H530" s="30"/>
      <c r="I530" s="30"/>
      <c r="J530" s="30"/>
      <c r="K530" s="28"/>
      <c r="L530" s="31"/>
      <c r="M530" s="31"/>
      <c r="N530" s="32"/>
      <c r="O530" s="36"/>
      <c r="P530" s="36"/>
      <c r="Q530" s="36"/>
      <c r="R530" s="15"/>
      <c r="S530" s="20"/>
      <c r="T530" s="20"/>
      <c r="U530" s="20"/>
      <c r="V530" s="20"/>
      <c r="W530" s="20"/>
      <c r="X530" s="19"/>
      <c r="Y530" s="19"/>
      <c r="Z530" s="20"/>
      <c r="AA530" s="20"/>
      <c r="AB530" s="20"/>
      <c r="AC530" s="20"/>
      <c r="AD530" s="15"/>
      <c r="AE530" s="15"/>
      <c r="AF530" s="19"/>
      <c r="AG530" s="20"/>
      <c r="AH530" s="15"/>
      <c r="AI530" s="15"/>
      <c r="AJ530" s="15"/>
      <c r="AK530" s="15"/>
      <c r="AL530" s="15"/>
      <c r="AM530" s="15"/>
      <c r="AN530" s="29"/>
      <c r="AO530" s="19"/>
      <c r="AP530" s="21"/>
      <c r="AQ530" s="22"/>
      <c r="AR530" s="26"/>
      <c r="AS530" s="37"/>
      <c r="AT530" s="38"/>
      <c r="AU530" s="38"/>
      <c r="AV530" s="27"/>
    </row>
    <row r="531" spans="1:48" s="1" customFormat="1" ht="21" customHeight="1" x14ac:dyDescent="0.25">
      <c r="A531" s="83"/>
      <c r="B531" s="47"/>
      <c r="C531" s="80"/>
      <c r="D531" s="33"/>
      <c r="E531" s="48"/>
      <c r="F531" s="48"/>
      <c r="G531" s="48"/>
      <c r="H531" s="30"/>
      <c r="I531" s="30"/>
      <c r="J531" s="30"/>
      <c r="K531" s="28"/>
      <c r="L531" s="31"/>
      <c r="M531" s="31"/>
      <c r="N531" s="32"/>
      <c r="O531" s="36"/>
      <c r="P531" s="36"/>
      <c r="Q531" s="36"/>
      <c r="R531" s="15"/>
      <c r="S531" s="20"/>
      <c r="T531" s="20"/>
      <c r="U531" s="20"/>
      <c r="V531" s="20"/>
      <c r="W531" s="20"/>
      <c r="X531" s="19"/>
      <c r="Y531" s="19"/>
      <c r="Z531" s="20"/>
      <c r="AA531" s="20"/>
      <c r="AB531" s="20"/>
      <c r="AC531" s="20"/>
      <c r="AD531" s="15"/>
      <c r="AE531" s="15"/>
      <c r="AF531" s="19"/>
      <c r="AG531" s="20"/>
      <c r="AH531" s="15"/>
      <c r="AI531" s="15"/>
      <c r="AJ531" s="15"/>
      <c r="AK531" s="15"/>
      <c r="AL531" s="15"/>
      <c r="AM531" s="15"/>
      <c r="AN531" s="29"/>
      <c r="AO531" s="19"/>
      <c r="AP531" s="21"/>
      <c r="AQ531" s="22"/>
      <c r="AR531" s="26"/>
      <c r="AS531" s="37"/>
      <c r="AT531" s="38"/>
      <c r="AU531" s="38"/>
      <c r="AV531" s="27"/>
    </row>
    <row r="532" spans="1:48" s="1" customFormat="1" ht="21" customHeight="1" x14ac:dyDescent="0.25">
      <c r="A532" s="83"/>
      <c r="B532" s="47"/>
      <c r="C532" s="80"/>
      <c r="D532" s="33"/>
      <c r="E532" s="48"/>
      <c r="F532" s="48"/>
      <c r="G532" s="48"/>
      <c r="H532" s="30"/>
      <c r="I532" s="30"/>
      <c r="J532" s="30"/>
      <c r="K532" s="28"/>
      <c r="L532" s="31"/>
      <c r="M532" s="31"/>
      <c r="N532" s="32"/>
      <c r="O532" s="36"/>
      <c r="P532" s="36"/>
      <c r="Q532" s="36"/>
      <c r="R532" s="15"/>
      <c r="S532" s="20"/>
      <c r="T532" s="20"/>
      <c r="U532" s="20"/>
      <c r="V532" s="20"/>
      <c r="W532" s="20"/>
      <c r="X532" s="19"/>
      <c r="Y532" s="19"/>
      <c r="Z532" s="20"/>
      <c r="AA532" s="20"/>
      <c r="AB532" s="20"/>
      <c r="AC532" s="20"/>
      <c r="AD532" s="15"/>
      <c r="AE532" s="15"/>
      <c r="AF532" s="19"/>
      <c r="AG532" s="20"/>
      <c r="AH532" s="15"/>
      <c r="AI532" s="15"/>
      <c r="AJ532" s="15"/>
      <c r="AK532" s="15"/>
      <c r="AL532" s="15"/>
      <c r="AM532" s="15"/>
      <c r="AN532" s="29"/>
      <c r="AO532" s="19"/>
      <c r="AP532" s="21"/>
      <c r="AQ532" s="22"/>
      <c r="AR532" s="26"/>
      <c r="AS532" s="37"/>
      <c r="AT532" s="38"/>
      <c r="AU532" s="38"/>
      <c r="AV532" s="27"/>
    </row>
    <row r="533" spans="1:48" s="1" customFormat="1" ht="21" customHeight="1" x14ac:dyDescent="0.25">
      <c r="A533" s="83"/>
      <c r="B533" s="47"/>
      <c r="C533" s="80"/>
      <c r="D533" s="33"/>
      <c r="E533" s="48"/>
      <c r="F533" s="48"/>
      <c r="G533" s="48"/>
      <c r="H533" s="30"/>
      <c r="I533" s="30"/>
      <c r="J533" s="30"/>
      <c r="K533" s="28"/>
      <c r="L533" s="31"/>
      <c r="M533" s="31"/>
      <c r="N533" s="32"/>
      <c r="O533" s="36"/>
      <c r="P533" s="36"/>
      <c r="Q533" s="36"/>
      <c r="R533" s="15"/>
      <c r="S533" s="20"/>
      <c r="T533" s="20"/>
      <c r="U533" s="20"/>
      <c r="V533" s="20"/>
      <c r="W533" s="20"/>
      <c r="X533" s="19"/>
      <c r="Y533" s="19"/>
      <c r="Z533" s="20"/>
      <c r="AA533" s="20"/>
      <c r="AB533" s="20"/>
      <c r="AC533" s="20"/>
      <c r="AD533" s="15"/>
      <c r="AE533" s="15"/>
      <c r="AF533" s="19"/>
      <c r="AG533" s="20"/>
      <c r="AH533" s="15"/>
      <c r="AI533" s="15"/>
      <c r="AJ533" s="15"/>
      <c r="AK533" s="15"/>
      <c r="AL533" s="15"/>
      <c r="AM533" s="15"/>
      <c r="AN533" s="29"/>
      <c r="AO533" s="19"/>
      <c r="AP533" s="21"/>
      <c r="AQ533" s="22"/>
      <c r="AR533" s="26"/>
      <c r="AS533" s="37"/>
      <c r="AT533" s="38"/>
      <c r="AU533" s="38"/>
      <c r="AV533" s="27"/>
    </row>
    <row r="534" spans="1:48" s="1" customFormat="1" ht="21" customHeight="1" x14ac:dyDescent="0.25">
      <c r="A534" s="83"/>
      <c r="B534" s="47"/>
      <c r="C534" s="80"/>
      <c r="D534" s="33"/>
      <c r="E534" s="48"/>
      <c r="F534" s="48"/>
      <c r="G534" s="48"/>
      <c r="H534" s="30"/>
      <c r="I534" s="30"/>
      <c r="J534" s="30"/>
      <c r="K534" s="28"/>
      <c r="L534" s="31"/>
      <c r="M534" s="31"/>
      <c r="N534" s="32"/>
      <c r="O534" s="36"/>
      <c r="P534" s="36"/>
      <c r="Q534" s="36"/>
      <c r="R534" s="15"/>
      <c r="S534" s="20"/>
      <c r="T534" s="20"/>
      <c r="U534" s="20"/>
      <c r="V534" s="20"/>
      <c r="W534" s="20"/>
      <c r="X534" s="19"/>
      <c r="Y534" s="19"/>
      <c r="Z534" s="20"/>
      <c r="AA534" s="20"/>
      <c r="AB534" s="20"/>
      <c r="AC534" s="20"/>
      <c r="AD534" s="15"/>
      <c r="AE534" s="15"/>
      <c r="AF534" s="19"/>
      <c r="AG534" s="20"/>
      <c r="AH534" s="15"/>
      <c r="AI534" s="15"/>
      <c r="AJ534" s="15"/>
      <c r="AK534" s="15"/>
      <c r="AL534" s="15"/>
      <c r="AM534" s="15"/>
      <c r="AN534" s="29"/>
      <c r="AO534" s="19"/>
      <c r="AP534" s="21"/>
      <c r="AQ534" s="22"/>
      <c r="AR534" s="26"/>
      <c r="AS534" s="37"/>
      <c r="AT534" s="38"/>
      <c r="AU534" s="38"/>
      <c r="AV534" s="27"/>
    </row>
    <row r="535" spans="1:48" s="1" customFormat="1" ht="21" customHeight="1" x14ac:dyDescent="0.25">
      <c r="A535" s="83"/>
      <c r="B535" s="47"/>
      <c r="C535" s="80"/>
      <c r="D535" s="33"/>
      <c r="E535" s="48"/>
      <c r="F535" s="48"/>
      <c r="G535" s="48"/>
      <c r="H535" s="30"/>
      <c r="I535" s="30"/>
      <c r="J535" s="30"/>
      <c r="K535" s="28"/>
      <c r="L535" s="31"/>
      <c r="M535" s="31"/>
      <c r="N535" s="32"/>
      <c r="O535" s="36"/>
      <c r="P535" s="36"/>
      <c r="Q535" s="36"/>
      <c r="R535" s="15"/>
      <c r="S535" s="20"/>
      <c r="T535" s="20"/>
      <c r="U535" s="20"/>
      <c r="V535" s="20"/>
      <c r="W535" s="20"/>
      <c r="X535" s="19"/>
      <c r="Y535" s="19"/>
      <c r="Z535" s="20"/>
      <c r="AA535" s="20"/>
      <c r="AB535" s="20"/>
      <c r="AC535" s="20"/>
      <c r="AD535" s="15"/>
      <c r="AE535" s="15"/>
      <c r="AF535" s="19"/>
      <c r="AG535" s="20"/>
      <c r="AH535" s="15"/>
      <c r="AI535" s="15"/>
      <c r="AJ535" s="15"/>
      <c r="AK535" s="15"/>
      <c r="AL535" s="15"/>
      <c r="AM535" s="15"/>
      <c r="AN535" s="29"/>
      <c r="AO535" s="19"/>
      <c r="AP535" s="21"/>
      <c r="AQ535" s="22"/>
      <c r="AR535" s="26"/>
      <c r="AS535" s="37"/>
      <c r="AT535" s="38"/>
      <c r="AU535" s="38"/>
      <c r="AV535" s="27"/>
    </row>
    <row r="536" spans="1:48" s="1" customFormat="1" ht="21" customHeight="1" x14ac:dyDescent="0.25">
      <c r="A536" s="83"/>
      <c r="B536" s="47"/>
      <c r="C536" s="80"/>
      <c r="D536" s="33"/>
      <c r="E536" s="48"/>
      <c r="F536" s="48"/>
      <c r="G536" s="48"/>
      <c r="H536" s="30"/>
      <c r="I536" s="30"/>
      <c r="J536" s="30"/>
      <c r="K536" s="28"/>
      <c r="L536" s="31"/>
      <c r="M536" s="31"/>
      <c r="N536" s="32"/>
      <c r="O536" s="36"/>
      <c r="P536" s="36"/>
      <c r="Q536" s="36"/>
      <c r="R536" s="15"/>
      <c r="S536" s="20"/>
      <c r="T536" s="20"/>
      <c r="U536" s="20"/>
      <c r="V536" s="20"/>
      <c r="W536" s="20"/>
      <c r="X536" s="19"/>
      <c r="Y536" s="19"/>
      <c r="Z536" s="20"/>
      <c r="AA536" s="20"/>
      <c r="AB536" s="20"/>
      <c r="AC536" s="20"/>
      <c r="AD536" s="15"/>
      <c r="AE536" s="15"/>
      <c r="AF536" s="19"/>
      <c r="AG536" s="20"/>
      <c r="AH536" s="15"/>
      <c r="AI536" s="15"/>
      <c r="AJ536" s="15"/>
      <c r="AK536" s="15"/>
      <c r="AL536" s="15"/>
      <c r="AM536" s="15"/>
      <c r="AN536" s="29"/>
      <c r="AO536" s="19"/>
      <c r="AP536" s="21"/>
      <c r="AQ536" s="22"/>
      <c r="AR536" s="26"/>
      <c r="AS536" s="37"/>
      <c r="AT536" s="38"/>
      <c r="AU536" s="38"/>
      <c r="AV536" s="27"/>
    </row>
    <row r="537" spans="1:48" s="1" customFormat="1" ht="21" customHeight="1" x14ac:dyDescent="0.25">
      <c r="A537" s="83"/>
      <c r="B537" s="47"/>
      <c r="C537" s="80"/>
      <c r="D537" s="33"/>
      <c r="E537" s="48"/>
      <c r="F537" s="48"/>
      <c r="G537" s="48"/>
      <c r="H537" s="30"/>
      <c r="I537" s="30"/>
      <c r="J537" s="30"/>
      <c r="K537" s="28"/>
      <c r="L537" s="31"/>
      <c r="M537" s="31"/>
      <c r="N537" s="32"/>
      <c r="O537" s="36"/>
      <c r="P537" s="36"/>
      <c r="Q537" s="36"/>
      <c r="R537" s="15"/>
      <c r="S537" s="20"/>
      <c r="T537" s="20"/>
      <c r="U537" s="20"/>
      <c r="V537" s="20"/>
      <c r="W537" s="20"/>
      <c r="X537" s="19"/>
      <c r="Y537" s="19"/>
      <c r="Z537" s="20"/>
      <c r="AA537" s="20"/>
      <c r="AB537" s="20"/>
      <c r="AC537" s="20"/>
      <c r="AD537" s="15"/>
      <c r="AE537" s="15"/>
      <c r="AF537" s="19"/>
      <c r="AG537" s="20"/>
      <c r="AH537" s="15"/>
      <c r="AI537" s="15"/>
      <c r="AJ537" s="15"/>
      <c r="AK537" s="15"/>
      <c r="AL537" s="15"/>
      <c r="AM537" s="15"/>
      <c r="AN537" s="29"/>
      <c r="AO537" s="19"/>
      <c r="AP537" s="21"/>
      <c r="AQ537" s="22"/>
      <c r="AR537" s="26"/>
      <c r="AS537" s="37"/>
      <c r="AT537" s="38"/>
      <c r="AU537" s="38"/>
      <c r="AV537" s="27"/>
    </row>
    <row r="538" spans="1:48" s="1" customFormat="1" ht="21" customHeight="1" x14ac:dyDescent="0.25">
      <c r="A538" s="83"/>
      <c r="B538" s="47"/>
      <c r="C538" s="80"/>
      <c r="D538" s="33"/>
      <c r="E538" s="48"/>
      <c r="F538" s="48"/>
      <c r="G538" s="48"/>
      <c r="H538" s="30"/>
      <c r="I538" s="30"/>
      <c r="J538" s="30"/>
      <c r="K538" s="28"/>
      <c r="L538" s="31"/>
      <c r="M538" s="31"/>
      <c r="N538" s="32"/>
      <c r="O538" s="36"/>
      <c r="P538" s="36"/>
      <c r="Q538" s="36"/>
      <c r="R538" s="15"/>
      <c r="S538" s="20"/>
      <c r="T538" s="20"/>
      <c r="U538" s="20"/>
      <c r="V538" s="20"/>
      <c r="W538" s="20"/>
      <c r="X538" s="19"/>
      <c r="Y538" s="19"/>
      <c r="Z538" s="20"/>
      <c r="AA538" s="20"/>
      <c r="AB538" s="20"/>
      <c r="AC538" s="20"/>
      <c r="AD538" s="15"/>
      <c r="AE538" s="15"/>
      <c r="AF538" s="19"/>
      <c r="AG538" s="20"/>
      <c r="AH538" s="15"/>
      <c r="AI538" s="15"/>
      <c r="AJ538" s="15"/>
      <c r="AK538" s="15"/>
      <c r="AL538" s="15"/>
      <c r="AM538" s="15"/>
      <c r="AN538" s="29"/>
      <c r="AO538" s="19"/>
      <c r="AP538" s="21"/>
      <c r="AQ538" s="22"/>
      <c r="AR538" s="26"/>
      <c r="AS538" s="37"/>
      <c r="AT538" s="38"/>
      <c r="AU538" s="38"/>
      <c r="AV538" s="27"/>
    </row>
    <row r="539" spans="1:48" s="1" customFormat="1" ht="21" customHeight="1" x14ac:dyDescent="0.25">
      <c r="A539" s="83"/>
      <c r="B539" s="47"/>
      <c r="C539" s="80"/>
      <c r="D539" s="33"/>
      <c r="E539" s="48"/>
      <c r="F539" s="48"/>
      <c r="G539" s="48"/>
      <c r="H539" s="30"/>
      <c r="I539" s="30"/>
      <c r="J539" s="30"/>
      <c r="K539" s="28"/>
      <c r="L539" s="31"/>
      <c r="M539" s="31"/>
      <c r="N539" s="32"/>
      <c r="O539" s="36"/>
      <c r="P539" s="36"/>
      <c r="Q539" s="36"/>
      <c r="R539" s="15"/>
      <c r="S539" s="20"/>
      <c r="T539" s="20"/>
      <c r="U539" s="20"/>
      <c r="V539" s="20"/>
      <c r="W539" s="20"/>
      <c r="X539" s="19"/>
      <c r="Y539" s="19"/>
      <c r="Z539" s="20"/>
      <c r="AA539" s="20"/>
      <c r="AB539" s="20"/>
      <c r="AC539" s="20"/>
      <c r="AD539" s="15"/>
      <c r="AE539" s="15"/>
      <c r="AF539" s="19"/>
      <c r="AG539" s="20"/>
      <c r="AH539" s="15"/>
      <c r="AI539" s="15"/>
      <c r="AJ539" s="15"/>
      <c r="AK539" s="15"/>
      <c r="AL539" s="15"/>
      <c r="AM539" s="15"/>
      <c r="AN539" s="29"/>
      <c r="AO539" s="19"/>
      <c r="AP539" s="21"/>
      <c r="AQ539" s="22"/>
      <c r="AR539" s="26"/>
      <c r="AS539" s="37"/>
      <c r="AT539" s="38"/>
      <c r="AU539" s="38"/>
      <c r="AV539" s="27"/>
    </row>
    <row r="540" spans="1:48" s="1" customFormat="1" ht="21" customHeight="1" x14ac:dyDescent="0.25">
      <c r="A540" s="83"/>
      <c r="B540" s="47"/>
      <c r="C540" s="80"/>
      <c r="D540" s="33"/>
      <c r="E540" s="48"/>
      <c r="F540" s="48"/>
      <c r="G540" s="48"/>
      <c r="H540" s="30"/>
      <c r="I540" s="30"/>
      <c r="J540" s="30"/>
      <c r="K540" s="28"/>
      <c r="L540" s="31"/>
      <c r="M540" s="31"/>
      <c r="N540" s="32"/>
      <c r="O540" s="36"/>
      <c r="P540" s="36"/>
      <c r="Q540" s="36"/>
      <c r="R540" s="15"/>
      <c r="S540" s="20"/>
      <c r="T540" s="20"/>
      <c r="U540" s="20"/>
      <c r="V540" s="20"/>
      <c r="W540" s="20"/>
      <c r="X540" s="19"/>
      <c r="Y540" s="19"/>
      <c r="Z540" s="20"/>
      <c r="AA540" s="20"/>
      <c r="AB540" s="20"/>
      <c r="AC540" s="20"/>
      <c r="AD540" s="15"/>
      <c r="AE540" s="15"/>
      <c r="AF540" s="19"/>
      <c r="AG540" s="20"/>
      <c r="AH540" s="15"/>
      <c r="AI540" s="15"/>
      <c r="AJ540" s="15"/>
      <c r="AK540" s="15"/>
      <c r="AL540" s="15"/>
      <c r="AM540" s="15"/>
      <c r="AN540" s="29"/>
      <c r="AO540" s="19"/>
      <c r="AP540" s="21"/>
      <c r="AQ540" s="22"/>
      <c r="AR540" s="26"/>
      <c r="AS540" s="37"/>
      <c r="AT540" s="38"/>
      <c r="AU540" s="38"/>
      <c r="AV540" s="27"/>
    </row>
    <row r="541" spans="1:48" s="1" customFormat="1" ht="21" customHeight="1" x14ac:dyDescent="0.25">
      <c r="A541" s="83"/>
      <c r="B541" s="47"/>
      <c r="C541" s="80"/>
      <c r="D541" s="33"/>
      <c r="E541" s="48"/>
      <c r="F541" s="48"/>
      <c r="G541" s="48"/>
      <c r="H541" s="30"/>
      <c r="I541" s="30"/>
      <c r="J541" s="30"/>
      <c r="K541" s="28"/>
      <c r="L541" s="31"/>
      <c r="M541" s="31"/>
      <c r="N541" s="32"/>
      <c r="O541" s="36"/>
      <c r="P541" s="36"/>
      <c r="Q541" s="36"/>
      <c r="R541" s="15"/>
      <c r="S541" s="20"/>
      <c r="T541" s="20"/>
      <c r="U541" s="20"/>
      <c r="V541" s="20"/>
      <c r="W541" s="20"/>
      <c r="X541" s="19"/>
      <c r="Y541" s="19"/>
      <c r="Z541" s="20"/>
      <c r="AA541" s="20"/>
      <c r="AB541" s="20"/>
      <c r="AC541" s="20"/>
      <c r="AD541" s="15"/>
      <c r="AE541" s="15"/>
      <c r="AF541" s="19"/>
      <c r="AG541" s="20"/>
      <c r="AH541" s="15"/>
      <c r="AI541" s="15"/>
      <c r="AJ541" s="15"/>
      <c r="AK541" s="15"/>
      <c r="AL541" s="15"/>
      <c r="AM541" s="15"/>
      <c r="AN541" s="29"/>
      <c r="AO541" s="19"/>
      <c r="AP541" s="21"/>
      <c r="AQ541" s="22"/>
      <c r="AR541" s="26"/>
      <c r="AS541" s="37"/>
      <c r="AT541" s="38"/>
      <c r="AU541" s="38"/>
      <c r="AV541" s="27"/>
    </row>
    <row r="542" spans="1:48" s="1" customFormat="1" ht="21" customHeight="1" x14ac:dyDescent="0.25">
      <c r="A542" s="83"/>
      <c r="B542" s="47"/>
      <c r="C542" s="80"/>
      <c r="D542" s="33"/>
      <c r="E542" s="48"/>
      <c r="F542" s="48"/>
      <c r="G542" s="48"/>
      <c r="H542" s="30"/>
      <c r="I542" s="30"/>
      <c r="J542" s="30"/>
      <c r="K542" s="28"/>
      <c r="L542" s="31"/>
      <c r="M542" s="31"/>
      <c r="N542" s="32"/>
      <c r="O542" s="36"/>
      <c r="P542" s="36"/>
      <c r="Q542" s="36"/>
      <c r="R542" s="15"/>
      <c r="S542" s="20"/>
      <c r="T542" s="20"/>
      <c r="U542" s="20"/>
      <c r="V542" s="20"/>
      <c r="W542" s="20"/>
      <c r="X542" s="19"/>
      <c r="Y542" s="19"/>
      <c r="Z542" s="20"/>
      <c r="AA542" s="20"/>
      <c r="AB542" s="20"/>
      <c r="AC542" s="20"/>
      <c r="AD542" s="15"/>
      <c r="AE542" s="15"/>
      <c r="AF542" s="19"/>
      <c r="AG542" s="20"/>
      <c r="AH542" s="15"/>
      <c r="AI542" s="15"/>
      <c r="AJ542" s="15"/>
      <c r="AK542" s="15"/>
      <c r="AL542" s="15"/>
      <c r="AM542" s="15"/>
      <c r="AN542" s="29"/>
      <c r="AO542" s="19"/>
      <c r="AP542" s="21"/>
      <c r="AQ542" s="22"/>
      <c r="AR542" s="26"/>
      <c r="AS542" s="37"/>
      <c r="AT542" s="38"/>
      <c r="AU542" s="38"/>
      <c r="AV542" s="27"/>
    </row>
    <row r="543" spans="1:48" s="1" customFormat="1" ht="21" customHeight="1" x14ac:dyDescent="0.25">
      <c r="A543" s="83"/>
      <c r="B543" s="47"/>
      <c r="C543" s="80"/>
      <c r="D543" s="33"/>
      <c r="E543" s="48"/>
      <c r="F543" s="48"/>
      <c r="G543" s="48"/>
      <c r="H543" s="30"/>
      <c r="I543" s="30"/>
      <c r="J543" s="30"/>
      <c r="K543" s="28"/>
      <c r="L543" s="31"/>
      <c r="M543" s="31"/>
      <c r="N543" s="32"/>
      <c r="O543" s="36"/>
      <c r="P543" s="36"/>
      <c r="Q543" s="36"/>
      <c r="R543" s="15"/>
      <c r="S543" s="20"/>
      <c r="T543" s="20"/>
      <c r="U543" s="20"/>
      <c r="V543" s="20"/>
      <c r="W543" s="20"/>
      <c r="X543" s="19"/>
      <c r="Y543" s="19"/>
      <c r="Z543" s="20"/>
      <c r="AA543" s="20"/>
      <c r="AB543" s="20"/>
      <c r="AC543" s="20"/>
      <c r="AD543" s="15"/>
      <c r="AE543" s="15"/>
      <c r="AF543" s="19"/>
      <c r="AG543" s="20"/>
      <c r="AH543" s="15"/>
      <c r="AI543" s="15"/>
      <c r="AJ543" s="15"/>
      <c r="AK543" s="15"/>
      <c r="AL543" s="15"/>
      <c r="AM543" s="15"/>
      <c r="AN543" s="29"/>
      <c r="AO543" s="19"/>
      <c r="AP543" s="21"/>
      <c r="AQ543" s="22"/>
      <c r="AR543" s="26"/>
      <c r="AS543" s="37"/>
      <c r="AT543" s="38"/>
      <c r="AU543" s="38"/>
      <c r="AV543" s="27"/>
    </row>
    <row r="544" spans="1:48" s="1" customFormat="1" ht="21" customHeight="1" x14ac:dyDescent="0.25">
      <c r="A544" s="83"/>
      <c r="B544" s="47"/>
      <c r="C544" s="80"/>
      <c r="D544" s="33"/>
      <c r="E544" s="48"/>
      <c r="F544" s="48"/>
      <c r="G544" s="48"/>
      <c r="H544" s="30"/>
      <c r="I544" s="30"/>
      <c r="J544" s="30"/>
      <c r="K544" s="28"/>
      <c r="L544" s="31"/>
      <c r="M544" s="31"/>
      <c r="N544" s="32"/>
      <c r="O544" s="36"/>
      <c r="P544" s="36"/>
      <c r="Q544" s="36"/>
      <c r="R544" s="15"/>
      <c r="S544" s="20"/>
      <c r="T544" s="20"/>
      <c r="U544" s="20"/>
      <c r="V544" s="20"/>
      <c r="W544" s="20"/>
      <c r="X544" s="19"/>
      <c r="Y544" s="19"/>
      <c r="Z544" s="20"/>
      <c r="AA544" s="20"/>
      <c r="AB544" s="20"/>
      <c r="AC544" s="20"/>
      <c r="AD544" s="15"/>
      <c r="AE544" s="15"/>
      <c r="AF544" s="19"/>
      <c r="AG544" s="20"/>
      <c r="AH544" s="15"/>
      <c r="AI544" s="15"/>
      <c r="AJ544" s="15"/>
      <c r="AK544" s="15"/>
      <c r="AL544" s="15"/>
      <c r="AM544" s="15"/>
      <c r="AN544" s="29"/>
      <c r="AO544" s="19"/>
      <c r="AP544" s="21"/>
      <c r="AQ544" s="22"/>
      <c r="AR544" s="26"/>
      <c r="AS544" s="37"/>
      <c r="AT544" s="38"/>
      <c r="AU544" s="38"/>
      <c r="AV544" s="27"/>
    </row>
    <row r="545" spans="1:48" s="1" customFormat="1" ht="21" customHeight="1" x14ac:dyDescent="0.25">
      <c r="A545" s="83"/>
      <c r="B545" s="47"/>
      <c r="C545" s="80"/>
      <c r="D545" s="33"/>
      <c r="E545" s="48"/>
      <c r="F545" s="48"/>
      <c r="G545" s="48"/>
      <c r="H545" s="30"/>
      <c r="I545" s="30"/>
      <c r="J545" s="30"/>
      <c r="K545" s="28"/>
      <c r="L545" s="31"/>
      <c r="M545" s="31"/>
      <c r="N545" s="32"/>
      <c r="O545" s="36"/>
      <c r="P545" s="36"/>
      <c r="Q545" s="36"/>
      <c r="R545" s="15"/>
      <c r="S545" s="20"/>
      <c r="T545" s="20"/>
      <c r="U545" s="20"/>
      <c r="V545" s="20"/>
      <c r="W545" s="20"/>
      <c r="X545" s="19"/>
      <c r="Y545" s="19"/>
      <c r="Z545" s="20"/>
      <c r="AA545" s="20"/>
      <c r="AB545" s="20"/>
      <c r="AC545" s="20"/>
      <c r="AD545" s="15"/>
      <c r="AE545" s="15"/>
      <c r="AF545" s="19"/>
      <c r="AG545" s="20"/>
      <c r="AH545" s="15"/>
      <c r="AI545" s="15"/>
      <c r="AJ545" s="15"/>
      <c r="AK545" s="15"/>
      <c r="AL545" s="15"/>
      <c r="AM545" s="15"/>
      <c r="AN545" s="29"/>
      <c r="AO545" s="19"/>
      <c r="AP545" s="21"/>
      <c r="AQ545" s="22"/>
      <c r="AR545" s="26"/>
      <c r="AS545" s="37"/>
      <c r="AT545" s="38"/>
      <c r="AU545" s="38"/>
      <c r="AV545" s="27"/>
    </row>
    <row r="546" spans="1:48" s="1" customFormat="1" ht="21" customHeight="1" x14ac:dyDescent="0.25">
      <c r="A546" s="83"/>
      <c r="B546" s="47"/>
      <c r="C546" s="80"/>
      <c r="D546" s="33"/>
      <c r="E546" s="48"/>
      <c r="F546" s="48"/>
      <c r="G546" s="48"/>
      <c r="H546" s="30"/>
      <c r="I546" s="30"/>
      <c r="J546" s="30"/>
      <c r="K546" s="28"/>
      <c r="L546" s="31"/>
      <c r="M546" s="31"/>
      <c r="N546" s="32"/>
      <c r="O546" s="36"/>
      <c r="P546" s="36"/>
      <c r="Q546" s="36"/>
      <c r="R546" s="15"/>
      <c r="S546" s="20"/>
      <c r="T546" s="20"/>
      <c r="U546" s="20"/>
      <c r="V546" s="20"/>
      <c r="W546" s="20"/>
      <c r="X546" s="19"/>
      <c r="Y546" s="19"/>
      <c r="Z546" s="20"/>
      <c r="AA546" s="20"/>
      <c r="AB546" s="20"/>
      <c r="AC546" s="20"/>
      <c r="AD546" s="15"/>
      <c r="AE546" s="15"/>
      <c r="AF546" s="19"/>
      <c r="AG546" s="20"/>
      <c r="AH546" s="15"/>
      <c r="AI546" s="15"/>
      <c r="AJ546" s="15"/>
      <c r="AK546" s="15"/>
      <c r="AL546" s="15"/>
      <c r="AM546" s="15"/>
      <c r="AN546" s="29"/>
      <c r="AO546" s="19"/>
      <c r="AP546" s="21"/>
      <c r="AQ546" s="22"/>
      <c r="AR546" s="26"/>
      <c r="AS546" s="37"/>
      <c r="AT546" s="38"/>
      <c r="AU546" s="38"/>
      <c r="AV546" s="27"/>
    </row>
    <row r="547" spans="1:48" s="1" customFormat="1" ht="21" customHeight="1" x14ac:dyDescent="0.25">
      <c r="A547" s="83"/>
      <c r="B547" s="47"/>
      <c r="C547" s="80"/>
      <c r="D547" s="33"/>
      <c r="E547" s="48"/>
      <c r="F547" s="48"/>
      <c r="G547" s="48"/>
      <c r="H547" s="30"/>
      <c r="I547" s="30"/>
      <c r="J547" s="30"/>
      <c r="K547" s="28"/>
      <c r="L547" s="31"/>
      <c r="M547" s="31"/>
      <c r="N547" s="32"/>
      <c r="O547" s="36"/>
      <c r="P547" s="36"/>
      <c r="Q547" s="36"/>
      <c r="R547" s="15"/>
      <c r="S547" s="20"/>
      <c r="T547" s="20"/>
      <c r="U547" s="20"/>
      <c r="V547" s="20"/>
      <c r="W547" s="20"/>
      <c r="X547" s="19"/>
      <c r="Y547" s="19"/>
      <c r="Z547" s="20"/>
      <c r="AA547" s="20"/>
      <c r="AB547" s="20"/>
      <c r="AC547" s="20"/>
      <c r="AD547" s="15"/>
      <c r="AE547" s="15"/>
      <c r="AF547" s="19"/>
      <c r="AG547" s="20"/>
      <c r="AH547" s="15"/>
      <c r="AI547" s="15"/>
      <c r="AJ547" s="15"/>
      <c r="AK547" s="15"/>
      <c r="AL547" s="15"/>
      <c r="AM547" s="15"/>
      <c r="AN547" s="29"/>
      <c r="AO547" s="19"/>
      <c r="AP547" s="21"/>
      <c r="AQ547" s="22"/>
      <c r="AR547" s="26"/>
      <c r="AS547" s="37"/>
      <c r="AT547" s="38"/>
      <c r="AU547" s="38"/>
      <c r="AV547" s="27"/>
    </row>
    <row r="548" spans="1:48" s="1" customFormat="1" ht="21" customHeight="1" x14ac:dyDescent="0.25">
      <c r="A548" s="83"/>
      <c r="B548" s="47"/>
      <c r="C548" s="80"/>
      <c r="D548" s="33"/>
      <c r="E548" s="48"/>
      <c r="F548" s="48"/>
      <c r="G548" s="48"/>
      <c r="H548" s="30"/>
      <c r="I548" s="30"/>
      <c r="J548" s="30"/>
      <c r="K548" s="28"/>
      <c r="L548" s="31"/>
      <c r="M548" s="31"/>
      <c r="N548" s="32"/>
      <c r="O548" s="36"/>
      <c r="P548" s="36"/>
      <c r="Q548" s="36"/>
      <c r="R548" s="15"/>
      <c r="S548" s="20"/>
      <c r="T548" s="20"/>
      <c r="U548" s="20"/>
      <c r="V548" s="20"/>
      <c r="W548" s="20"/>
      <c r="X548" s="19"/>
      <c r="Y548" s="19"/>
      <c r="Z548" s="20"/>
      <c r="AA548" s="20"/>
      <c r="AB548" s="20"/>
      <c r="AC548" s="20"/>
      <c r="AD548" s="15"/>
      <c r="AE548" s="15"/>
      <c r="AF548" s="19"/>
      <c r="AG548" s="20"/>
      <c r="AH548" s="15"/>
      <c r="AI548" s="15"/>
      <c r="AJ548" s="15"/>
      <c r="AK548" s="15"/>
      <c r="AL548" s="15"/>
      <c r="AM548" s="15"/>
      <c r="AN548" s="29"/>
      <c r="AO548" s="19"/>
      <c r="AP548" s="21"/>
      <c r="AQ548" s="22"/>
      <c r="AR548" s="26"/>
      <c r="AS548" s="37"/>
      <c r="AT548" s="38"/>
      <c r="AU548" s="38"/>
      <c r="AV548" s="27"/>
    </row>
    <row r="549" spans="1:48" s="1" customFormat="1" ht="21" customHeight="1" x14ac:dyDescent="0.25">
      <c r="A549" s="83"/>
      <c r="B549" s="47"/>
      <c r="C549" s="80"/>
      <c r="D549" s="33"/>
      <c r="E549" s="48"/>
      <c r="F549" s="48"/>
      <c r="G549" s="48"/>
      <c r="H549" s="30"/>
      <c r="I549" s="30"/>
      <c r="J549" s="30"/>
      <c r="K549" s="28"/>
      <c r="L549" s="31"/>
      <c r="M549" s="31"/>
      <c r="N549" s="32"/>
      <c r="O549" s="36"/>
      <c r="P549" s="36"/>
      <c r="Q549" s="36"/>
      <c r="R549" s="15"/>
      <c r="S549" s="20"/>
      <c r="T549" s="20"/>
      <c r="U549" s="20"/>
      <c r="V549" s="20"/>
      <c r="W549" s="20"/>
      <c r="X549" s="19"/>
      <c r="Y549" s="19"/>
      <c r="Z549" s="20"/>
      <c r="AA549" s="20"/>
      <c r="AB549" s="20"/>
      <c r="AC549" s="20"/>
      <c r="AD549" s="15"/>
      <c r="AE549" s="15"/>
      <c r="AF549" s="19"/>
      <c r="AG549" s="20"/>
      <c r="AH549" s="15"/>
      <c r="AI549" s="15"/>
      <c r="AJ549" s="15"/>
      <c r="AK549" s="15"/>
      <c r="AL549" s="15"/>
      <c r="AM549" s="15"/>
      <c r="AN549" s="29"/>
      <c r="AO549" s="19"/>
      <c r="AP549" s="21"/>
      <c r="AQ549" s="22"/>
      <c r="AR549" s="26"/>
      <c r="AS549" s="37"/>
      <c r="AT549" s="38"/>
      <c r="AU549" s="38"/>
      <c r="AV549" s="27"/>
    </row>
    <row r="550" spans="1:48" s="1" customFormat="1" ht="21" customHeight="1" x14ac:dyDescent="0.25">
      <c r="A550" s="83"/>
      <c r="B550" s="47"/>
      <c r="C550" s="80"/>
      <c r="D550" s="33"/>
      <c r="E550" s="48"/>
      <c r="F550" s="48"/>
      <c r="G550" s="48"/>
      <c r="H550" s="30"/>
      <c r="I550" s="30"/>
      <c r="J550" s="30"/>
      <c r="K550" s="28"/>
      <c r="L550" s="31"/>
      <c r="M550" s="31"/>
      <c r="N550" s="32"/>
      <c r="O550" s="36"/>
      <c r="P550" s="36"/>
      <c r="Q550" s="36"/>
      <c r="R550" s="15"/>
      <c r="S550" s="20"/>
      <c r="T550" s="20"/>
      <c r="U550" s="20"/>
      <c r="V550" s="20"/>
      <c r="W550" s="20"/>
      <c r="X550" s="19"/>
      <c r="Y550" s="19"/>
      <c r="Z550" s="20"/>
      <c r="AA550" s="20"/>
      <c r="AB550" s="20"/>
      <c r="AC550" s="20"/>
      <c r="AD550" s="15"/>
      <c r="AE550" s="15"/>
      <c r="AF550" s="19"/>
      <c r="AG550" s="20"/>
      <c r="AH550" s="15"/>
      <c r="AI550" s="15"/>
      <c r="AJ550" s="15"/>
      <c r="AK550" s="15"/>
      <c r="AL550" s="15"/>
      <c r="AM550" s="15"/>
      <c r="AN550" s="29"/>
      <c r="AO550" s="19"/>
      <c r="AP550" s="21"/>
      <c r="AQ550" s="22"/>
      <c r="AR550" s="26"/>
      <c r="AS550" s="37"/>
      <c r="AT550" s="38"/>
      <c r="AU550" s="38"/>
      <c r="AV550" s="27"/>
    </row>
    <row r="551" spans="1:48" s="1" customFormat="1" ht="21" customHeight="1" x14ac:dyDescent="0.25">
      <c r="A551" s="83"/>
      <c r="B551" s="47"/>
      <c r="C551" s="80"/>
      <c r="D551" s="33"/>
      <c r="E551" s="48"/>
      <c r="F551" s="48"/>
      <c r="G551" s="48"/>
      <c r="H551" s="30"/>
      <c r="I551" s="30"/>
      <c r="J551" s="30"/>
      <c r="K551" s="28"/>
      <c r="L551" s="31"/>
      <c r="M551" s="31"/>
      <c r="N551" s="32"/>
      <c r="O551" s="36"/>
      <c r="P551" s="36"/>
      <c r="Q551" s="36"/>
      <c r="R551" s="15"/>
      <c r="S551" s="20"/>
      <c r="T551" s="20"/>
      <c r="U551" s="20"/>
      <c r="V551" s="20"/>
      <c r="W551" s="20"/>
      <c r="X551" s="19"/>
      <c r="Y551" s="19"/>
      <c r="Z551" s="20"/>
      <c r="AA551" s="20"/>
      <c r="AB551" s="20"/>
      <c r="AC551" s="20"/>
      <c r="AD551" s="15"/>
      <c r="AE551" s="15"/>
      <c r="AF551" s="19"/>
      <c r="AG551" s="20"/>
      <c r="AH551" s="15"/>
      <c r="AI551" s="15"/>
      <c r="AJ551" s="15"/>
      <c r="AK551" s="15"/>
      <c r="AL551" s="15"/>
      <c r="AM551" s="15"/>
      <c r="AN551" s="29"/>
      <c r="AO551" s="19"/>
      <c r="AP551" s="21"/>
      <c r="AQ551" s="22"/>
      <c r="AR551" s="26"/>
      <c r="AS551" s="37"/>
      <c r="AT551" s="38"/>
      <c r="AU551" s="38"/>
      <c r="AV551" s="27"/>
    </row>
    <row r="552" spans="1:48" s="1" customFormat="1" ht="21" customHeight="1" x14ac:dyDescent="0.25">
      <c r="A552" s="83"/>
      <c r="B552" s="47"/>
      <c r="C552" s="80"/>
      <c r="D552" s="33"/>
      <c r="E552" s="48"/>
      <c r="F552" s="48"/>
      <c r="G552" s="48"/>
      <c r="H552" s="30"/>
      <c r="I552" s="30"/>
      <c r="J552" s="30"/>
      <c r="K552" s="28"/>
      <c r="L552" s="31"/>
      <c r="M552" s="31"/>
      <c r="N552" s="32"/>
      <c r="O552" s="36"/>
      <c r="P552" s="36"/>
      <c r="Q552" s="36"/>
      <c r="R552" s="15"/>
      <c r="S552" s="20"/>
      <c r="T552" s="20"/>
      <c r="U552" s="20"/>
      <c r="V552" s="20"/>
      <c r="W552" s="20"/>
      <c r="X552" s="19"/>
      <c r="Y552" s="19"/>
      <c r="Z552" s="20"/>
      <c r="AA552" s="20"/>
      <c r="AB552" s="20"/>
      <c r="AC552" s="20"/>
      <c r="AD552" s="15"/>
      <c r="AE552" s="15"/>
      <c r="AF552" s="19"/>
      <c r="AG552" s="20"/>
      <c r="AH552" s="15"/>
      <c r="AI552" s="15"/>
      <c r="AJ552" s="15"/>
      <c r="AK552" s="15"/>
      <c r="AL552" s="15"/>
      <c r="AM552" s="15"/>
      <c r="AN552" s="29"/>
      <c r="AO552" s="19"/>
      <c r="AP552" s="21"/>
      <c r="AQ552" s="22"/>
      <c r="AR552" s="26"/>
      <c r="AS552" s="37"/>
      <c r="AT552" s="38"/>
      <c r="AU552" s="38"/>
      <c r="AV552" s="27"/>
    </row>
    <row r="553" spans="1:48" s="1" customFormat="1" ht="21" customHeight="1" x14ac:dyDescent="0.25">
      <c r="A553" s="83"/>
      <c r="B553" s="47"/>
      <c r="C553" s="80"/>
      <c r="D553" s="33"/>
      <c r="E553" s="48"/>
      <c r="F553" s="48"/>
      <c r="G553" s="48"/>
      <c r="H553" s="30"/>
      <c r="I553" s="30"/>
      <c r="J553" s="30"/>
      <c r="K553" s="28"/>
      <c r="L553" s="31"/>
      <c r="M553" s="31"/>
      <c r="N553" s="32"/>
      <c r="O553" s="36"/>
      <c r="P553" s="36"/>
      <c r="Q553" s="36"/>
      <c r="R553" s="15"/>
      <c r="S553" s="20"/>
      <c r="T553" s="20"/>
      <c r="U553" s="20"/>
      <c r="V553" s="20"/>
      <c r="W553" s="20"/>
      <c r="X553" s="19"/>
      <c r="Y553" s="19"/>
      <c r="Z553" s="20"/>
      <c r="AA553" s="20"/>
      <c r="AB553" s="20"/>
      <c r="AC553" s="20"/>
      <c r="AD553" s="15"/>
      <c r="AE553" s="15"/>
      <c r="AF553" s="19"/>
      <c r="AG553" s="20"/>
      <c r="AH553" s="15"/>
      <c r="AI553" s="15"/>
      <c r="AJ553" s="15"/>
      <c r="AK553" s="15"/>
      <c r="AL553" s="15"/>
      <c r="AM553" s="15"/>
      <c r="AN553" s="29"/>
      <c r="AO553" s="19"/>
      <c r="AP553" s="21"/>
      <c r="AQ553" s="22"/>
      <c r="AR553" s="26"/>
      <c r="AS553" s="37"/>
      <c r="AT553" s="38"/>
      <c r="AU553" s="38"/>
      <c r="AV553" s="27"/>
    </row>
    <row r="554" spans="1:48" s="1" customFormat="1" ht="21" customHeight="1" x14ac:dyDescent="0.25">
      <c r="A554" s="83"/>
      <c r="B554" s="47"/>
      <c r="C554" s="80"/>
      <c r="D554" s="33"/>
      <c r="E554" s="48"/>
      <c r="F554" s="48"/>
      <c r="G554" s="48"/>
      <c r="H554" s="30"/>
      <c r="I554" s="30"/>
      <c r="J554" s="30"/>
      <c r="K554" s="28"/>
      <c r="L554" s="31"/>
      <c r="M554" s="31"/>
      <c r="N554" s="32"/>
      <c r="O554" s="36"/>
      <c r="P554" s="36"/>
      <c r="Q554" s="36"/>
      <c r="R554" s="15"/>
      <c r="S554" s="20"/>
      <c r="T554" s="20"/>
      <c r="U554" s="20"/>
      <c r="V554" s="20"/>
      <c r="W554" s="20"/>
      <c r="X554" s="19"/>
      <c r="Y554" s="19"/>
      <c r="Z554" s="20"/>
      <c r="AA554" s="20"/>
      <c r="AB554" s="20"/>
      <c r="AC554" s="20"/>
      <c r="AD554" s="15"/>
      <c r="AE554" s="15"/>
      <c r="AF554" s="19"/>
      <c r="AG554" s="20"/>
      <c r="AH554" s="15"/>
      <c r="AI554" s="15"/>
      <c r="AJ554" s="15"/>
      <c r="AK554" s="15"/>
      <c r="AL554" s="15"/>
      <c r="AM554" s="15"/>
      <c r="AN554" s="29"/>
      <c r="AO554" s="19"/>
      <c r="AP554" s="21"/>
      <c r="AQ554" s="22"/>
      <c r="AR554" s="26"/>
      <c r="AS554" s="37"/>
      <c r="AT554" s="38"/>
      <c r="AU554" s="38"/>
      <c r="AV554" s="27"/>
    </row>
    <row r="555" spans="1:48" s="1" customFormat="1" ht="21" customHeight="1" x14ac:dyDescent="0.25">
      <c r="A555" s="83"/>
      <c r="B555" s="47"/>
      <c r="C555" s="80"/>
      <c r="D555" s="33"/>
      <c r="E555" s="48"/>
      <c r="F555" s="48"/>
      <c r="G555" s="48"/>
      <c r="H555" s="30"/>
      <c r="I555" s="30"/>
      <c r="J555" s="30"/>
      <c r="K555" s="28"/>
      <c r="L555" s="31"/>
      <c r="M555" s="31"/>
      <c r="N555" s="32"/>
      <c r="O555" s="36"/>
      <c r="P555" s="36"/>
      <c r="Q555" s="36"/>
      <c r="R555" s="15"/>
      <c r="S555" s="20"/>
      <c r="T555" s="20"/>
      <c r="U555" s="20"/>
      <c r="V555" s="20"/>
      <c r="W555" s="20"/>
      <c r="X555" s="19"/>
      <c r="Y555" s="19"/>
      <c r="Z555" s="20"/>
      <c r="AA555" s="20"/>
      <c r="AB555" s="20"/>
      <c r="AC555" s="20"/>
      <c r="AD555" s="15"/>
      <c r="AE555" s="15"/>
      <c r="AF555" s="19"/>
      <c r="AG555" s="20"/>
      <c r="AH555" s="15"/>
      <c r="AI555" s="15"/>
      <c r="AJ555" s="15"/>
      <c r="AK555" s="15"/>
      <c r="AL555" s="15"/>
      <c r="AM555" s="15"/>
      <c r="AN555" s="29"/>
      <c r="AO555" s="19"/>
      <c r="AP555" s="21"/>
      <c r="AQ555" s="22"/>
      <c r="AR555" s="26"/>
      <c r="AS555" s="37"/>
      <c r="AT555" s="38"/>
      <c r="AU555" s="38"/>
      <c r="AV555" s="27"/>
    </row>
    <row r="556" spans="1:48" s="1" customFormat="1" ht="21" customHeight="1" x14ac:dyDescent="0.25">
      <c r="A556" s="83"/>
      <c r="B556" s="47"/>
      <c r="C556" s="80"/>
      <c r="D556" s="33"/>
      <c r="E556" s="48"/>
      <c r="F556" s="48"/>
      <c r="G556" s="48"/>
      <c r="H556" s="30"/>
      <c r="I556" s="30"/>
      <c r="J556" s="30"/>
      <c r="K556" s="28"/>
      <c r="L556" s="31"/>
      <c r="M556" s="31"/>
      <c r="N556" s="32"/>
      <c r="O556" s="36"/>
      <c r="P556" s="36"/>
      <c r="Q556" s="36"/>
      <c r="R556" s="15"/>
      <c r="S556" s="20"/>
      <c r="T556" s="20"/>
      <c r="U556" s="20"/>
      <c r="V556" s="20"/>
      <c r="W556" s="20"/>
      <c r="X556" s="19"/>
      <c r="Y556" s="19"/>
      <c r="Z556" s="20"/>
      <c r="AA556" s="20"/>
      <c r="AB556" s="20"/>
      <c r="AC556" s="20"/>
      <c r="AD556" s="15"/>
      <c r="AE556" s="15"/>
      <c r="AF556" s="19"/>
      <c r="AG556" s="20"/>
      <c r="AH556" s="15"/>
      <c r="AI556" s="15"/>
      <c r="AJ556" s="15"/>
      <c r="AK556" s="15"/>
      <c r="AL556" s="15"/>
      <c r="AM556" s="15"/>
      <c r="AN556" s="29"/>
      <c r="AO556" s="19"/>
      <c r="AP556" s="21"/>
      <c r="AQ556" s="22"/>
      <c r="AR556" s="26"/>
      <c r="AS556" s="37"/>
      <c r="AT556" s="38"/>
      <c r="AU556" s="38"/>
      <c r="AV556" s="27"/>
    </row>
    <row r="557" spans="1:48" s="1" customFormat="1" ht="21" customHeight="1" x14ac:dyDescent="0.25">
      <c r="A557" s="83"/>
      <c r="B557" s="47"/>
      <c r="C557" s="80"/>
      <c r="D557" s="33"/>
      <c r="E557" s="48"/>
      <c r="F557" s="48"/>
      <c r="G557" s="48"/>
      <c r="H557" s="30"/>
      <c r="I557" s="30"/>
      <c r="J557" s="30"/>
      <c r="K557" s="28"/>
      <c r="L557" s="31"/>
      <c r="M557" s="31"/>
      <c r="N557" s="32"/>
      <c r="O557" s="36"/>
      <c r="P557" s="36"/>
      <c r="Q557" s="36"/>
      <c r="R557" s="15"/>
      <c r="S557" s="20"/>
      <c r="T557" s="20"/>
      <c r="U557" s="20"/>
      <c r="V557" s="20"/>
      <c r="W557" s="20"/>
      <c r="X557" s="19"/>
      <c r="Y557" s="19"/>
      <c r="Z557" s="20"/>
      <c r="AA557" s="20"/>
      <c r="AB557" s="20"/>
      <c r="AC557" s="20"/>
      <c r="AD557" s="15"/>
      <c r="AE557" s="15"/>
      <c r="AF557" s="19"/>
      <c r="AG557" s="20"/>
      <c r="AH557" s="15"/>
      <c r="AI557" s="15"/>
      <c r="AJ557" s="15"/>
      <c r="AK557" s="15"/>
      <c r="AL557" s="15"/>
      <c r="AM557" s="15"/>
      <c r="AN557" s="29"/>
      <c r="AO557" s="19"/>
      <c r="AP557" s="21"/>
      <c r="AQ557" s="22"/>
      <c r="AR557" s="26"/>
      <c r="AS557" s="37"/>
      <c r="AT557" s="38"/>
      <c r="AU557" s="38"/>
      <c r="AV557" s="27"/>
    </row>
    <row r="558" spans="1:48" s="1" customFormat="1" ht="21" customHeight="1" x14ac:dyDescent="0.25">
      <c r="A558" s="83"/>
      <c r="B558" s="47"/>
      <c r="C558" s="80"/>
      <c r="D558" s="33"/>
      <c r="E558" s="48"/>
      <c r="F558" s="48"/>
      <c r="G558" s="48"/>
      <c r="H558" s="30"/>
      <c r="I558" s="30"/>
      <c r="J558" s="30"/>
      <c r="K558" s="28"/>
      <c r="L558" s="31"/>
      <c r="M558" s="31"/>
      <c r="N558" s="32"/>
      <c r="O558" s="36"/>
      <c r="P558" s="36"/>
      <c r="Q558" s="36"/>
      <c r="R558" s="15"/>
      <c r="S558" s="20"/>
      <c r="T558" s="20"/>
      <c r="U558" s="20"/>
      <c r="V558" s="20"/>
      <c r="W558" s="20"/>
      <c r="X558" s="19"/>
      <c r="Y558" s="19"/>
      <c r="Z558" s="20"/>
      <c r="AA558" s="20"/>
      <c r="AB558" s="20"/>
      <c r="AC558" s="20"/>
      <c r="AD558" s="15"/>
      <c r="AE558" s="15"/>
      <c r="AF558" s="19"/>
      <c r="AG558" s="20"/>
      <c r="AH558" s="15"/>
      <c r="AI558" s="15"/>
      <c r="AJ558" s="15"/>
      <c r="AK558" s="15"/>
      <c r="AL558" s="15"/>
      <c r="AM558" s="15"/>
      <c r="AN558" s="29"/>
      <c r="AO558" s="19"/>
      <c r="AP558" s="21"/>
      <c r="AQ558" s="22"/>
      <c r="AR558" s="26"/>
      <c r="AS558" s="37"/>
      <c r="AT558" s="38"/>
      <c r="AU558" s="38"/>
      <c r="AV558" s="27"/>
    </row>
    <row r="559" spans="1:48" s="1" customFormat="1" ht="21" customHeight="1" x14ac:dyDescent="0.25">
      <c r="A559" s="83"/>
      <c r="B559" s="47"/>
      <c r="C559" s="80"/>
      <c r="D559" s="33"/>
      <c r="E559" s="48"/>
      <c r="F559" s="48"/>
      <c r="G559" s="48"/>
      <c r="H559" s="30"/>
      <c r="I559" s="30"/>
      <c r="J559" s="30"/>
      <c r="K559" s="28"/>
      <c r="L559" s="31"/>
      <c r="M559" s="31"/>
      <c r="N559" s="32"/>
      <c r="O559" s="36"/>
      <c r="P559" s="36"/>
      <c r="Q559" s="36"/>
      <c r="R559" s="15"/>
      <c r="S559" s="20"/>
      <c r="T559" s="20"/>
      <c r="U559" s="20"/>
      <c r="V559" s="20"/>
      <c r="W559" s="20"/>
      <c r="X559" s="19"/>
      <c r="Y559" s="19"/>
      <c r="Z559" s="20"/>
      <c r="AA559" s="20"/>
      <c r="AB559" s="20"/>
      <c r="AC559" s="20"/>
      <c r="AD559" s="15"/>
      <c r="AE559" s="15"/>
      <c r="AF559" s="19"/>
      <c r="AG559" s="20"/>
      <c r="AH559" s="15"/>
      <c r="AI559" s="15"/>
      <c r="AJ559" s="15"/>
      <c r="AK559" s="15"/>
      <c r="AL559" s="15"/>
      <c r="AM559" s="15"/>
      <c r="AN559" s="29"/>
      <c r="AO559" s="19"/>
      <c r="AP559" s="21"/>
      <c r="AQ559" s="22"/>
      <c r="AR559" s="26"/>
      <c r="AS559" s="37"/>
      <c r="AT559" s="38"/>
      <c r="AU559" s="38"/>
      <c r="AV559" s="27"/>
    </row>
    <row r="560" spans="1:48" s="1" customFormat="1" ht="21" customHeight="1" x14ac:dyDescent="0.25">
      <c r="A560" s="83"/>
      <c r="B560" s="47"/>
      <c r="C560" s="80"/>
      <c r="D560" s="33"/>
      <c r="E560" s="48"/>
      <c r="F560" s="48"/>
      <c r="G560" s="48"/>
      <c r="H560" s="30"/>
      <c r="I560" s="30"/>
      <c r="J560" s="30"/>
      <c r="K560" s="28"/>
      <c r="L560" s="31"/>
      <c r="M560" s="31"/>
      <c r="N560" s="32"/>
      <c r="O560" s="36"/>
      <c r="P560" s="36"/>
      <c r="Q560" s="36"/>
      <c r="R560" s="15"/>
      <c r="S560" s="20"/>
      <c r="T560" s="20"/>
      <c r="U560" s="20"/>
      <c r="V560" s="20"/>
      <c r="W560" s="20"/>
      <c r="X560" s="19"/>
      <c r="Y560" s="19"/>
      <c r="Z560" s="20"/>
      <c r="AA560" s="20"/>
      <c r="AB560" s="20"/>
      <c r="AC560" s="20"/>
      <c r="AD560" s="15"/>
      <c r="AE560" s="15"/>
      <c r="AF560" s="19"/>
      <c r="AG560" s="20"/>
      <c r="AH560" s="15"/>
      <c r="AI560" s="15"/>
      <c r="AJ560" s="15"/>
      <c r="AK560" s="15"/>
      <c r="AL560" s="15"/>
      <c r="AM560" s="15"/>
      <c r="AN560" s="29"/>
      <c r="AO560" s="19"/>
      <c r="AP560" s="21"/>
      <c r="AQ560" s="22"/>
      <c r="AR560" s="26"/>
      <c r="AS560" s="37"/>
      <c r="AT560" s="38"/>
      <c r="AU560" s="38"/>
      <c r="AV560" s="27"/>
    </row>
    <row r="561" spans="1:48" s="1" customFormat="1" ht="21" customHeight="1" x14ac:dyDescent="0.25">
      <c r="A561" s="83"/>
      <c r="B561" s="47"/>
      <c r="C561" s="80"/>
      <c r="D561" s="33"/>
      <c r="E561" s="48"/>
      <c r="F561" s="48"/>
      <c r="G561" s="48"/>
      <c r="H561" s="30"/>
      <c r="I561" s="30"/>
      <c r="J561" s="30"/>
      <c r="K561" s="28"/>
      <c r="L561" s="31"/>
      <c r="M561" s="31"/>
      <c r="N561" s="32"/>
      <c r="O561" s="36"/>
      <c r="P561" s="36"/>
      <c r="Q561" s="36"/>
      <c r="R561" s="15"/>
      <c r="S561" s="20"/>
      <c r="T561" s="20"/>
      <c r="U561" s="20"/>
      <c r="V561" s="20"/>
      <c r="W561" s="20"/>
      <c r="X561" s="19"/>
      <c r="Y561" s="19"/>
      <c r="Z561" s="20"/>
      <c r="AA561" s="20"/>
      <c r="AB561" s="20"/>
      <c r="AC561" s="20"/>
      <c r="AD561" s="15"/>
      <c r="AE561" s="15"/>
      <c r="AF561" s="19"/>
      <c r="AG561" s="20"/>
      <c r="AH561" s="15"/>
      <c r="AI561" s="15"/>
      <c r="AJ561" s="15"/>
      <c r="AK561" s="15"/>
      <c r="AL561" s="15"/>
      <c r="AM561" s="15"/>
      <c r="AN561" s="29"/>
      <c r="AO561" s="19"/>
      <c r="AP561" s="21"/>
      <c r="AQ561" s="22"/>
      <c r="AR561" s="26"/>
      <c r="AS561" s="37"/>
      <c r="AT561" s="38"/>
      <c r="AU561" s="38"/>
      <c r="AV561" s="27"/>
    </row>
    <row r="562" spans="1:48" s="1" customFormat="1" ht="21" customHeight="1" x14ac:dyDescent="0.25">
      <c r="A562" s="83"/>
      <c r="B562" s="47"/>
      <c r="C562" s="80"/>
      <c r="D562" s="33"/>
      <c r="E562" s="48"/>
      <c r="F562" s="48"/>
      <c r="G562" s="48"/>
      <c r="H562" s="30"/>
      <c r="I562" s="30"/>
      <c r="J562" s="30"/>
      <c r="K562" s="28"/>
      <c r="L562" s="31"/>
      <c r="M562" s="31"/>
      <c r="N562" s="32"/>
      <c r="O562" s="36"/>
      <c r="P562" s="36"/>
      <c r="Q562" s="36"/>
      <c r="R562" s="15"/>
      <c r="S562" s="20"/>
      <c r="T562" s="20"/>
      <c r="U562" s="20"/>
      <c r="V562" s="20"/>
      <c r="W562" s="20"/>
      <c r="X562" s="19"/>
      <c r="Y562" s="19"/>
      <c r="Z562" s="20"/>
      <c r="AA562" s="20"/>
      <c r="AB562" s="20"/>
      <c r="AC562" s="20"/>
      <c r="AD562" s="15"/>
      <c r="AE562" s="15"/>
      <c r="AF562" s="19"/>
      <c r="AG562" s="20"/>
      <c r="AH562" s="15"/>
      <c r="AI562" s="15"/>
      <c r="AJ562" s="15"/>
      <c r="AK562" s="15"/>
      <c r="AL562" s="15"/>
      <c r="AM562" s="15"/>
      <c r="AN562" s="29"/>
      <c r="AO562" s="19"/>
      <c r="AP562" s="21"/>
      <c r="AQ562" s="22"/>
      <c r="AR562" s="26"/>
      <c r="AS562" s="37"/>
      <c r="AT562" s="38"/>
      <c r="AU562" s="38"/>
      <c r="AV562" s="27"/>
    </row>
    <row r="563" spans="1:48" s="1" customFormat="1" ht="21" customHeight="1" x14ac:dyDescent="0.25">
      <c r="A563" s="83"/>
      <c r="B563" s="47"/>
      <c r="C563" s="80"/>
      <c r="D563" s="33"/>
      <c r="E563" s="48"/>
      <c r="F563" s="48"/>
      <c r="G563" s="48"/>
      <c r="H563" s="30"/>
      <c r="I563" s="30"/>
      <c r="J563" s="30"/>
      <c r="K563" s="28"/>
      <c r="L563" s="31"/>
      <c r="M563" s="31"/>
      <c r="N563" s="32"/>
      <c r="O563" s="36"/>
      <c r="P563" s="36"/>
      <c r="Q563" s="36"/>
      <c r="R563" s="15"/>
      <c r="S563" s="20"/>
      <c r="T563" s="20"/>
      <c r="U563" s="20"/>
      <c r="V563" s="20"/>
      <c r="W563" s="20"/>
      <c r="X563" s="19"/>
      <c r="Y563" s="19"/>
      <c r="Z563" s="20"/>
      <c r="AA563" s="20"/>
      <c r="AB563" s="20"/>
      <c r="AC563" s="20"/>
      <c r="AD563" s="15"/>
      <c r="AE563" s="15"/>
      <c r="AF563" s="19"/>
      <c r="AG563" s="20"/>
      <c r="AH563" s="15"/>
      <c r="AI563" s="15"/>
      <c r="AJ563" s="15"/>
      <c r="AK563" s="15"/>
      <c r="AL563" s="15"/>
      <c r="AM563" s="15"/>
      <c r="AN563" s="29"/>
      <c r="AO563" s="19"/>
      <c r="AP563" s="21"/>
      <c r="AQ563" s="22"/>
      <c r="AR563" s="26"/>
      <c r="AS563" s="37"/>
      <c r="AT563" s="38"/>
      <c r="AU563" s="38"/>
      <c r="AV563" s="27"/>
    </row>
    <row r="564" spans="1:48" s="1" customFormat="1" ht="21" customHeight="1" x14ac:dyDescent="0.25">
      <c r="A564" s="83"/>
      <c r="B564" s="47"/>
      <c r="C564" s="80"/>
      <c r="D564" s="33"/>
      <c r="E564" s="48"/>
      <c r="F564" s="48"/>
      <c r="G564" s="48"/>
      <c r="H564" s="30"/>
      <c r="I564" s="30"/>
      <c r="J564" s="30"/>
      <c r="K564" s="28"/>
      <c r="L564" s="31"/>
      <c r="M564" s="31"/>
      <c r="N564" s="32"/>
      <c r="O564" s="36"/>
      <c r="P564" s="36"/>
      <c r="Q564" s="36"/>
      <c r="R564" s="15"/>
      <c r="S564" s="20"/>
      <c r="T564" s="20"/>
      <c r="U564" s="20"/>
      <c r="V564" s="20"/>
      <c r="W564" s="20"/>
      <c r="X564" s="19"/>
      <c r="Y564" s="19"/>
      <c r="Z564" s="20"/>
      <c r="AA564" s="20"/>
      <c r="AB564" s="20"/>
      <c r="AC564" s="20"/>
      <c r="AD564" s="15"/>
      <c r="AE564" s="15"/>
      <c r="AF564" s="19"/>
      <c r="AG564" s="20"/>
      <c r="AH564" s="15"/>
      <c r="AI564" s="15"/>
      <c r="AJ564" s="15"/>
      <c r="AK564" s="15"/>
      <c r="AL564" s="15"/>
      <c r="AM564" s="15"/>
      <c r="AN564" s="29"/>
      <c r="AO564" s="19"/>
      <c r="AP564" s="21"/>
      <c r="AQ564" s="22"/>
      <c r="AR564" s="26"/>
      <c r="AS564" s="37"/>
      <c r="AT564" s="38"/>
      <c r="AU564" s="38"/>
      <c r="AV564" s="27"/>
    </row>
    <row r="565" spans="1:48" s="1" customFormat="1" ht="21" customHeight="1" x14ac:dyDescent="0.25">
      <c r="A565" s="83"/>
      <c r="B565" s="47"/>
      <c r="C565" s="81"/>
      <c r="D565" s="33"/>
      <c r="E565" s="48"/>
      <c r="F565" s="48"/>
      <c r="G565" s="48"/>
      <c r="H565" s="30"/>
      <c r="I565" s="30"/>
      <c r="J565" s="30"/>
      <c r="K565" s="28"/>
      <c r="L565" s="31"/>
      <c r="M565" s="31"/>
      <c r="N565" s="32"/>
      <c r="O565" s="36"/>
      <c r="P565" s="36"/>
      <c r="Q565" s="36"/>
      <c r="R565" s="15"/>
      <c r="S565" s="20"/>
      <c r="T565" s="20"/>
      <c r="U565" s="20"/>
      <c r="V565" s="20"/>
      <c r="W565" s="20"/>
      <c r="X565" s="19"/>
      <c r="Y565" s="19"/>
      <c r="Z565" s="20"/>
      <c r="AA565" s="20"/>
      <c r="AB565" s="20"/>
      <c r="AC565" s="20"/>
      <c r="AD565" s="15"/>
      <c r="AE565" s="15"/>
      <c r="AF565" s="19"/>
      <c r="AG565" s="20"/>
      <c r="AH565" s="15"/>
      <c r="AI565" s="15"/>
      <c r="AJ565" s="15"/>
      <c r="AK565" s="15"/>
      <c r="AL565" s="15"/>
      <c r="AM565" s="15"/>
      <c r="AN565" s="29"/>
      <c r="AO565" s="19"/>
      <c r="AP565" s="21"/>
      <c r="AQ565" s="22"/>
      <c r="AR565" s="26"/>
      <c r="AS565" s="37"/>
      <c r="AT565" s="38"/>
      <c r="AU565" s="38"/>
      <c r="AV565" s="27"/>
    </row>
    <row r="566" spans="1:48" s="1" customFormat="1" ht="21" customHeight="1" x14ac:dyDescent="0.25">
      <c r="A566" s="83"/>
      <c r="B566" s="47"/>
      <c r="C566" s="80"/>
      <c r="D566" s="47"/>
      <c r="E566" s="48"/>
      <c r="F566" s="48"/>
      <c r="G566" s="48"/>
      <c r="H566" s="30"/>
      <c r="I566" s="30"/>
      <c r="J566" s="30"/>
      <c r="K566" s="28"/>
      <c r="L566" s="31"/>
      <c r="M566" s="31"/>
      <c r="N566" s="32"/>
      <c r="O566" s="36"/>
      <c r="P566" s="36"/>
      <c r="Q566" s="36"/>
      <c r="R566" s="15"/>
      <c r="S566" s="20"/>
      <c r="T566" s="20"/>
      <c r="U566" s="20"/>
      <c r="V566" s="20"/>
      <c r="W566" s="20"/>
      <c r="X566" s="19"/>
      <c r="Y566" s="19"/>
      <c r="Z566" s="20"/>
      <c r="AA566" s="20"/>
      <c r="AB566" s="20"/>
      <c r="AC566" s="20"/>
      <c r="AD566" s="15"/>
      <c r="AE566" s="15"/>
      <c r="AF566" s="19"/>
      <c r="AG566" s="20"/>
      <c r="AH566" s="15"/>
      <c r="AI566" s="15"/>
      <c r="AJ566" s="15"/>
      <c r="AK566" s="15"/>
      <c r="AL566" s="15"/>
      <c r="AM566" s="15"/>
      <c r="AN566" s="29"/>
      <c r="AO566" s="19"/>
      <c r="AP566" s="21"/>
      <c r="AQ566" s="22"/>
      <c r="AR566" s="26"/>
      <c r="AS566" s="37"/>
      <c r="AT566" s="38"/>
      <c r="AU566" s="38"/>
      <c r="AV566" s="27"/>
    </row>
    <row r="567" spans="1:48" s="1" customFormat="1" ht="21" hidden="1" customHeight="1" x14ac:dyDescent="0.25">
      <c r="A567" s="83"/>
      <c r="B567" s="47"/>
      <c r="C567" s="80"/>
      <c r="D567" s="33"/>
      <c r="E567" s="48"/>
      <c r="F567" s="48"/>
      <c r="G567" s="48"/>
      <c r="H567" s="47"/>
      <c r="I567" s="47"/>
      <c r="J567" s="30"/>
      <c r="K567" s="28"/>
      <c r="L567" s="31"/>
      <c r="M567" s="31"/>
      <c r="N567" s="32"/>
      <c r="O567" s="36"/>
      <c r="P567" s="36"/>
      <c r="Q567" s="36"/>
      <c r="R567" s="15"/>
      <c r="S567" s="20"/>
      <c r="T567" s="20"/>
      <c r="U567" s="20"/>
      <c r="V567" s="20"/>
      <c r="W567" s="20"/>
      <c r="X567" s="19"/>
      <c r="Y567" s="19"/>
      <c r="Z567" s="20"/>
      <c r="AA567" s="20"/>
      <c r="AB567" s="20"/>
      <c r="AC567" s="20"/>
      <c r="AD567" s="15"/>
      <c r="AE567" s="15"/>
      <c r="AF567" s="19"/>
      <c r="AG567" s="20"/>
      <c r="AH567" s="15"/>
      <c r="AI567" s="15"/>
      <c r="AJ567" s="15"/>
      <c r="AK567" s="15"/>
      <c r="AL567" s="15"/>
      <c r="AM567" s="15"/>
      <c r="AN567" s="29"/>
      <c r="AO567" s="19"/>
      <c r="AP567" s="21"/>
      <c r="AQ567" s="22"/>
      <c r="AR567" s="26"/>
      <c r="AS567" s="37"/>
      <c r="AT567" s="38"/>
      <c r="AU567" s="38"/>
      <c r="AV567" s="27"/>
    </row>
    <row r="568" spans="1:48" s="1" customFormat="1" ht="21" hidden="1" customHeight="1" x14ac:dyDescent="0.25">
      <c r="A568" s="83"/>
      <c r="B568" s="47"/>
      <c r="C568" s="80"/>
      <c r="D568" s="33"/>
      <c r="E568" s="48"/>
      <c r="F568" s="48"/>
      <c r="G568" s="48"/>
      <c r="H568" s="33"/>
      <c r="I568" s="33"/>
      <c r="J568" s="30"/>
      <c r="K568" s="28"/>
      <c r="L568" s="31"/>
      <c r="M568" s="31"/>
      <c r="N568" s="32"/>
      <c r="O568" s="36"/>
      <c r="P568" s="36"/>
      <c r="Q568" s="36"/>
      <c r="R568" s="15"/>
      <c r="S568" s="20"/>
      <c r="T568" s="20"/>
      <c r="U568" s="20"/>
      <c r="V568" s="20"/>
      <c r="W568" s="20"/>
      <c r="X568" s="19"/>
      <c r="Y568" s="19"/>
      <c r="Z568" s="20"/>
      <c r="AA568" s="20"/>
      <c r="AB568" s="20"/>
      <c r="AC568" s="20"/>
      <c r="AD568" s="15"/>
      <c r="AE568" s="15"/>
      <c r="AF568" s="19"/>
      <c r="AG568" s="20"/>
      <c r="AH568" s="15"/>
      <c r="AI568" s="15"/>
      <c r="AJ568" s="15"/>
      <c r="AK568" s="15"/>
      <c r="AL568" s="15"/>
      <c r="AM568" s="15"/>
      <c r="AN568" s="29"/>
      <c r="AO568" s="19"/>
      <c r="AP568" s="21"/>
      <c r="AQ568" s="22"/>
      <c r="AR568" s="26"/>
      <c r="AS568" s="37"/>
      <c r="AT568" s="38"/>
      <c r="AU568" s="38"/>
      <c r="AV568" s="27"/>
    </row>
    <row r="569" spans="1:48" s="1" customFormat="1" ht="21" hidden="1" customHeight="1" x14ac:dyDescent="0.25">
      <c r="A569" s="83"/>
      <c r="B569" s="47"/>
      <c r="C569" s="80"/>
      <c r="D569" s="33"/>
      <c r="E569" s="48"/>
      <c r="F569" s="48"/>
      <c r="G569" s="48"/>
      <c r="H569" s="33"/>
      <c r="I569" s="33"/>
      <c r="J569" s="30"/>
      <c r="K569" s="28"/>
      <c r="L569" s="31"/>
      <c r="M569" s="31"/>
      <c r="N569" s="32"/>
      <c r="O569" s="36"/>
      <c r="P569" s="36"/>
      <c r="Q569" s="36"/>
      <c r="R569" s="15"/>
      <c r="S569" s="20"/>
      <c r="T569" s="20"/>
      <c r="U569" s="20"/>
      <c r="V569" s="20"/>
      <c r="W569" s="20"/>
      <c r="X569" s="19"/>
      <c r="Y569" s="19"/>
      <c r="Z569" s="20"/>
      <c r="AA569" s="20"/>
      <c r="AB569" s="20"/>
      <c r="AC569" s="20"/>
      <c r="AD569" s="15"/>
      <c r="AE569" s="15"/>
      <c r="AF569" s="19"/>
      <c r="AG569" s="20"/>
      <c r="AH569" s="15"/>
      <c r="AI569" s="15"/>
      <c r="AJ569" s="15"/>
      <c r="AK569" s="15"/>
      <c r="AL569" s="15"/>
      <c r="AM569" s="15"/>
      <c r="AN569" s="29"/>
      <c r="AO569" s="19"/>
      <c r="AP569" s="21"/>
      <c r="AQ569" s="22"/>
      <c r="AR569" s="26"/>
      <c r="AS569" s="37"/>
      <c r="AT569" s="38"/>
      <c r="AU569" s="38"/>
      <c r="AV569" s="27"/>
    </row>
    <row r="570" spans="1:48" s="1" customFormat="1" ht="21" hidden="1" customHeight="1" x14ac:dyDescent="0.25">
      <c r="A570" s="83"/>
      <c r="B570" s="47"/>
      <c r="C570" s="80"/>
      <c r="D570" s="33"/>
      <c r="E570" s="48"/>
      <c r="F570" s="48"/>
      <c r="G570" s="48"/>
      <c r="H570" s="33"/>
      <c r="I570" s="33"/>
      <c r="J570" s="30"/>
      <c r="K570" s="28"/>
      <c r="L570" s="31"/>
      <c r="M570" s="31"/>
      <c r="N570" s="32"/>
      <c r="O570" s="36"/>
      <c r="P570" s="36"/>
      <c r="Q570" s="36"/>
      <c r="R570" s="15"/>
      <c r="S570" s="20"/>
      <c r="T570" s="20"/>
      <c r="U570" s="20"/>
      <c r="V570" s="20"/>
      <c r="W570" s="20"/>
      <c r="X570" s="19"/>
      <c r="Y570" s="19"/>
      <c r="Z570" s="20"/>
      <c r="AA570" s="20"/>
      <c r="AB570" s="20"/>
      <c r="AC570" s="20"/>
      <c r="AD570" s="15"/>
      <c r="AE570" s="15"/>
      <c r="AF570" s="19"/>
      <c r="AG570" s="20"/>
      <c r="AH570" s="15"/>
      <c r="AI570" s="15"/>
      <c r="AJ570" s="15"/>
      <c r="AK570" s="15"/>
      <c r="AL570" s="15"/>
      <c r="AM570" s="15"/>
      <c r="AN570" s="29"/>
      <c r="AO570" s="19"/>
      <c r="AP570" s="21"/>
      <c r="AQ570" s="22"/>
      <c r="AR570" s="26"/>
      <c r="AS570" s="37"/>
      <c r="AT570" s="38"/>
      <c r="AU570" s="38"/>
      <c r="AV570" s="27"/>
    </row>
    <row r="571" spans="1:48" s="1" customFormat="1" ht="21" hidden="1" customHeight="1" x14ac:dyDescent="0.25">
      <c r="A571" s="83"/>
      <c r="B571" s="47"/>
      <c r="C571" s="80"/>
      <c r="D571" s="33"/>
      <c r="E571" s="48"/>
      <c r="F571" s="48"/>
      <c r="G571" s="48"/>
      <c r="H571" s="33"/>
      <c r="I571" s="33"/>
      <c r="J571" s="30"/>
      <c r="K571" s="28"/>
      <c r="L571" s="31"/>
      <c r="M571" s="31"/>
      <c r="N571" s="32"/>
      <c r="O571" s="36"/>
      <c r="P571" s="36"/>
      <c r="Q571" s="36"/>
      <c r="R571" s="15"/>
      <c r="S571" s="20"/>
      <c r="T571" s="20"/>
      <c r="U571" s="20"/>
      <c r="V571" s="20"/>
      <c r="W571" s="20"/>
      <c r="X571" s="19"/>
      <c r="Y571" s="19"/>
      <c r="Z571" s="20"/>
      <c r="AA571" s="20"/>
      <c r="AB571" s="20"/>
      <c r="AC571" s="20"/>
      <c r="AD571" s="15"/>
      <c r="AE571" s="15"/>
      <c r="AF571" s="19"/>
      <c r="AG571" s="20"/>
      <c r="AH571" s="15"/>
      <c r="AI571" s="15"/>
      <c r="AJ571" s="15"/>
      <c r="AK571" s="15"/>
      <c r="AL571" s="15"/>
      <c r="AM571" s="15"/>
      <c r="AN571" s="29"/>
      <c r="AO571" s="19"/>
      <c r="AP571" s="21"/>
      <c r="AQ571" s="22"/>
      <c r="AR571" s="26"/>
      <c r="AS571" s="37"/>
      <c r="AT571" s="38"/>
      <c r="AU571" s="38"/>
      <c r="AV571" s="27"/>
    </row>
    <row r="572" spans="1:48" s="1" customFormat="1" ht="21" hidden="1" customHeight="1" x14ac:dyDescent="0.25">
      <c r="A572" s="83"/>
      <c r="B572" s="47"/>
      <c r="C572" s="80"/>
      <c r="D572" s="33"/>
      <c r="E572" s="48"/>
      <c r="F572" s="48"/>
      <c r="G572" s="48"/>
      <c r="H572" s="33"/>
      <c r="I572" s="33"/>
      <c r="J572" s="30"/>
      <c r="K572" s="28"/>
      <c r="L572" s="31"/>
      <c r="M572" s="31"/>
      <c r="N572" s="32"/>
      <c r="O572" s="36"/>
      <c r="P572" s="36"/>
      <c r="Q572" s="36"/>
      <c r="R572" s="15"/>
      <c r="S572" s="20"/>
      <c r="T572" s="20"/>
      <c r="U572" s="20"/>
      <c r="V572" s="20"/>
      <c r="W572" s="20"/>
      <c r="X572" s="19"/>
      <c r="Y572" s="19"/>
      <c r="Z572" s="20"/>
      <c r="AA572" s="20"/>
      <c r="AB572" s="20"/>
      <c r="AC572" s="20"/>
      <c r="AD572" s="15"/>
      <c r="AE572" s="15"/>
      <c r="AF572" s="19"/>
      <c r="AG572" s="20"/>
      <c r="AH572" s="15"/>
      <c r="AI572" s="15"/>
      <c r="AJ572" s="15"/>
      <c r="AK572" s="15"/>
      <c r="AL572" s="15"/>
      <c r="AM572" s="15"/>
      <c r="AN572" s="29"/>
      <c r="AO572" s="19"/>
      <c r="AP572" s="21"/>
      <c r="AQ572" s="22"/>
      <c r="AR572" s="26"/>
      <c r="AS572" s="37"/>
      <c r="AT572" s="38"/>
      <c r="AU572" s="38"/>
      <c r="AV572" s="27"/>
    </row>
    <row r="573" spans="1:48" s="1" customFormat="1" ht="21" hidden="1" customHeight="1" x14ac:dyDescent="0.25">
      <c r="A573" s="83"/>
      <c r="B573" s="47"/>
      <c r="C573" s="80"/>
      <c r="D573" s="33"/>
      <c r="E573" s="48"/>
      <c r="F573" s="48"/>
      <c r="G573" s="48"/>
      <c r="H573" s="33"/>
      <c r="I573" s="33"/>
      <c r="J573" s="30"/>
      <c r="K573" s="28"/>
      <c r="L573" s="31"/>
      <c r="M573" s="31"/>
      <c r="N573" s="32"/>
      <c r="O573" s="36"/>
      <c r="P573" s="36"/>
      <c r="Q573" s="36"/>
      <c r="R573" s="15"/>
      <c r="S573" s="20"/>
      <c r="T573" s="20"/>
      <c r="U573" s="20"/>
      <c r="V573" s="20"/>
      <c r="W573" s="20"/>
      <c r="X573" s="19"/>
      <c r="Y573" s="19"/>
      <c r="Z573" s="20"/>
      <c r="AA573" s="20"/>
      <c r="AB573" s="20"/>
      <c r="AC573" s="20"/>
      <c r="AD573" s="15"/>
      <c r="AE573" s="15"/>
      <c r="AF573" s="19"/>
      <c r="AG573" s="20"/>
      <c r="AH573" s="15"/>
      <c r="AI573" s="15"/>
      <c r="AJ573" s="15"/>
      <c r="AK573" s="15"/>
      <c r="AL573" s="15"/>
      <c r="AM573" s="15"/>
      <c r="AN573" s="29"/>
      <c r="AO573" s="19"/>
      <c r="AP573" s="21"/>
      <c r="AQ573" s="22"/>
      <c r="AR573" s="26"/>
      <c r="AS573" s="37"/>
      <c r="AT573" s="38"/>
      <c r="AU573" s="38"/>
      <c r="AV573" s="27"/>
    </row>
    <row r="574" spans="1:48" s="1" customFormat="1" ht="7.5" hidden="1" customHeight="1" x14ac:dyDescent="0.25">
      <c r="A574" s="83"/>
      <c r="B574" s="47"/>
      <c r="C574" s="80"/>
      <c r="D574" s="34"/>
      <c r="E574" s="48"/>
      <c r="F574" s="48"/>
      <c r="G574" s="34"/>
      <c r="H574" s="33"/>
      <c r="I574" s="33"/>
      <c r="J574" s="30"/>
      <c r="K574" s="28"/>
      <c r="L574" s="31"/>
      <c r="M574" s="31"/>
      <c r="N574" s="32"/>
      <c r="O574" s="36"/>
      <c r="P574" s="36"/>
      <c r="Q574" s="36"/>
      <c r="R574" s="15"/>
      <c r="S574" s="20"/>
      <c r="T574" s="20"/>
      <c r="U574" s="20"/>
      <c r="V574" s="20"/>
      <c r="W574" s="20"/>
      <c r="X574" s="19"/>
      <c r="Y574" s="19"/>
      <c r="Z574" s="20"/>
      <c r="AA574" s="20"/>
      <c r="AB574" s="20"/>
      <c r="AC574" s="20"/>
      <c r="AD574" s="15"/>
      <c r="AE574" s="15"/>
      <c r="AF574" s="19"/>
      <c r="AG574" s="20"/>
      <c r="AH574" s="15"/>
      <c r="AI574" s="15"/>
      <c r="AJ574" s="15"/>
      <c r="AK574" s="15"/>
      <c r="AL574" s="15"/>
      <c r="AM574" s="15"/>
      <c r="AN574" s="29"/>
      <c r="AO574" s="19"/>
      <c r="AP574" s="21"/>
      <c r="AQ574" s="22"/>
      <c r="AR574" s="26"/>
      <c r="AS574" s="37"/>
      <c r="AT574" s="38"/>
      <c r="AU574" s="38"/>
      <c r="AV574" s="27"/>
    </row>
    <row r="575" spans="1:48" ht="27.75" hidden="1" customHeight="1" x14ac:dyDescent="0.25">
      <c r="A575" s="83"/>
      <c r="B575" s="47"/>
      <c r="C575" s="80"/>
      <c r="D575" s="84"/>
      <c r="E575" s="84"/>
      <c r="F575" s="84"/>
      <c r="G575" s="77"/>
      <c r="H575" s="34"/>
      <c r="I575" s="34"/>
      <c r="J575" s="30"/>
      <c r="K575" s="28"/>
      <c r="L575" s="35"/>
      <c r="M575" s="35"/>
      <c r="N575" s="32"/>
      <c r="O575" s="36"/>
      <c r="P575" s="36"/>
      <c r="Q575" s="36"/>
      <c r="R575" s="15"/>
      <c r="S575" s="24"/>
      <c r="T575" s="24"/>
      <c r="U575" s="24"/>
      <c r="V575" s="24"/>
      <c r="W575" s="24"/>
      <c r="X575" s="23"/>
      <c r="Y575" s="23"/>
      <c r="Z575" s="24"/>
      <c r="AA575" s="24"/>
      <c r="AB575" s="24"/>
      <c r="AC575" s="24"/>
      <c r="AD575" s="15"/>
      <c r="AE575" s="15"/>
      <c r="AF575" s="19"/>
      <c r="AG575" s="24"/>
      <c r="AH575" s="15"/>
      <c r="AI575" s="15"/>
      <c r="AJ575" s="15"/>
      <c r="AK575" s="15"/>
      <c r="AL575" s="15"/>
      <c r="AM575" s="15"/>
      <c r="AN575" s="29"/>
      <c r="AO575" s="23"/>
      <c r="AP575" s="21"/>
      <c r="AQ575" s="24"/>
      <c r="AR575" s="25"/>
      <c r="AS575" s="37"/>
      <c r="AT575" s="38"/>
      <c r="AU575" s="38"/>
      <c r="AV575" s="27"/>
    </row>
    <row r="576" spans="1:48" ht="21" customHeight="1" x14ac:dyDescent="0.25">
      <c r="A576" s="83"/>
      <c r="B576" s="47"/>
      <c r="C576" s="80"/>
      <c r="D576" s="84"/>
      <c r="E576" s="84"/>
      <c r="F576" s="84"/>
      <c r="G576" s="77"/>
      <c r="H576" s="84"/>
      <c r="I576" s="84"/>
      <c r="J576" s="77"/>
      <c r="K576" s="85"/>
      <c r="L576" s="77"/>
      <c r="M576" s="77"/>
      <c r="N576" s="86"/>
      <c r="O576" s="36"/>
      <c r="P576" s="86"/>
      <c r="Q576" s="86"/>
      <c r="R576" s="87"/>
      <c r="S576" s="84"/>
      <c r="T576" s="84"/>
      <c r="U576" s="84"/>
      <c r="V576" s="84"/>
      <c r="W576" s="84"/>
      <c r="AJ576" s="15"/>
      <c r="AK576" s="15"/>
      <c r="AP576" s="21"/>
      <c r="AV576" s="27"/>
    </row>
    <row r="577" spans="1:48" ht="17.25" customHeight="1" x14ac:dyDescent="0.25">
      <c r="A577" s="83"/>
      <c r="B577" s="47"/>
      <c r="C577" s="80"/>
      <c r="D577" s="84"/>
      <c r="E577" s="84"/>
      <c r="F577" s="84"/>
      <c r="G577" s="77"/>
      <c r="H577" s="84"/>
      <c r="I577" s="84"/>
      <c r="J577" s="77"/>
      <c r="K577" s="85"/>
      <c r="L577" s="77"/>
      <c r="M577" s="77"/>
      <c r="N577" s="86"/>
      <c r="O577" s="36"/>
      <c r="P577" s="86"/>
      <c r="Q577" s="86"/>
      <c r="R577" s="87"/>
      <c r="S577" s="84"/>
      <c r="T577" s="84"/>
      <c r="U577" s="84"/>
      <c r="V577" s="84"/>
      <c r="W577" s="84"/>
      <c r="AJ577" s="15"/>
      <c r="AK577" s="15"/>
      <c r="AP577" s="21"/>
      <c r="AV577" s="27"/>
    </row>
    <row r="578" spans="1:48" x14ac:dyDescent="0.25">
      <c r="A578" s="83"/>
      <c r="B578" s="47"/>
      <c r="C578" s="80"/>
      <c r="D578" s="84"/>
      <c r="E578" s="84"/>
      <c r="F578" s="84"/>
      <c r="G578" s="77"/>
      <c r="H578" s="84"/>
      <c r="I578" s="84"/>
      <c r="J578" s="77"/>
      <c r="K578" s="85"/>
      <c r="L578" s="77"/>
      <c r="M578" s="77"/>
      <c r="N578" s="86"/>
      <c r="O578" s="86"/>
      <c r="P578" s="86"/>
      <c r="Q578" s="86"/>
      <c r="R578" s="87"/>
      <c r="S578" s="84"/>
      <c r="T578" s="84"/>
      <c r="U578" s="84"/>
      <c r="V578" s="84"/>
      <c r="W578" s="84"/>
      <c r="AJ578" s="15"/>
      <c r="AK578" s="15"/>
      <c r="AP578" s="21"/>
      <c r="AV578" s="27"/>
    </row>
    <row r="579" spans="1:48" x14ac:dyDescent="0.25">
      <c r="A579" s="83"/>
      <c r="B579" s="47"/>
      <c r="C579" s="80"/>
      <c r="D579" s="84"/>
      <c r="E579" s="84"/>
      <c r="F579" s="84"/>
      <c r="G579" s="77"/>
      <c r="H579" s="84"/>
      <c r="I579" s="84"/>
      <c r="J579" s="77"/>
      <c r="K579" s="85"/>
      <c r="L579" s="77"/>
      <c r="M579" s="77"/>
      <c r="N579" s="86"/>
      <c r="O579" s="86"/>
      <c r="P579" s="86"/>
      <c r="Q579" s="86"/>
      <c r="R579" s="87"/>
      <c r="S579" s="84"/>
      <c r="T579" s="84"/>
      <c r="U579" s="84"/>
      <c r="V579" s="84"/>
      <c r="W579" s="84"/>
      <c r="AJ579" s="15"/>
      <c r="AK579" s="15"/>
      <c r="AP579" s="21"/>
    </row>
    <row r="580" spans="1:48" x14ac:dyDescent="0.25">
      <c r="A580" s="83"/>
      <c r="B580" s="47"/>
      <c r="C580" s="80"/>
      <c r="D580" s="84"/>
      <c r="E580" s="84"/>
      <c r="F580" s="84"/>
      <c r="G580" s="77"/>
      <c r="H580" s="84"/>
      <c r="I580" s="84"/>
      <c r="J580" s="77"/>
      <c r="K580" s="85"/>
      <c r="L580" s="77"/>
      <c r="M580" s="77"/>
      <c r="N580" s="86"/>
      <c r="O580" s="86"/>
      <c r="P580" s="86"/>
      <c r="Q580" s="86"/>
      <c r="R580" s="87"/>
      <c r="S580" s="84"/>
      <c r="T580" s="84"/>
      <c r="U580" s="84"/>
      <c r="V580" s="84"/>
      <c r="W580" s="84"/>
      <c r="AJ580" s="15"/>
      <c r="AK580" s="15"/>
      <c r="AP580" s="21"/>
    </row>
    <row r="581" spans="1:48" x14ac:dyDescent="0.25">
      <c r="A581" s="83"/>
      <c r="B581" s="47"/>
      <c r="C581" s="80"/>
      <c r="D581" s="84"/>
      <c r="E581" s="84"/>
      <c r="F581" s="84"/>
      <c r="G581" s="77"/>
      <c r="H581" s="84"/>
      <c r="I581" s="84"/>
      <c r="J581" s="77"/>
      <c r="K581" s="85"/>
      <c r="L581" s="77"/>
      <c r="M581" s="77"/>
      <c r="N581" s="86"/>
      <c r="O581" s="86"/>
      <c r="P581" s="86"/>
      <c r="Q581" s="86"/>
      <c r="R581" s="87"/>
      <c r="S581" s="84"/>
      <c r="T581" s="84"/>
      <c r="U581" s="84"/>
      <c r="V581" s="84"/>
      <c r="W581" s="84"/>
      <c r="AJ581" s="15"/>
      <c r="AP581" s="21"/>
    </row>
    <row r="582" spans="1:48" x14ac:dyDescent="0.25">
      <c r="A582" s="83"/>
      <c r="B582" s="47"/>
      <c r="C582" s="80"/>
      <c r="D582" s="84"/>
      <c r="E582" s="84"/>
      <c r="F582" s="84"/>
      <c r="G582" s="77"/>
      <c r="H582" s="84"/>
      <c r="I582" s="84"/>
      <c r="J582" s="77"/>
      <c r="K582" s="85"/>
      <c r="L582" s="77"/>
      <c r="M582" s="77"/>
      <c r="N582" s="86"/>
      <c r="O582" s="86"/>
      <c r="P582" s="86"/>
      <c r="Q582" s="86"/>
      <c r="R582" s="87"/>
      <c r="S582" s="84"/>
      <c r="T582" s="84"/>
      <c r="U582" s="84"/>
      <c r="V582" s="84"/>
      <c r="W582" s="84"/>
      <c r="AJ582" s="15"/>
      <c r="AP582" s="21"/>
    </row>
    <row r="583" spans="1:48" x14ac:dyDescent="0.25">
      <c r="A583" s="83"/>
      <c r="B583" s="47"/>
      <c r="C583" s="80"/>
      <c r="D583" s="84"/>
      <c r="E583" s="84"/>
      <c r="F583" s="84"/>
      <c r="G583" s="77"/>
      <c r="H583" s="84"/>
      <c r="I583" s="84"/>
      <c r="J583" s="77"/>
      <c r="K583" s="85"/>
      <c r="L583" s="77"/>
      <c r="M583" s="77"/>
      <c r="N583" s="86"/>
      <c r="O583" s="86"/>
      <c r="P583" s="86"/>
      <c r="Q583" s="86"/>
      <c r="R583" s="87"/>
      <c r="S583" s="84"/>
      <c r="T583" s="84"/>
      <c r="U583" s="84"/>
      <c r="V583" s="84"/>
      <c r="W583" s="84"/>
      <c r="AJ583" s="15"/>
      <c r="AP583" s="21"/>
    </row>
    <row r="584" spans="1:48" x14ac:dyDescent="0.25">
      <c r="A584" s="83"/>
      <c r="B584" s="47"/>
      <c r="C584" s="80"/>
      <c r="D584" s="84"/>
      <c r="E584" s="84"/>
      <c r="F584" s="84"/>
      <c r="G584" s="77"/>
      <c r="H584" s="84"/>
      <c r="I584" s="84"/>
      <c r="J584" s="77"/>
      <c r="K584" s="85"/>
      <c r="L584" s="77"/>
      <c r="M584" s="77"/>
      <c r="N584" s="86"/>
      <c r="O584" s="86"/>
      <c r="P584" s="86"/>
      <c r="Q584" s="86"/>
      <c r="R584" s="87"/>
      <c r="S584" s="84"/>
      <c r="T584" s="84"/>
      <c r="U584" s="84"/>
      <c r="V584" s="84"/>
      <c r="W584" s="84"/>
      <c r="AJ584" s="15"/>
      <c r="AP584" s="21"/>
    </row>
    <row r="585" spans="1:48" x14ac:dyDescent="0.25">
      <c r="A585" s="83"/>
      <c r="B585" s="47"/>
      <c r="C585" s="80"/>
      <c r="D585" s="84"/>
      <c r="E585" s="84"/>
      <c r="F585" s="84"/>
      <c r="G585" s="77"/>
      <c r="H585" s="84"/>
      <c r="I585" s="84"/>
      <c r="J585" s="77"/>
      <c r="K585" s="85"/>
      <c r="L585" s="77"/>
      <c r="M585" s="77"/>
      <c r="N585" s="86"/>
      <c r="O585" s="86"/>
      <c r="P585" s="86"/>
      <c r="Q585" s="86"/>
      <c r="R585" s="87"/>
      <c r="S585" s="84"/>
      <c r="T585" s="84"/>
      <c r="U585" s="84"/>
      <c r="V585" s="84"/>
      <c r="W585" s="84"/>
      <c r="AJ585" s="15"/>
      <c r="AP585" s="21"/>
    </row>
    <row r="586" spans="1:48" x14ac:dyDescent="0.25">
      <c r="A586" s="83"/>
      <c r="B586" s="47"/>
      <c r="C586" s="80"/>
      <c r="D586" s="84"/>
      <c r="E586" s="84"/>
      <c r="F586" s="84"/>
      <c r="G586" s="77"/>
      <c r="H586" s="84"/>
      <c r="I586" s="84"/>
      <c r="J586" s="77"/>
      <c r="K586" s="85"/>
      <c r="L586" s="77"/>
      <c r="M586" s="77"/>
      <c r="N586" s="86"/>
      <c r="O586" s="86"/>
      <c r="P586" s="86"/>
      <c r="Q586" s="86"/>
      <c r="R586" s="87"/>
      <c r="S586" s="84"/>
      <c r="T586" s="84"/>
      <c r="U586" s="84"/>
      <c r="V586" s="84"/>
      <c r="W586" s="84"/>
      <c r="AJ586" s="15"/>
      <c r="AP586" s="21"/>
    </row>
    <row r="587" spans="1:48" x14ac:dyDescent="0.25">
      <c r="A587" s="83"/>
      <c r="B587" s="47"/>
      <c r="C587" s="80"/>
      <c r="D587" s="84"/>
      <c r="E587" s="84"/>
      <c r="F587" s="84"/>
      <c r="G587" s="77"/>
      <c r="H587" s="84"/>
      <c r="I587" s="84"/>
      <c r="J587" s="77"/>
      <c r="K587" s="85"/>
      <c r="L587" s="77"/>
      <c r="M587" s="77"/>
      <c r="N587" s="86"/>
      <c r="O587" s="86"/>
      <c r="P587" s="86"/>
      <c r="Q587" s="86"/>
      <c r="R587" s="87"/>
      <c r="S587" s="84"/>
      <c r="T587" s="84"/>
      <c r="U587" s="84"/>
      <c r="V587" s="84"/>
      <c r="W587" s="84"/>
      <c r="AJ587" s="15"/>
      <c r="AP587" s="21"/>
    </row>
    <row r="588" spans="1:48" x14ac:dyDescent="0.25">
      <c r="A588" s="83"/>
      <c r="B588" s="47"/>
      <c r="C588" s="80"/>
      <c r="D588" s="84"/>
      <c r="E588" s="84"/>
      <c r="F588" s="84"/>
      <c r="G588" s="77"/>
      <c r="H588" s="84"/>
      <c r="I588" s="84"/>
      <c r="J588" s="77"/>
      <c r="K588" s="85"/>
      <c r="L588" s="77"/>
      <c r="M588" s="77"/>
      <c r="N588" s="86"/>
      <c r="O588" s="86"/>
      <c r="P588" s="86"/>
      <c r="Q588" s="86"/>
      <c r="R588" s="87"/>
      <c r="S588" s="84"/>
      <c r="T588" s="84"/>
      <c r="U588" s="84"/>
      <c r="V588" s="84"/>
      <c r="W588" s="84"/>
      <c r="AJ588" s="15"/>
      <c r="AP588" s="21"/>
    </row>
    <row r="589" spans="1:48" x14ac:dyDescent="0.25">
      <c r="A589" s="83"/>
      <c r="B589" s="47"/>
      <c r="C589" s="80"/>
      <c r="D589" s="84"/>
      <c r="E589" s="84"/>
      <c r="F589" s="84"/>
      <c r="G589" s="77"/>
      <c r="H589" s="84"/>
      <c r="I589" s="84"/>
      <c r="J589" s="77"/>
      <c r="K589" s="85"/>
      <c r="L589" s="77"/>
      <c r="M589" s="77"/>
      <c r="N589" s="86"/>
      <c r="O589" s="86"/>
      <c r="P589" s="86"/>
      <c r="Q589" s="86"/>
      <c r="R589" s="87"/>
      <c r="S589" s="84"/>
      <c r="T589" s="84"/>
      <c r="U589" s="84"/>
      <c r="V589" s="84"/>
      <c r="W589" s="84"/>
      <c r="AJ589" s="15"/>
      <c r="AP589" s="21"/>
    </row>
    <row r="590" spans="1:48" x14ac:dyDescent="0.25">
      <c r="A590" s="83"/>
      <c r="B590" s="47"/>
      <c r="C590" s="80"/>
      <c r="H590" s="84"/>
      <c r="I590" s="84"/>
      <c r="J590" s="77"/>
      <c r="K590" s="85"/>
      <c r="L590" s="77"/>
      <c r="M590" s="77"/>
      <c r="N590" s="86"/>
      <c r="O590" s="86"/>
      <c r="P590" s="86"/>
      <c r="Q590" s="86"/>
      <c r="R590" s="87"/>
      <c r="S590" s="84"/>
      <c r="T590" s="84"/>
      <c r="U590" s="84"/>
      <c r="V590" s="84"/>
      <c r="W590" s="84"/>
      <c r="AJ590" s="15"/>
      <c r="AP590" s="21"/>
    </row>
    <row r="591" spans="1:48" x14ac:dyDescent="0.25">
      <c r="A591" s="83"/>
      <c r="B591" s="47"/>
      <c r="C591" s="80"/>
      <c r="AJ591" s="15"/>
      <c r="AP591" s="21"/>
    </row>
    <row r="592" spans="1:48" x14ac:dyDescent="0.25">
      <c r="A592" s="83"/>
      <c r="B592" s="47"/>
      <c r="C592" s="80"/>
      <c r="AP592" s="21"/>
    </row>
    <row r="593" spans="1:42" x14ac:dyDescent="0.25">
      <c r="A593" s="83"/>
      <c r="B593" s="47"/>
      <c r="C593" s="80"/>
      <c r="AP593" s="21"/>
    </row>
    <row r="594" spans="1:42" x14ac:dyDescent="0.25">
      <c r="A594" s="83"/>
    </row>
    <row r="595" spans="1:42" x14ac:dyDescent="0.25">
      <c r="A595" s="83"/>
    </row>
  </sheetData>
  <sheetProtection insertColumns="0" insertRows="0" insertHyperlinks="0" deleteColumns="0" deleteRows="0" selectLockedCells="1" pivotTables="0"/>
  <autoFilter ref="A10:AV437" xr:uid="{301EA031-F85E-4E45-BEB4-546908764A3B}"/>
  <mergeCells count="55">
    <mergeCell ref="A1:B3"/>
    <mergeCell ref="C1:AS2"/>
    <mergeCell ref="AT1:AV1"/>
    <mergeCell ref="AT2:AV2"/>
    <mergeCell ref="C3:AS3"/>
    <mergeCell ref="AT3:AV3"/>
    <mergeCell ref="X4:Z4"/>
    <mergeCell ref="AC4:AN4"/>
    <mergeCell ref="AP4:AR4"/>
    <mergeCell ref="AS4:AU4"/>
    <mergeCell ref="A5:Q7"/>
    <mergeCell ref="R5:AM5"/>
    <mergeCell ref="AN5:AO5"/>
    <mergeCell ref="AP5:AR5"/>
    <mergeCell ref="AS5:AV5"/>
    <mergeCell ref="R6:AM6"/>
    <mergeCell ref="F8:F10"/>
    <mergeCell ref="AN6:AO6"/>
    <mergeCell ref="AP6:AR6"/>
    <mergeCell ref="AS6:AV6"/>
    <mergeCell ref="R7:AM7"/>
    <mergeCell ref="AN7:AO7"/>
    <mergeCell ref="AP7:AR7"/>
    <mergeCell ref="AS7:AV7"/>
    <mergeCell ref="A8:A11"/>
    <mergeCell ref="B8:B10"/>
    <mergeCell ref="C8:C10"/>
    <mergeCell ref="D8:D10"/>
    <mergeCell ref="E8:E10"/>
    <mergeCell ref="P8:P10"/>
    <mergeCell ref="Q8:Q10"/>
    <mergeCell ref="R8:AM8"/>
    <mergeCell ref="AN8:AO8"/>
    <mergeCell ref="G8:G10"/>
    <mergeCell ref="H8:H10"/>
    <mergeCell ref="J8:J10"/>
    <mergeCell ref="K8:K10"/>
    <mergeCell ref="L8:L10"/>
    <mergeCell ref="M8:M10"/>
    <mergeCell ref="AT9:AT10"/>
    <mergeCell ref="AU9:AU10"/>
    <mergeCell ref="AV9:AV10"/>
    <mergeCell ref="I8:I10"/>
    <mergeCell ref="AP8:AR8"/>
    <mergeCell ref="AS8:AV8"/>
    <mergeCell ref="R9:AD9"/>
    <mergeCell ref="AE9:AM9"/>
    <mergeCell ref="AN9:AN10"/>
    <mergeCell ref="AO9:AO10"/>
    <mergeCell ref="AP9:AP10"/>
    <mergeCell ref="AQ9:AQ10"/>
    <mergeCell ref="AR9:AR10"/>
    <mergeCell ref="AS9:AS10"/>
    <mergeCell ref="N8:N10"/>
    <mergeCell ref="O8:O10"/>
  </mergeCells>
  <conditionalFormatting sqref="A12:A595">
    <cfRule type="timePeriod" dxfId="1" priority="1" timePeriod="lastMonth">
      <formula>AND(MONTH(A12)=MONTH(EDATE(TODAY(),0-1)),YEAR(A12)=YEAR(EDATE(TODAY(),0-1)))</formula>
    </cfRule>
    <cfRule type="timePeriod" dxfId="0" priority="2" timePeriod="lastWeek">
      <formula>AND(TODAY()-ROUNDDOWN(A12,0)&gt;=(WEEKDAY(TODAY())),TODAY()-ROUNDDOWN(A12,0)&lt;(WEEKDAY(TODAY())+7))</formula>
    </cfRule>
  </conditionalFormatting>
  <printOptions horizontalCentered="1" verticalCentered="1"/>
  <pageMargins left="0.25" right="0.25" top="0.75" bottom="0.75" header="0.3" footer="0.3"/>
  <pageSetup paperSize="9" scale="28" fitToHeight="0" orientation="landscape" r:id="rId1"/>
  <rowBreaks count="3" manualBreakCount="3">
    <brk id="464" max="46" man="1"/>
    <brk id="579" max="46" man="1"/>
    <brk id="588" max="46" man="1"/>
  </row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6ACE2-AB88-4788-8C29-D7B4545B2EB2}">
  <dimension ref="A1:U25"/>
  <sheetViews>
    <sheetView tabSelected="1" zoomScale="98" zoomScaleNormal="98" workbookViewId="0">
      <selection activeCell="K29" sqref="K29"/>
    </sheetView>
  </sheetViews>
  <sheetFormatPr defaultRowHeight="13.2" x14ac:dyDescent="0.25"/>
  <cols>
    <col min="8" max="8" width="1.44140625" customWidth="1"/>
    <col min="16" max="16" width="12.5546875" bestFit="1" customWidth="1"/>
    <col min="17" max="17" width="10.109375" bestFit="1" customWidth="1"/>
    <col min="18" max="18" width="8.77734375" bestFit="1" customWidth="1"/>
    <col min="19" max="19" width="8.44140625" bestFit="1" customWidth="1"/>
    <col min="20" max="20" width="6" bestFit="1" customWidth="1"/>
    <col min="21" max="21" width="5.5546875" bestFit="1" customWidth="1"/>
  </cols>
  <sheetData>
    <row r="1" spans="1:21" ht="13.2" customHeight="1" x14ac:dyDescent="0.25">
      <c r="A1" s="205" t="s">
        <v>258</v>
      </c>
      <c r="B1" s="206"/>
      <c r="C1" s="207"/>
      <c r="D1" s="199" t="s">
        <v>26</v>
      </c>
      <c r="E1" s="200"/>
      <c r="F1" s="200"/>
      <c r="G1" s="201"/>
      <c r="I1" s="138" t="s">
        <v>55</v>
      </c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</row>
    <row r="2" spans="1:21" ht="13.2" customHeight="1" x14ac:dyDescent="0.25">
      <c r="A2" s="208"/>
      <c r="B2" s="209"/>
      <c r="C2" s="210"/>
      <c r="D2" s="202" t="s">
        <v>30</v>
      </c>
      <c r="E2" s="202"/>
      <c r="F2" s="202"/>
      <c r="G2" s="203"/>
      <c r="I2" s="141" t="s">
        <v>48</v>
      </c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</row>
    <row r="3" spans="1:21" x14ac:dyDescent="0.25">
      <c r="A3" s="208"/>
      <c r="B3" s="209"/>
      <c r="C3" s="210"/>
      <c r="D3" s="202" t="s">
        <v>32</v>
      </c>
      <c r="E3" s="202"/>
      <c r="F3" s="202"/>
      <c r="G3" s="203"/>
      <c r="I3" s="228" t="s">
        <v>20</v>
      </c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</row>
    <row r="4" spans="1:21" ht="13.2" customHeight="1" x14ac:dyDescent="0.25">
      <c r="A4" s="208"/>
      <c r="B4" s="209"/>
      <c r="C4" s="210"/>
      <c r="D4" s="202" t="s">
        <v>27</v>
      </c>
      <c r="E4" s="202"/>
      <c r="F4" s="202"/>
      <c r="G4" s="203"/>
      <c r="I4" s="165" t="s">
        <v>6</v>
      </c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</row>
    <row r="5" spans="1:21" ht="15" customHeight="1" x14ac:dyDescent="0.25">
      <c r="A5" s="208"/>
      <c r="B5" s="209"/>
      <c r="C5" s="210"/>
      <c r="D5" s="224" t="s">
        <v>261</v>
      </c>
      <c r="E5" s="224"/>
      <c r="F5" s="224"/>
      <c r="G5" s="203"/>
      <c r="I5" s="174" t="s">
        <v>56</v>
      </c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</row>
    <row r="6" spans="1:21" ht="39.6" x14ac:dyDescent="0.25">
      <c r="A6" s="208"/>
      <c r="B6" s="209"/>
      <c r="C6" s="210"/>
      <c r="D6" s="199" t="s">
        <v>50</v>
      </c>
      <c r="E6" s="200"/>
      <c r="F6" s="201"/>
      <c r="G6" s="204"/>
      <c r="I6" s="59" t="s">
        <v>3</v>
      </c>
      <c r="J6" s="59" t="s">
        <v>63</v>
      </c>
      <c r="K6" s="59" t="s">
        <v>41</v>
      </c>
      <c r="L6" s="59" t="s">
        <v>54</v>
      </c>
      <c r="M6" s="59" t="s">
        <v>42</v>
      </c>
      <c r="N6" s="59" t="s">
        <v>11</v>
      </c>
      <c r="O6" s="59" t="s">
        <v>4</v>
      </c>
      <c r="P6" s="59" t="s">
        <v>9</v>
      </c>
      <c r="Q6" s="221" t="s">
        <v>19</v>
      </c>
      <c r="R6" s="59" t="s">
        <v>171</v>
      </c>
      <c r="S6" s="59" t="s">
        <v>168</v>
      </c>
      <c r="T6" s="59" t="s">
        <v>123</v>
      </c>
      <c r="U6" s="59" t="s">
        <v>14</v>
      </c>
    </row>
    <row r="7" spans="1:21" x14ac:dyDescent="0.25">
      <c r="A7" s="208"/>
      <c r="B7" s="209"/>
      <c r="C7" s="210"/>
      <c r="D7" s="202" t="s">
        <v>29</v>
      </c>
      <c r="E7" s="202"/>
      <c r="F7" s="202"/>
      <c r="G7" s="203"/>
      <c r="I7" s="59" t="e">
        <f>SUBTOTAL(9,I8:I388)</f>
        <v>#REF!</v>
      </c>
      <c r="J7" s="59">
        <f>SUBTOTAL(9,J8:J388)</f>
        <v>953</v>
      </c>
      <c r="K7" s="59">
        <f>SUBTOTAL(9,K8:K571)</f>
        <v>0</v>
      </c>
      <c r="L7" s="59">
        <f>SUBTOTAL(9,L8:L571)</f>
        <v>121</v>
      </c>
      <c r="M7" s="59">
        <f>SUBTOTAL(9,M8:M489)</f>
        <v>952</v>
      </c>
      <c r="N7" s="59" t="e">
        <f>SUBTOTAL(9,N8:N432)</f>
        <v>#DIV/0!</v>
      </c>
      <c r="O7" s="59" t="e">
        <f>SUBTOTAL(9,O8:O432)</f>
        <v>#REF!</v>
      </c>
      <c r="P7" s="59">
        <f>SUBTOTAL(9,P8:P432)</f>
        <v>61.997929606625256</v>
      </c>
      <c r="Q7" s="59" t="e">
        <f>SUBTOTAL(9,Q8:Q571)</f>
        <v>#REF!</v>
      </c>
      <c r="R7" s="59">
        <f>SUBTOTAL(9,R8:R432)</f>
        <v>0</v>
      </c>
      <c r="S7" s="59">
        <f>SUBTOTAL(9,S8:S432)</f>
        <v>0</v>
      </c>
      <c r="T7" s="59">
        <f>SUBTOTAL(9,T8:T571)</f>
        <v>0</v>
      </c>
      <c r="U7" s="59">
        <f>SUBTOTAL(9,U8:U432)</f>
        <v>120</v>
      </c>
    </row>
    <row r="8" spans="1:21" x14ac:dyDescent="0.25">
      <c r="A8" s="208"/>
      <c r="B8" s="209"/>
      <c r="C8" s="210"/>
      <c r="D8" s="199" t="s">
        <v>173</v>
      </c>
      <c r="E8" s="200"/>
      <c r="F8" s="201"/>
      <c r="G8" s="203"/>
      <c r="I8" s="15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5">
        <v>120</v>
      </c>
      <c r="P8" s="15">
        <v>0</v>
      </c>
      <c r="Q8" s="16">
        <v>0</v>
      </c>
      <c r="R8" s="16">
        <v>0</v>
      </c>
      <c r="S8" s="16">
        <v>0</v>
      </c>
      <c r="T8" s="16">
        <v>0</v>
      </c>
      <c r="U8" s="15">
        <f t="shared" ref="U8:U9" si="0">SUM(I8:T8)</f>
        <v>120</v>
      </c>
    </row>
    <row r="9" spans="1:21" x14ac:dyDescent="0.25">
      <c r="A9" s="208"/>
      <c r="B9" s="209"/>
      <c r="C9" s="210"/>
      <c r="D9" s="202" t="s">
        <v>43</v>
      </c>
      <c r="E9" s="202"/>
      <c r="F9" s="202"/>
      <c r="G9" s="203"/>
      <c r="I9" s="15">
        <v>0</v>
      </c>
      <c r="J9" s="20">
        <v>0</v>
      </c>
      <c r="K9" s="16">
        <v>0</v>
      </c>
      <c r="L9" s="16">
        <v>0</v>
      </c>
      <c r="M9" s="20">
        <v>0</v>
      </c>
      <c r="N9" s="20">
        <v>0</v>
      </c>
      <c r="O9" s="19">
        <v>0</v>
      </c>
      <c r="P9" s="19">
        <v>0</v>
      </c>
      <c r="Q9" s="20">
        <v>0</v>
      </c>
      <c r="R9" s="16">
        <v>0</v>
      </c>
      <c r="S9" s="20">
        <v>0</v>
      </c>
      <c r="T9" s="20">
        <v>0</v>
      </c>
      <c r="U9" s="15">
        <f t="shared" si="0"/>
        <v>0</v>
      </c>
    </row>
    <row r="10" spans="1:21" ht="10.8" customHeight="1" x14ac:dyDescent="0.25">
      <c r="A10" s="208"/>
      <c r="B10" s="209"/>
      <c r="C10" s="210"/>
      <c r="D10" s="202" t="s">
        <v>33</v>
      </c>
      <c r="E10" s="202"/>
      <c r="F10" s="202"/>
      <c r="G10" s="203"/>
    </row>
    <row r="11" spans="1:21" ht="13.2" customHeight="1" x14ac:dyDescent="0.25">
      <c r="A11" s="208"/>
      <c r="B11" s="209"/>
      <c r="C11" s="210"/>
      <c r="D11" s="202" t="s">
        <v>34</v>
      </c>
      <c r="E11" s="202"/>
      <c r="F11" s="202"/>
      <c r="G11" s="203"/>
      <c r="I11" s="175" t="s">
        <v>57</v>
      </c>
      <c r="J11" s="176"/>
      <c r="K11" s="176"/>
      <c r="L11" s="176"/>
      <c r="M11" s="176"/>
      <c r="N11" s="176"/>
      <c r="O11" s="176"/>
      <c r="P11" s="176"/>
      <c r="Q11" s="176"/>
    </row>
    <row r="12" spans="1:21" ht="13.2" customHeight="1" x14ac:dyDescent="0.25">
      <c r="A12" s="208"/>
      <c r="B12" s="209"/>
      <c r="C12" s="210"/>
      <c r="D12" s="202" t="s">
        <v>35</v>
      </c>
      <c r="E12" s="202"/>
      <c r="F12" s="202"/>
      <c r="G12" s="203"/>
      <c r="I12" s="14" t="s">
        <v>58</v>
      </c>
      <c r="J12" s="14" t="s">
        <v>62</v>
      </c>
      <c r="K12" s="56" t="s">
        <v>40</v>
      </c>
      <c r="L12" s="14" t="s">
        <v>65</v>
      </c>
      <c r="M12" s="14" t="s">
        <v>59</v>
      </c>
      <c r="N12" s="14" t="s">
        <v>84</v>
      </c>
      <c r="O12" s="14" t="s">
        <v>61</v>
      </c>
      <c r="P12" s="14" t="s">
        <v>60</v>
      </c>
      <c r="Q12" s="14" t="s">
        <v>64</v>
      </c>
    </row>
    <row r="13" spans="1:21" ht="13.2" customHeight="1" x14ac:dyDescent="0.25">
      <c r="A13" s="208"/>
      <c r="B13" s="209"/>
      <c r="C13" s="210"/>
      <c r="D13" s="202" t="s">
        <v>129</v>
      </c>
      <c r="E13" s="202"/>
      <c r="F13" s="202"/>
      <c r="G13" s="203"/>
      <c r="I13" s="14" t="e">
        <f>SUBTOTAL(9,#REF!)</f>
        <v>#REF!</v>
      </c>
      <c r="J13" s="14" t="e">
        <f>SUBTOTAL(9,#REF!)</f>
        <v>#REF!</v>
      </c>
      <c r="K13" s="14" t="e">
        <f>SUBTOTAL(9,#REF!)</f>
        <v>#REF!</v>
      </c>
      <c r="L13" s="14" t="e">
        <f>SUBTOTAL(9,#REF!)</f>
        <v>#REF!</v>
      </c>
      <c r="M13" s="14" t="e">
        <f>SUBTOTAL(9,#REF!)</f>
        <v>#REF!</v>
      </c>
      <c r="N13" s="14" t="e">
        <f>SUBTOTAL(9,#REF!)</f>
        <v>#REF!</v>
      </c>
      <c r="O13" s="14" t="e">
        <f>SUBTOTAL(9,#REF!)</f>
        <v>#REF!</v>
      </c>
      <c r="P13" s="14" t="e">
        <f>SUBTOTAL(9,#REF!)</f>
        <v>#REF!</v>
      </c>
      <c r="Q13" s="14" t="e">
        <f>SUBTOTAL(9,#REF!)</f>
        <v>#REF!</v>
      </c>
    </row>
    <row r="14" spans="1:21" ht="20.399999999999999" customHeight="1" x14ac:dyDescent="0.25">
      <c r="A14" s="208"/>
      <c r="B14" s="209"/>
      <c r="C14" s="210"/>
      <c r="D14" s="199" t="s">
        <v>130</v>
      </c>
      <c r="E14" s="200"/>
      <c r="F14" s="201"/>
      <c r="G14" s="204"/>
      <c r="I14" s="15">
        <v>0</v>
      </c>
      <c r="J14" s="15">
        <v>0</v>
      </c>
      <c r="K14" s="16">
        <v>0</v>
      </c>
      <c r="L14" s="15">
        <v>0</v>
      </c>
      <c r="M14" s="15">
        <v>0</v>
      </c>
      <c r="N14" s="15">
        <v>30</v>
      </c>
      <c r="O14" s="15">
        <v>10</v>
      </c>
      <c r="P14" s="15">
        <v>30</v>
      </c>
      <c r="Q14" s="15">
        <f t="shared" ref="Q14:Q15" si="1">SUM(I14:P14)</f>
        <v>70</v>
      </c>
    </row>
    <row r="15" spans="1:21" ht="13.2" customHeight="1" x14ac:dyDescent="0.25">
      <c r="A15" s="208"/>
      <c r="B15" s="209"/>
      <c r="C15" s="210"/>
      <c r="D15" s="199" t="s">
        <v>131</v>
      </c>
      <c r="E15" s="200"/>
      <c r="F15" s="201"/>
      <c r="G15" s="204"/>
      <c r="I15" s="15">
        <v>0</v>
      </c>
      <c r="J15" s="19">
        <v>0</v>
      </c>
      <c r="K15" s="20">
        <v>0</v>
      </c>
      <c r="L15" s="15">
        <v>120</v>
      </c>
      <c r="M15" s="15">
        <v>0</v>
      </c>
      <c r="N15" s="15">
        <v>30</v>
      </c>
      <c r="O15" s="15">
        <v>10</v>
      </c>
      <c r="P15" s="15">
        <v>30</v>
      </c>
      <c r="Q15" s="15">
        <f t="shared" si="1"/>
        <v>190</v>
      </c>
    </row>
    <row r="16" spans="1:21" ht="13.2" customHeight="1" x14ac:dyDescent="0.25">
      <c r="A16" s="211"/>
      <c r="B16" s="212"/>
      <c r="C16" s="213"/>
      <c r="D16" s="225" t="s">
        <v>66</v>
      </c>
      <c r="E16" s="226"/>
      <c r="F16" s="227"/>
      <c r="G16" s="204"/>
    </row>
    <row r="17" spans="9:17" ht="28.2" customHeight="1" x14ac:dyDescent="0.25">
      <c r="I17" s="140" t="s">
        <v>15</v>
      </c>
      <c r="J17" s="140"/>
      <c r="K17" s="140" t="s">
        <v>47</v>
      </c>
      <c r="L17" s="140"/>
      <c r="M17" s="140"/>
      <c r="N17" s="140" t="s">
        <v>1</v>
      </c>
      <c r="O17" s="140"/>
      <c r="P17" s="140"/>
      <c r="Q17" s="140"/>
    </row>
    <row r="18" spans="9:17" ht="16.2" customHeight="1" x14ac:dyDescent="0.25">
      <c r="I18" s="141" t="s">
        <v>0</v>
      </c>
      <c r="J18" s="143"/>
      <c r="K18" s="141" t="s">
        <v>39</v>
      </c>
      <c r="L18" s="142"/>
      <c r="M18" s="143"/>
      <c r="N18" s="144" t="s">
        <v>2</v>
      </c>
      <c r="O18" s="145"/>
      <c r="P18" s="145"/>
      <c r="Q18" s="146"/>
    </row>
    <row r="19" spans="9:17" ht="16.8" customHeight="1" x14ac:dyDescent="0.25">
      <c r="I19" s="147" t="s">
        <v>7</v>
      </c>
      <c r="J19" s="149"/>
      <c r="K19" s="147" t="s">
        <v>0</v>
      </c>
      <c r="L19" s="148"/>
      <c r="M19" s="149"/>
      <c r="N19" s="153" t="e">
        <f>N23*O23*P23</f>
        <v>#DIV/0!</v>
      </c>
      <c r="O19" s="153"/>
      <c r="P19" s="153"/>
      <c r="Q19" s="153"/>
    </row>
    <row r="20" spans="9:17" ht="29.4" customHeight="1" x14ac:dyDescent="0.25">
      <c r="I20" s="214" t="s">
        <v>10</v>
      </c>
      <c r="J20" s="214"/>
      <c r="K20" s="215" t="s">
        <v>5</v>
      </c>
      <c r="L20" s="215"/>
      <c r="M20" s="215"/>
      <c r="N20" s="217" t="s">
        <v>259</v>
      </c>
      <c r="O20" s="216"/>
      <c r="P20" s="216"/>
      <c r="Q20" s="216"/>
    </row>
    <row r="21" spans="9:17" x14ac:dyDescent="0.25">
      <c r="I21" s="163" t="s">
        <v>13</v>
      </c>
      <c r="J21" s="222" t="s">
        <v>12</v>
      </c>
      <c r="K21" s="218" t="s">
        <v>37</v>
      </c>
      <c r="L21" s="218" t="s">
        <v>38</v>
      </c>
      <c r="M21" s="218" t="s">
        <v>36</v>
      </c>
      <c r="N21" s="219" t="s">
        <v>21</v>
      </c>
      <c r="O21" s="219" t="s">
        <v>22</v>
      </c>
      <c r="P21" s="219" t="s">
        <v>23</v>
      </c>
      <c r="Q21" s="220" t="s">
        <v>260</v>
      </c>
    </row>
    <row r="22" spans="9:17" x14ac:dyDescent="0.25">
      <c r="I22" s="164"/>
      <c r="J22" s="223"/>
      <c r="K22" s="218"/>
      <c r="L22" s="218"/>
      <c r="M22" s="218"/>
      <c r="N22" s="219"/>
      <c r="O22" s="219"/>
      <c r="P22" s="219"/>
      <c r="Q22" s="220"/>
    </row>
    <row r="23" spans="9:17" x14ac:dyDescent="0.25">
      <c r="I23" s="60">
        <f>SUBTOTAL(9,I26:I444)</f>
        <v>0</v>
      </c>
      <c r="J23" s="60">
        <f>SUBTOTAL(9,J26:J444)</f>
        <v>0</v>
      </c>
      <c r="K23" s="61">
        <f>SUBTOTAL(9,K26:K583)</f>
        <v>0</v>
      </c>
      <c r="L23" s="61">
        <f>SUBTOTAL(9,L26:L583)</f>
        <v>0</v>
      </c>
      <c r="M23" s="61">
        <f>SUBTOTAL(9,M26:M583)</f>
        <v>0</v>
      </c>
      <c r="N23" s="39" t="e">
        <f>SUBTOTAL(1,N26:N444)</f>
        <v>#DIV/0!</v>
      </c>
      <c r="O23" s="39" t="e">
        <f>SUBTOTAL(1,O26:O444)</f>
        <v>#DIV/0!</v>
      </c>
      <c r="P23" s="39" t="e">
        <f>SUBTOTAL(1,P26:P444)</f>
        <v>#DIV/0!</v>
      </c>
      <c r="Q23" s="105" t="e">
        <f>SUBTOTAL(1,Q26:Q444)</f>
        <v>#DIV/0!</v>
      </c>
    </row>
    <row r="24" spans="9:17" x14ac:dyDescent="0.25">
      <c r="I24" s="29" t="e">
        <f t="shared" ref="I24" si="2">#REF!*(#REF!/60)</f>
        <v>#REF!</v>
      </c>
      <c r="J24" s="15">
        <v>483</v>
      </c>
      <c r="K24" s="17">
        <v>0</v>
      </c>
      <c r="L24" s="18">
        <v>1</v>
      </c>
      <c r="M24" s="26">
        <f t="shared" ref="M24:M25" si="3">J24-(L24+K24)</f>
        <v>482</v>
      </c>
      <c r="N24" s="37" t="e">
        <f>#REF!/#REF!</f>
        <v>#REF!</v>
      </c>
      <c r="O24" s="38" t="e">
        <f>J24/I24</f>
        <v>#REF!</v>
      </c>
      <c r="P24" s="38">
        <f>M24/J24</f>
        <v>0.99792960662525876</v>
      </c>
      <c r="Q24" s="27" t="e">
        <f>N24*O24*P24</f>
        <v>#REF!</v>
      </c>
    </row>
    <row r="25" spans="9:17" x14ac:dyDescent="0.25">
      <c r="I25" s="29" t="e">
        <f t="shared" ref="I25" si="4">#REF!*(#REF!/60)</f>
        <v>#REF!</v>
      </c>
      <c r="J25" s="19">
        <v>470</v>
      </c>
      <c r="K25" s="21">
        <v>0</v>
      </c>
      <c r="L25" s="22">
        <v>0</v>
      </c>
      <c r="M25" s="26">
        <f t="shared" si="3"/>
        <v>470</v>
      </c>
      <c r="N25" s="37" t="e">
        <f>#REF!/#REF!</f>
        <v>#REF!</v>
      </c>
      <c r="O25" s="38" t="e">
        <f>J25/I25</f>
        <v>#REF!</v>
      </c>
      <c r="P25" s="38">
        <f>M25/J25</f>
        <v>1</v>
      </c>
      <c r="Q25" s="27" t="e">
        <f>N25*O25*P25</f>
        <v>#REF!</v>
      </c>
    </row>
  </sheetData>
  <mergeCells count="44">
    <mergeCell ref="O21:O22"/>
    <mergeCell ref="P21:P22"/>
    <mergeCell ref="Q21:Q22"/>
    <mergeCell ref="I1:U1"/>
    <mergeCell ref="I2:U2"/>
    <mergeCell ref="I3:U3"/>
    <mergeCell ref="I4:U4"/>
    <mergeCell ref="I21:I22"/>
    <mergeCell ref="J21:J22"/>
    <mergeCell ref="K21:K22"/>
    <mergeCell ref="L21:L22"/>
    <mergeCell ref="M21:M22"/>
    <mergeCell ref="N21:N22"/>
    <mergeCell ref="I19:J19"/>
    <mergeCell ref="K19:M19"/>
    <mergeCell ref="N19:Q19"/>
    <mergeCell ref="I20:J20"/>
    <mergeCell ref="K20:M20"/>
    <mergeCell ref="N20:Q20"/>
    <mergeCell ref="I17:J17"/>
    <mergeCell ref="K17:M17"/>
    <mergeCell ref="N17:Q17"/>
    <mergeCell ref="I18:J18"/>
    <mergeCell ref="K18:M18"/>
    <mergeCell ref="N18:Q18"/>
    <mergeCell ref="I5:U5"/>
    <mergeCell ref="I11:Q11"/>
    <mergeCell ref="D16:F16"/>
    <mergeCell ref="D10:F10"/>
    <mergeCell ref="D11:F11"/>
    <mergeCell ref="D12:F12"/>
    <mergeCell ref="D13:F13"/>
    <mergeCell ref="D14:F14"/>
    <mergeCell ref="D15:F15"/>
    <mergeCell ref="A1:C16"/>
    <mergeCell ref="D1:G1"/>
    <mergeCell ref="D2:F2"/>
    <mergeCell ref="D3:F3"/>
    <mergeCell ref="D4:F4"/>
    <mergeCell ref="D5:F5"/>
    <mergeCell ref="D6:F6"/>
    <mergeCell ref="D7:F7"/>
    <mergeCell ref="D8:F8"/>
    <mergeCell ref="D9:F9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8"/>
  <sheetViews>
    <sheetView topLeftCell="A7" workbookViewId="0">
      <selection activeCell="N19" sqref="N19"/>
    </sheetView>
  </sheetViews>
  <sheetFormatPr defaultRowHeight="13.2" x14ac:dyDescent="0.25"/>
  <cols>
    <col min="9" max="9" width="11.6640625" customWidth="1"/>
    <col min="10" max="10" width="12.77734375" customWidth="1"/>
    <col min="12" max="12" width="10.33203125" customWidth="1"/>
    <col min="13" max="13" width="11.109375" customWidth="1"/>
    <col min="14" max="14" width="9.6640625" customWidth="1"/>
    <col min="15" max="15" width="11.77734375" customWidth="1"/>
  </cols>
  <sheetData>
    <row r="18" ht="13.2" customHeight="1" x14ac:dyDescent="0.25"/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2:N31"/>
  <sheetViews>
    <sheetView topLeftCell="A10" workbookViewId="0">
      <selection activeCell="G13" sqref="G13"/>
    </sheetView>
  </sheetViews>
  <sheetFormatPr defaultRowHeight="13.2" x14ac:dyDescent="0.25"/>
  <cols>
    <col min="4" max="4" width="22.33203125" customWidth="1"/>
    <col min="5" max="5" width="7" customWidth="1"/>
    <col min="14" max="14" width="50.77734375" customWidth="1"/>
  </cols>
  <sheetData>
    <row r="2" spans="4:14" ht="13.8" x14ac:dyDescent="0.25">
      <c r="D2" s="101" t="s">
        <v>220</v>
      </c>
      <c r="E2" s="101" t="s">
        <v>221</v>
      </c>
    </row>
    <row r="3" spans="4:14" x14ac:dyDescent="0.25">
      <c r="D3" s="102" t="s">
        <v>222</v>
      </c>
      <c r="E3" s="102">
        <v>41</v>
      </c>
    </row>
    <row r="4" spans="4:14" x14ac:dyDescent="0.25">
      <c r="D4" s="102" t="s">
        <v>223</v>
      </c>
      <c r="E4" s="102">
        <v>42</v>
      </c>
    </row>
    <row r="5" spans="4:14" x14ac:dyDescent="0.25">
      <c r="D5" s="102" t="s">
        <v>224</v>
      </c>
      <c r="E5" s="102">
        <v>43</v>
      </c>
    </row>
    <row r="6" spans="4:14" x14ac:dyDescent="0.25">
      <c r="D6" s="102" t="s">
        <v>225</v>
      </c>
      <c r="E6" s="102">
        <v>44</v>
      </c>
    </row>
    <row r="7" spans="4:14" x14ac:dyDescent="0.25">
      <c r="D7" s="102" t="s">
        <v>226</v>
      </c>
      <c r="E7" s="102">
        <v>45</v>
      </c>
    </row>
    <row r="8" spans="4:14" x14ac:dyDescent="0.25">
      <c r="D8" s="102" t="s">
        <v>227</v>
      </c>
      <c r="E8" s="102">
        <v>48</v>
      </c>
    </row>
    <row r="9" spans="4:14" x14ac:dyDescent="0.25">
      <c r="D9" s="102" t="s">
        <v>228</v>
      </c>
      <c r="E9" s="102">
        <v>49</v>
      </c>
    </row>
    <row r="10" spans="4:14" x14ac:dyDescent="0.25">
      <c r="D10" s="102" t="s">
        <v>229</v>
      </c>
      <c r="E10" s="102">
        <v>50</v>
      </c>
    </row>
    <row r="11" spans="4:14" ht="13.8" thickBot="1" x14ac:dyDescent="0.3">
      <c r="D11" s="102" t="s">
        <v>230</v>
      </c>
      <c r="E11" s="102">
        <v>51</v>
      </c>
    </row>
    <row r="12" spans="4:14" ht="21" thickBot="1" x14ac:dyDescent="0.3">
      <c r="D12" s="102" t="s">
        <v>231</v>
      </c>
      <c r="E12" s="102">
        <v>52</v>
      </c>
      <c r="G12" s="100"/>
      <c r="N12" s="103" t="s">
        <v>251</v>
      </c>
    </row>
    <row r="13" spans="4:14" x14ac:dyDescent="0.25">
      <c r="D13" s="102" t="s">
        <v>232</v>
      </c>
      <c r="E13" s="102">
        <v>53</v>
      </c>
    </row>
    <row r="14" spans="4:14" x14ac:dyDescent="0.25">
      <c r="D14" s="102" t="s">
        <v>233</v>
      </c>
      <c r="E14" s="102">
        <v>54</v>
      </c>
    </row>
    <row r="15" spans="4:14" x14ac:dyDescent="0.25">
      <c r="D15" s="102" t="s">
        <v>234</v>
      </c>
      <c r="E15" s="102">
        <v>55</v>
      </c>
    </row>
    <row r="16" spans="4:14" x14ac:dyDescent="0.25">
      <c r="D16" s="102" t="s">
        <v>235</v>
      </c>
      <c r="E16" s="102">
        <v>56</v>
      </c>
    </row>
    <row r="17" spans="4:5" x14ac:dyDescent="0.25">
      <c r="D17" s="102" t="s">
        <v>236</v>
      </c>
      <c r="E17" s="102">
        <v>57</v>
      </c>
    </row>
    <row r="18" spans="4:5" x14ac:dyDescent="0.25">
      <c r="D18" s="102" t="s">
        <v>237</v>
      </c>
      <c r="E18" s="102">
        <v>59</v>
      </c>
    </row>
    <row r="19" spans="4:5" x14ac:dyDescent="0.25">
      <c r="D19" s="102" t="s">
        <v>238</v>
      </c>
      <c r="E19" s="102">
        <v>62</v>
      </c>
    </row>
    <row r="20" spans="4:5" x14ac:dyDescent="0.25">
      <c r="D20" s="102" t="s">
        <v>239</v>
      </c>
      <c r="E20" s="102">
        <v>63</v>
      </c>
    </row>
    <row r="21" spans="4:5" x14ac:dyDescent="0.25">
      <c r="D21" s="102" t="s">
        <v>240</v>
      </c>
      <c r="E21" s="102">
        <v>64</v>
      </c>
    </row>
    <row r="22" spans="4:5" x14ac:dyDescent="0.25">
      <c r="D22" s="102" t="s">
        <v>241</v>
      </c>
      <c r="E22" s="102">
        <v>66</v>
      </c>
    </row>
    <row r="23" spans="4:5" x14ac:dyDescent="0.25">
      <c r="D23" s="102" t="s">
        <v>242</v>
      </c>
      <c r="E23" s="102">
        <v>67</v>
      </c>
    </row>
    <row r="24" spans="4:5" x14ac:dyDescent="0.25">
      <c r="D24" s="102" t="s">
        <v>243</v>
      </c>
      <c r="E24" s="102">
        <v>69</v>
      </c>
    </row>
    <row r="25" spans="4:5" x14ac:dyDescent="0.25">
      <c r="D25" s="102" t="s">
        <v>244</v>
      </c>
      <c r="E25" s="102">
        <v>71</v>
      </c>
    </row>
    <row r="26" spans="4:5" x14ac:dyDescent="0.25">
      <c r="D26" s="102" t="s">
        <v>245</v>
      </c>
      <c r="E26" s="102">
        <v>72</v>
      </c>
    </row>
    <row r="27" spans="4:5" x14ac:dyDescent="0.25">
      <c r="D27" s="102" t="s">
        <v>250</v>
      </c>
      <c r="E27" s="102">
        <v>74</v>
      </c>
    </row>
    <row r="28" spans="4:5" x14ac:dyDescent="0.25">
      <c r="D28" s="102" t="s">
        <v>246</v>
      </c>
      <c r="E28" s="102">
        <v>75</v>
      </c>
    </row>
    <row r="29" spans="4:5" x14ac:dyDescent="0.25">
      <c r="D29" s="102" t="s">
        <v>247</v>
      </c>
      <c r="E29" s="102">
        <v>77</v>
      </c>
    </row>
    <row r="30" spans="4:5" x14ac:dyDescent="0.25">
      <c r="D30" s="102" t="s">
        <v>248</v>
      </c>
      <c r="E30" s="102">
        <v>220</v>
      </c>
    </row>
    <row r="31" spans="4:5" x14ac:dyDescent="0.25">
      <c r="D31" s="102" t="s">
        <v>249</v>
      </c>
      <c r="E31" s="102">
        <v>260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D9:E13"/>
  <sheetViews>
    <sheetView workbookViewId="0">
      <selection activeCell="E21" sqref="E21"/>
    </sheetView>
  </sheetViews>
  <sheetFormatPr defaultRowHeight="13.2" x14ac:dyDescent="0.25"/>
  <cols>
    <col min="4" max="4" width="23.33203125" customWidth="1"/>
    <col min="5" max="5" width="20.44140625" customWidth="1"/>
  </cols>
  <sheetData>
    <row r="9" spans="4:5" x14ac:dyDescent="0.25">
      <c r="D9" s="40" t="s">
        <v>216</v>
      </c>
      <c r="E9" t="s">
        <v>71</v>
      </c>
    </row>
    <row r="10" spans="4:5" ht="15.6" x14ac:dyDescent="0.25">
      <c r="D10" s="44" t="s">
        <v>76</v>
      </c>
      <c r="E10" s="42">
        <v>0.99</v>
      </c>
    </row>
    <row r="11" spans="4:5" x14ac:dyDescent="0.25">
      <c r="D11" s="40" t="s">
        <v>77</v>
      </c>
      <c r="E11" s="42">
        <v>0.72</v>
      </c>
    </row>
    <row r="12" spans="4:5" x14ac:dyDescent="0.25">
      <c r="D12" s="40" t="s">
        <v>78</v>
      </c>
      <c r="E12" s="42">
        <v>0.99</v>
      </c>
    </row>
    <row r="13" spans="4:5" ht="20.399999999999999" customHeight="1" x14ac:dyDescent="0.25">
      <c r="D13" s="40" t="s">
        <v>68</v>
      </c>
      <c r="E13" s="106">
        <f>E10*E11*E12</f>
        <v>0.70567199999999997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E4:F24"/>
  <sheetViews>
    <sheetView topLeftCell="A7" workbookViewId="0">
      <selection activeCell="G36" sqref="G36:H36"/>
    </sheetView>
  </sheetViews>
  <sheetFormatPr defaultRowHeight="13.2" x14ac:dyDescent="0.25"/>
  <cols>
    <col min="5" max="5" width="27.44140625" customWidth="1"/>
    <col min="6" max="6" width="21.33203125" customWidth="1"/>
    <col min="9" max="9" width="27" customWidth="1"/>
    <col min="10" max="10" width="18.6640625" customWidth="1"/>
  </cols>
  <sheetData>
    <row r="4" spans="5:6" x14ac:dyDescent="0.25">
      <c r="E4" s="186" t="s">
        <v>219</v>
      </c>
      <c r="F4" s="186"/>
    </row>
    <row r="5" spans="5:6" x14ac:dyDescent="0.25">
      <c r="E5" s="40" t="s">
        <v>216</v>
      </c>
      <c r="F5" t="s">
        <v>71</v>
      </c>
    </row>
    <row r="6" spans="5:6" ht="15.6" x14ac:dyDescent="0.25">
      <c r="E6" s="44" t="s">
        <v>76</v>
      </c>
      <c r="F6" s="42">
        <v>1</v>
      </c>
    </row>
    <row r="7" spans="5:6" x14ac:dyDescent="0.25">
      <c r="E7" s="40" t="s">
        <v>77</v>
      </c>
      <c r="F7" s="42">
        <v>0.73</v>
      </c>
    </row>
    <row r="8" spans="5:6" x14ac:dyDescent="0.25">
      <c r="E8" s="40" t="s">
        <v>78</v>
      </c>
      <c r="F8" s="42">
        <v>0.99</v>
      </c>
    </row>
    <row r="9" spans="5:6" x14ac:dyDescent="0.25">
      <c r="E9" s="40" t="s">
        <v>68</v>
      </c>
      <c r="F9" s="43">
        <f>F6*F7*F8</f>
        <v>0.72270000000000001</v>
      </c>
    </row>
    <row r="11" spans="5:6" x14ac:dyDescent="0.25">
      <c r="E11" s="185" t="s">
        <v>217</v>
      </c>
      <c r="F11" s="185"/>
    </row>
    <row r="12" spans="5:6" x14ac:dyDescent="0.25">
      <c r="E12" s="40" t="s">
        <v>216</v>
      </c>
      <c r="F12" t="s">
        <v>71</v>
      </c>
    </row>
    <row r="13" spans="5:6" ht="15.6" x14ac:dyDescent="0.25">
      <c r="E13" s="44" t="s">
        <v>76</v>
      </c>
      <c r="F13" s="42">
        <v>0.9244</v>
      </c>
    </row>
    <row r="14" spans="5:6" x14ac:dyDescent="0.25">
      <c r="E14" s="40" t="s">
        <v>77</v>
      </c>
      <c r="F14" s="42">
        <v>0.74739999999999995</v>
      </c>
    </row>
    <row r="15" spans="5:6" x14ac:dyDescent="0.25">
      <c r="E15" s="40" t="s">
        <v>78</v>
      </c>
      <c r="F15" s="42">
        <v>0.9909</v>
      </c>
    </row>
    <row r="16" spans="5:6" x14ac:dyDescent="0.25">
      <c r="E16" s="40" t="s">
        <v>68</v>
      </c>
      <c r="F16" s="43">
        <f>F13*F14*F15</f>
        <v>0.68460940130399994</v>
      </c>
    </row>
    <row r="19" spans="5:6" x14ac:dyDescent="0.25">
      <c r="E19" s="185" t="s">
        <v>218</v>
      </c>
      <c r="F19" s="185"/>
    </row>
    <row r="20" spans="5:6" x14ac:dyDescent="0.25">
      <c r="E20" s="40" t="s">
        <v>216</v>
      </c>
      <c r="F20" t="s">
        <v>71</v>
      </c>
    </row>
    <row r="21" spans="5:6" ht="15.6" x14ac:dyDescent="0.25">
      <c r="E21" s="44" t="s">
        <v>76</v>
      </c>
      <c r="F21" s="42">
        <v>1</v>
      </c>
    </row>
    <row r="22" spans="5:6" x14ac:dyDescent="0.25">
      <c r="E22" s="40" t="s">
        <v>77</v>
      </c>
      <c r="F22" s="42">
        <v>0.8206</v>
      </c>
    </row>
    <row r="23" spans="5:6" x14ac:dyDescent="0.25">
      <c r="E23" s="40" t="s">
        <v>78</v>
      </c>
      <c r="F23" s="42">
        <v>0.98850000000000005</v>
      </c>
    </row>
    <row r="24" spans="5:6" x14ac:dyDescent="0.25">
      <c r="E24" s="40" t="s">
        <v>68</v>
      </c>
      <c r="F24" s="43">
        <f>F21*F22*F23</f>
        <v>0.81116310000000003</v>
      </c>
    </row>
  </sheetData>
  <mergeCells count="3">
    <mergeCell ref="E11:F11"/>
    <mergeCell ref="E19:F19"/>
    <mergeCell ref="E4:F4"/>
  </mergeCell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5:G9"/>
  <sheetViews>
    <sheetView topLeftCell="A2" workbookViewId="0">
      <selection activeCell="E12" sqref="E12"/>
    </sheetView>
  </sheetViews>
  <sheetFormatPr defaultRowHeight="13.2" x14ac:dyDescent="0.25"/>
  <cols>
    <col min="1" max="1" width="7.109375" customWidth="1"/>
    <col min="2" max="2" width="12" customWidth="1"/>
    <col min="3" max="3" width="19.44140625" customWidth="1"/>
    <col min="4" max="4" width="20.109375" customWidth="1"/>
    <col min="5" max="5" width="34.33203125" customWidth="1"/>
    <col min="6" max="6" width="38.44140625" customWidth="1"/>
    <col min="7" max="7" width="63.6640625" customWidth="1"/>
  </cols>
  <sheetData>
    <row r="5" spans="2:7" ht="13.8" thickBot="1" x14ac:dyDescent="0.3"/>
    <row r="6" spans="2:7" ht="39.6" x14ac:dyDescent="0.25">
      <c r="B6" s="196" t="s">
        <v>185</v>
      </c>
      <c r="C6" s="187" t="s">
        <v>177</v>
      </c>
      <c r="D6" s="190" t="s">
        <v>177</v>
      </c>
      <c r="E6" s="193" t="s">
        <v>178</v>
      </c>
      <c r="F6" s="93" t="s">
        <v>179</v>
      </c>
      <c r="G6" s="93" t="s">
        <v>181</v>
      </c>
    </row>
    <row r="7" spans="2:7" ht="39.6" x14ac:dyDescent="0.25">
      <c r="B7" s="197"/>
      <c r="C7" s="188"/>
      <c r="D7" s="191"/>
      <c r="E7" s="194"/>
      <c r="F7" s="94" t="s">
        <v>180</v>
      </c>
      <c r="G7" s="94" t="s">
        <v>182</v>
      </c>
    </row>
    <row r="8" spans="2:7" ht="39.6" x14ac:dyDescent="0.25">
      <c r="B8" s="197"/>
      <c r="C8" s="188"/>
      <c r="D8" s="191"/>
      <c r="E8" s="194"/>
      <c r="F8" s="91"/>
      <c r="G8" s="94" t="s">
        <v>183</v>
      </c>
    </row>
    <row r="9" spans="2:7" ht="53.4" thickBot="1" x14ac:dyDescent="0.3">
      <c r="B9" s="198"/>
      <c r="C9" s="189"/>
      <c r="D9" s="192"/>
      <c r="E9" s="195"/>
      <c r="F9" s="92"/>
      <c r="G9" s="95" t="s">
        <v>184</v>
      </c>
    </row>
  </sheetData>
  <mergeCells count="4">
    <mergeCell ref="C6:C9"/>
    <mergeCell ref="D6:D9"/>
    <mergeCell ref="E6:E9"/>
    <mergeCell ref="B6:B9"/>
  </mergeCells>
  <pageMargins left="0.7" right="0.7" top="0.75" bottom="0" header="0.3" footer="0.3"/>
  <pageSetup scale="7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8"/>
  <sheetViews>
    <sheetView topLeftCell="A28" workbookViewId="0">
      <selection activeCell="B39" sqref="B39"/>
    </sheetView>
  </sheetViews>
  <sheetFormatPr defaultRowHeight="13.2" x14ac:dyDescent="0.25"/>
  <sheetData>
    <row r="1" spans="1:1" ht="15.6" x14ac:dyDescent="0.25">
      <c r="A1" s="96" t="s">
        <v>186</v>
      </c>
    </row>
    <row r="2" spans="1:1" x14ac:dyDescent="0.25">
      <c r="A2" s="97"/>
    </row>
    <row r="3" spans="1:1" x14ac:dyDescent="0.25">
      <c r="A3" s="98" t="s">
        <v>187</v>
      </c>
    </row>
    <row r="4" spans="1:1" x14ac:dyDescent="0.25">
      <c r="A4" s="97"/>
    </row>
    <row r="5" spans="1:1" x14ac:dyDescent="0.25">
      <c r="A5" s="98" t="s">
        <v>188</v>
      </c>
    </row>
    <row r="7" spans="1:1" ht="15.6" x14ac:dyDescent="0.25">
      <c r="A7" s="96" t="s">
        <v>189</v>
      </c>
    </row>
    <row r="8" spans="1:1" x14ac:dyDescent="0.25">
      <c r="A8" s="97"/>
    </row>
    <row r="9" spans="1:1" x14ac:dyDescent="0.25">
      <c r="A9" s="98" t="s">
        <v>190</v>
      </c>
    </row>
    <row r="10" spans="1:1" x14ac:dyDescent="0.25">
      <c r="A10" s="97"/>
    </row>
    <row r="11" spans="1:1" x14ac:dyDescent="0.25">
      <c r="A11" s="98" t="s">
        <v>191</v>
      </c>
    </row>
    <row r="13" spans="1:1" ht="15.6" x14ac:dyDescent="0.25">
      <c r="A13" s="96" t="s">
        <v>192</v>
      </c>
    </row>
    <row r="14" spans="1:1" x14ac:dyDescent="0.25">
      <c r="A14" s="97"/>
    </row>
    <row r="15" spans="1:1" x14ac:dyDescent="0.25">
      <c r="A15" s="98" t="s">
        <v>193</v>
      </c>
    </row>
    <row r="16" spans="1:1" x14ac:dyDescent="0.25">
      <c r="A16" s="97"/>
    </row>
    <row r="17" spans="1:1" x14ac:dyDescent="0.25">
      <c r="A17" s="98" t="s">
        <v>194</v>
      </c>
    </row>
    <row r="19" spans="1:1" ht="15.6" x14ac:dyDescent="0.25">
      <c r="A19" s="96" t="s">
        <v>195</v>
      </c>
    </row>
    <row r="20" spans="1:1" x14ac:dyDescent="0.25">
      <c r="A20" s="97"/>
    </row>
    <row r="21" spans="1:1" x14ac:dyDescent="0.25">
      <c r="A21" s="98" t="s">
        <v>196</v>
      </c>
    </row>
    <row r="22" spans="1:1" x14ac:dyDescent="0.25">
      <c r="A22" s="97"/>
    </row>
    <row r="23" spans="1:1" x14ac:dyDescent="0.25">
      <c r="A23" s="98" t="s">
        <v>197</v>
      </c>
    </row>
    <row r="25" spans="1:1" ht="15.6" x14ac:dyDescent="0.25">
      <c r="A25" s="96" t="s">
        <v>198</v>
      </c>
    </row>
    <row r="26" spans="1:1" x14ac:dyDescent="0.25">
      <c r="A26" s="97"/>
    </row>
    <row r="27" spans="1:1" x14ac:dyDescent="0.25">
      <c r="A27" s="98" t="s">
        <v>199</v>
      </c>
    </row>
    <row r="28" spans="1:1" x14ac:dyDescent="0.25">
      <c r="A28" s="97"/>
    </row>
    <row r="29" spans="1:1" x14ac:dyDescent="0.25">
      <c r="A29" s="98" t="s">
        <v>200</v>
      </c>
    </row>
    <row r="31" spans="1:1" ht="15.6" x14ac:dyDescent="0.25">
      <c r="A31" s="96" t="s">
        <v>201</v>
      </c>
    </row>
    <row r="32" spans="1:1" x14ac:dyDescent="0.25">
      <c r="A32" s="97"/>
    </row>
    <row r="33" spans="1:1" x14ac:dyDescent="0.25">
      <c r="A33" s="98" t="s">
        <v>202</v>
      </c>
    </row>
    <row r="34" spans="1:1" x14ac:dyDescent="0.25">
      <c r="A34" s="97"/>
    </row>
    <row r="35" spans="1:1" x14ac:dyDescent="0.25">
      <c r="A35" s="98" t="s">
        <v>203</v>
      </c>
    </row>
    <row r="39" spans="1:1" ht="17.399999999999999" x14ac:dyDescent="0.25">
      <c r="A39" s="99" t="s">
        <v>204</v>
      </c>
    </row>
    <row r="40" spans="1:1" x14ac:dyDescent="0.25">
      <c r="A40" s="97"/>
    </row>
    <row r="41" spans="1:1" x14ac:dyDescent="0.25">
      <c r="A41" s="97" t="s">
        <v>205</v>
      </c>
    </row>
    <row r="42" spans="1:1" x14ac:dyDescent="0.25">
      <c r="A42" s="97"/>
    </row>
    <row r="43" spans="1:1" x14ac:dyDescent="0.25">
      <c r="A43" s="97" t="s">
        <v>206</v>
      </c>
    </row>
    <row r="44" spans="1:1" x14ac:dyDescent="0.25">
      <c r="A44" s="97"/>
    </row>
    <row r="45" spans="1:1" x14ac:dyDescent="0.25">
      <c r="A45" s="97" t="s">
        <v>207</v>
      </c>
    </row>
    <row r="46" spans="1:1" x14ac:dyDescent="0.25">
      <c r="A46" s="97"/>
    </row>
    <row r="47" spans="1:1" x14ac:dyDescent="0.25">
      <c r="A47" s="97" t="s">
        <v>208</v>
      </c>
    </row>
    <row r="48" spans="1:1" x14ac:dyDescent="0.25">
      <c r="A48" s="97"/>
    </row>
    <row r="49" spans="1:2" x14ac:dyDescent="0.25">
      <c r="A49" s="97" t="s">
        <v>209</v>
      </c>
    </row>
    <row r="60" spans="1:2" x14ac:dyDescent="0.25">
      <c r="B60" s="97" t="s">
        <v>210</v>
      </c>
    </row>
    <row r="61" spans="1:2" x14ac:dyDescent="0.25">
      <c r="B61" s="97"/>
    </row>
    <row r="62" spans="1:2" x14ac:dyDescent="0.25">
      <c r="B62" s="97" t="s">
        <v>211</v>
      </c>
    </row>
    <row r="63" spans="1:2" x14ac:dyDescent="0.25">
      <c r="B63" s="97"/>
    </row>
    <row r="64" spans="1:2" x14ac:dyDescent="0.25">
      <c r="B64" s="97" t="s">
        <v>212</v>
      </c>
    </row>
    <row r="65" spans="2:2" x14ac:dyDescent="0.25">
      <c r="B65" s="97"/>
    </row>
    <row r="66" spans="2:2" x14ac:dyDescent="0.25">
      <c r="B66" s="97" t="s">
        <v>213</v>
      </c>
    </row>
    <row r="67" spans="2:2" x14ac:dyDescent="0.25">
      <c r="B67" s="97"/>
    </row>
    <row r="68" spans="2:2" x14ac:dyDescent="0.25">
      <c r="B68" s="97" t="s">
        <v>214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6:L19"/>
  <sheetViews>
    <sheetView workbookViewId="0">
      <selection activeCell="N15" sqref="N15"/>
    </sheetView>
  </sheetViews>
  <sheetFormatPr defaultRowHeight="13.2" x14ac:dyDescent="0.25"/>
  <cols>
    <col min="3" max="3" width="13.6640625" customWidth="1"/>
    <col min="4" max="4" width="18" customWidth="1"/>
    <col min="5" max="5" width="14.109375" customWidth="1"/>
    <col min="6" max="6" width="16.44140625" customWidth="1"/>
    <col min="7" max="7" width="30.109375" customWidth="1"/>
    <col min="8" max="8" width="27.33203125" customWidth="1"/>
  </cols>
  <sheetData>
    <row r="6" spans="3:8" ht="14.4" x14ac:dyDescent="0.25">
      <c r="C6" s="69" t="s">
        <v>95</v>
      </c>
      <c r="D6" s="69" t="s">
        <v>96</v>
      </c>
      <c r="E6" s="69" t="s">
        <v>97</v>
      </c>
      <c r="F6" s="69" t="s">
        <v>98</v>
      </c>
      <c r="G6" s="69" t="s">
        <v>99</v>
      </c>
      <c r="H6" s="62" t="s">
        <v>116</v>
      </c>
    </row>
    <row r="7" spans="3:8" ht="41.25" customHeight="1" x14ac:dyDescent="0.3">
      <c r="C7" s="63">
        <v>12010</v>
      </c>
      <c r="D7" s="64" t="s">
        <v>100</v>
      </c>
      <c r="E7" s="64" t="s">
        <v>101</v>
      </c>
      <c r="F7" s="64" t="s">
        <v>102</v>
      </c>
      <c r="G7" s="65">
        <v>44036</v>
      </c>
      <c r="H7" s="67" t="s">
        <v>117</v>
      </c>
    </row>
    <row r="8" spans="3:8" ht="28.8" x14ac:dyDescent="0.3">
      <c r="C8" s="63">
        <v>13311</v>
      </c>
      <c r="D8" s="64" t="s">
        <v>103</v>
      </c>
      <c r="E8" s="64" t="s">
        <v>101</v>
      </c>
      <c r="F8" s="64" t="s">
        <v>104</v>
      </c>
      <c r="G8" s="65">
        <v>44296</v>
      </c>
      <c r="H8" s="62" t="s">
        <v>119</v>
      </c>
    </row>
    <row r="9" spans="3:8" ht="28.8" x14ac:dyDescent="0.3">
      <c r="C9" s="63">
        <v>14546</v>
      </c>
      <c r="D9" s="64" t="s">
        <v>105</v>
      </c>
      <c r="E9" s="64" t="s">
        <v>101</v>
      </c>
      <c r="F9" s="64" t="s">
        <v>104</v>
      </c>
      <c r="G9" s="65">
        <v>44974</v>
      </c>
      <c r="H9" s="68"/>
    </row>
    <row r="10" spans="3:8" ht="14.4" x14ac:dyDescent="0.3">
      <c r="C10" s="63">
        <v>14899</v>
      </c>
      <c r="D10" s="64" t="s">
        <v>106</v>
      </c>
      <c r="E10" s="64" t="s">
        <v>101</v>
      </c>
      <c r="F10" s="64" t="s">
        <v>102</v>
      </c>
      <c r="G10" s="65">
        <v>45332</v>
      </c>
      <c r="H10" s="67" t="s">
        <v>121</v>
      </c>
    </row>
    <row r="11" spans="3:8" ht="28.8" x14ac:dyDescent="0.3">
      <c r="C11" s="63">
        <v>14989</v>
      </c>
      <c r="D11" s="64" t="s">
        <v>107</v>
      </c>
      <c r="E11" s="64" t="s">
        <v>101</v>
      </c>
      <c r="F11" s="64" t="s">
        <v>104</v>
      </c>
      <c r="G11" s="65">
        <v>45455</v>
      </c>
      <c r="H11" s="70" t="s">
        <v>120</v>
      </c>
    </row>
    <row r="12" spans="3:8" ht="28.8" x14ac:dyDescent="0.3">
      <c r="C12" s="63">
        <v>14994</v>
      </c>
      <c r="D12" s="64" t="s">
        <v>108</v>
      </c>
      <c r="E12" s="64" t="s">
        <v>101</v>
      </c>
      <c r="F12" s="64" t="s">
        <v>104</v>
      </c>
      <c r="G12" s="65">
        <v>45456</v>
      </c>
      <c r="H12" s="70" t="s">
        <v>120</v>
      </c>
    </row>
    <row r="13" spans="3:8" ht="28.8" x14ac:dyDescent="0.3">
      <c r="C13" s="63">
        <v>15115</v>
      </c>
      <c r="D13" s="64" t="s">
        <v>109</v>
      </c>
      <c r="E13" s="64" t="s">
        <v>101</v>
      </c>
      <c r="F13" s="64" t="s">
        <v>104</v>
      </c>
      <c r="G13" s="65">
        <v>45488</v>
      </c>
      <c r="H13" s="66" t="s">
        <v>118</v>
      </c>
    </row>
    <row r="14" spans="3:8" ht="28.8" x14ac:dyDescent="0.3">
      <c r="C14" s="63">
        <v>15356</v>
      </c>
      <c r="D14" s="64" t="s">
        <v>110</v>
      </c>
      <c r="E14" s="64" t="s">
        <v>101</v>
      </c>
      <c r="F14" s="64" t="s">
        <v>104</v>
      </c>
      <c r="G14" s="65">
        <v>45547</v>
      </c>
      <c r="H14" s="66" t="s">
        <v>118</v>
      </c>
    </row>
    <row r="15" spans="3:8" ht="28.8" x14ac:dyDescent="0.3">
      <c r="C15" s="63">
        <v>15362</v>
      </c>
      <c r="D15" s="64" t="s">
        <v>111</v>
      </c>
      <c r="E15" s="64" t="s">
        <v>101</v>
      </c>
      <c r="F15" s="64" t="s">
        <v>104</v>
      </c>
      <c r="G15" s="65">
        <v>45547</v>
      </c>
      <c r="H15" s="66" t="s">
        <v>118</v>
      </c>
    </row>
    <row r="16" spans="3:8" ht="28.8" x14ac:dyDescent="0.3">
      <c r="C16" s="63">
        <v>15363</v>
      </c>
      <c r="D16" s="64" t="s">
        <v>112</v>
      </c>
      <c r="E16" s="64" t="s">
        <v>101</v>
      </c>
      <c r="F16" s="64" t="s">
        <v>104</v>
      </c>
      <c r="G16" s="65">
        <v>45547</v>
      </c>
      <c r="H16" s="66" t="s">
        <v>118</v>
      </c>
    </row>
    <row r="17" spans="3:12" ht="28.8" x14ac:dyDescent="0.3">
      <c r="C17" s="63">
        <v>15365</v>
      </c>
      <c r="D17" s="64" t="s">
        <v>113</v>
      </c>
      <c r="E17" s="64" t="s">
        <v>101</v>
      </c>
      <c r="F17" s="64" t="s">
        <v>104</v>
      </c>
      <c r="G17" s="65">
        <v>45547</v>
      </c>
      <c r="H17" s="66" t="s">
        <v>118</v>
      </c>
      <c r="L17">
        <v>1</v>
      </c>
    </row>
    <row r="18" spans="3:12" ht="28.8" x14ac:dyDescent="0.3">
      <c r="C18" s="63">
        <v>15367</v>
      </c>
      <c r="D18" s="64" t="s">
        <v>114</v>
      </c>
      <c r="E18" s="64" t="s">
        <v>101</v>
      </c>
      <c r="F18" s="64" t="s">
        <v>104</v>
      </c>
      <c r="G18" s="65">
        <v>45547</v>
      </c>
      <c r="H18" s="66" t="s">
        <v>118</v>
      </c>
    </row>
    <row r="19" spans="3:12" ht="28.8" x14ac:dyDescent="0.3">
      <c r="C19" s="63">
        <v>15368</v>
      </c>
      <c r="D19" s="64" t="s">
        <v>115</v>
      </c>
      <c r="E19" s="64" t="s">
        <v>101</v>
      </c>
      <c r="F19" s="64" t="s">
        <v>104</v>
      </c>
      <c r="G19" s="65">
        <v>45547</v>
      </c>
      <c r="H19" s="66" t="s">
        <v>118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8:K28"/>
  <sheetViews>
    <sheetView workbookViewId="0">
      <selection activeCell="N30" sqref="N30"/>
    </sheetView>
  </sheetViews>
  <sheetFormatPr defaultRowHeight="13.2" x14ac:dyDescent="0.25"/>
  <cols>
    <col min="1" max="1" width="12.44140625" customWidth="1"/>
    <col min="2" max="2" width="14.44140625" bestFit="1" customWidth="1"/>
    <col min="3" max="3" width="14" hidden="1" customWidth="1"/>
    <col min="4" max="4" width="40.33203125" bestFit="1" customWidth="1"/>
    <col min="5" max="5" width="11.77734375" customWidth="1"/>
    <col min="6" max="6" width="10.33203125" customWidth="1"/>
    <col min="7" max="7" width="0" hidden="1" customWidth="1"/>
    <col min="8" max="8" width="13.109375" hidden="1" customWidth="1"/>
    <col min="9" max="9" width="12.77734375" customWidth="1"/>
    <col min="10" max="10" width="14.6640625" customWidth="1"/>
    <col min="11" max="11" width="19.77734375" customWidth="1"/>
  </cols>
  <sheetData>
    <row r="8" spans="1:11" ht="31.5" customHeight="1" x14ac:dyDescent="0.25">
      <c r="A8" s="71" t="s">
        <v>133</v>
      </c>
      <c r="B8" s="72" t="s">
        <v>134</v>
      </c>
      <c r="C8" s="72" t="s">
        <v>135</v>
      </c>
      <c r="D8" s="72" t="s">
        <v>29</v>
      </c>
      <c r="E8" s="72" t="s">
        <v>136</v>
      </c>
      <c r="F8" s="72" t="s">
        <v>137</v>
      </c>
      <c r="G8" s="72" t="s">
        <v>138</v>
      </c>
      <c r="H8" s="72" t="s">
        <v>139</v>
      </c>
      <c r="I8" s="72" t="s">
        <v>140</v>
      </c>
      <c r="J8" s="73" t="s">
        <v>141</v>
      </c>
      <c r="K8" s="74" t="s">
        <v>142</v>
      </c>
    </row>
    <row r="9" spans="1:11" ht="20.100000000000001" customHeight="1" x14ac:dyDescent="0.25">
      <c r="A9" s="75">
        <v>45633</v>
      </c>
      <c r="B9" s="76" t="s">
        <v>143</v>
      </c>
      <c r="C9" s="76" t="s">
        <v>144</v>
      </c>
      <c r="D9" s="76" t="s">
        <v>145</v>
      </c>
      <c r="E9" s="76">
        <v>5870</v>
      </c>
      <c r="F9" s="76">
        <v>3100</v>
      </c>
      <c r="G9" s="76" t="s">
        <v>21</v>
      </c>
      <c r="H9" s="76" t="s">
        <v>146</v>
      </c>
      <c r="I9" s="76">
        <v>125</v>
      </c>
      <c r="J9" s="76">
        <v>353</v>
      </c>
      <c r="K9" s="76" t="s">
        <v>147</v>
      </c>
    </row>
    <row r="10" spans="1:11" ht="20.100000000000001" customHeight="1" x14ac:dyDescent="0.25">
      <c r="A10" s="75">
        <v>45644</v>
      </c>
      <c r="B10" s="76" t="s">
        <v>148</v>
      </c>
      <c r="C10" s="76" t="s">
        <v>144</v>
      </c>
      <c r="D10" s="76" t="s">
        <v>145</v>
      </c>
      <c r="E10" s="76">
        <v>5870</v>
      </c>
      <c r="F10" s="76">
        <v>3100</v>
      </c>
      <c r="G10" s="76" t="s">
        <v>21</v>
      </c>
      <c r="H10" s="76" t="s">
        <v>146</v>
      </c>
      <c r="I10" s="76">
        <v>250</v>
      </c>
      <c r="J10" s="76">
        <v>705</v>
      </c>
      <c r="K10" s="76" t="s">
        <v>147</v>
      </c>
    </row>
    <row r="11" spans="1:11" ht="20.100000000000001" customHeight="1" x14ac:dyDescent="0.25">
      <c r="A11" s="75">
        <v>45666</v>
      </c>
      <c r="B11" s="76" t="s">
        <v>149</v>
      </c>
      <c r="C11" s="76" t="s">
        <v>150</v>
      </c>
      <c r="D11" s="76" t="s">
        <v>145</v>
      </c>
      <c r="E11" s="76">
        <v>98280</v>
      </c>
      <c r="F11" s="76">
        <v>3100</v>
      </c>
      <c r="G11" s="76" t="s">
        <v>21</v>
      </c>
      <c r="H11" s="76" t="s">
        <v>146</v>
      </c>
      <c r="I11" s="76">
        <v>300</v>
      </c>
      <c r="J11" s="76">
        <v>145</v>
      </c>
      <c r="K11" s="76" t="s">
        <v>151</v>
      </c>
    </row>
    <row r="12" spans="1:11" ht="20.100000000000001" customHeight="1" x14ac:dyDescent="0.25">
      <c r="A12" s="75">
        <v>45675</v>
      </c>
      <c r="B12" s="76" t="s">
        <v>152</v>
      </c>
      <c r="C12" s="76" t="s">
        <v>150</v>
      </c>
      <c r="D12" s="76" t="s">
        <v>145</v>
      </c>
      <c r="E12" s="76">
        <v>98892</v>
      </c>
      <c r="F12" s="76">
        <v>3100</v>
      </c>
      <c r="G12" s="76" t="s">
        <v>22</v>
      </c>
      <c r="H12" s="76" t="s">
        <v>146</v>
      </c>
      <c r="I12" s="76">
        <v>45</v>
      </c>
      <c r="J12" s="76">
        <v>18</v>
      </c>
      <c r="K12" s="76" t="s">
        <v>153</v>
      </c>
    </row>
    <row r="13" spans="1:11" ht="20.100000000000001" customHeight="1" x14ac:dyDescent="0.25">
      <c r="A13" s="75">
        <v>45677</v>
      </c>
      <c r="B13" s="76" t="s">
        <v>154</v>
      </c>
      <c r="C13" s="76" t="s">
        <v>144</v>
      </c>
      <c r="D13" s="76" t="s">
        <v>145</v>
      </c>
      <c r="E13" s="76">
        <v>5870</v>
      </c>
      <c r="F13" s="76">
        <v>3100</v>
      </c>
      <c r="G13" s="76" t="s">
        <v>21</v>
      </c>
      <c r="H13" s="76" t="s">
        <v>146</v>
      </c>
      <c r="I13" s="76">
        <v>100</v>
      </c>
      <c r="J13" s="76">
        <v>282</v>
      </c>
      <c r="K13" s="76" t="s">
        <v>147</v>
      </c>
    </row>
    <row r="14" spans="1:11" ht="20.100000000000001" customHeight="1" x14ac:dyDescent="0.25">
      <c r="A14" s="75">
        <v>45680</v>
      </c>
      <c r="B14" s="76" t="s">
        <v>155</v>
      </c>
      <c r="C14" s="76" t="s">
        <v>150</v>
      </c>
      <c r="D14" s="76" t="s">
        <v>145</v>
      </c>
      <c r="E14" s="76">
        <v>98892</v>
      </c>
      <c r="F14" s="76">
        <v>3100</v>
      </c>
      <c r="G14" s="76" t="s">
        <v>21</v>
      </c>
      <c r="H14" s="76" t="s">
        <v>146</v>
      </c>
      <c r="I14" s="76">
        <v>450</v>
      </c>
      <c r="J14" s="76">
        <v>176</v>
      </c>
      <c r="K14" s="76" t="s">
        <v>156</v>
      </c>
    </row>
    <row r="15" spans="1:11" ht="20.100000000000001" customHeight="1" x14ac:dyDescent="0.25">
      <c r="A15" s="75">
        <v>45682</v>
      </c>
      <c r="B15" s="76" t="s">
        <v>157</v>
      </c>
      <c r="C15" s="76" t="s">
        <v>144</v>
      </c>
      <c r="D15" s="76" t="s">
        <v>145</v>
      </c>
      <c r="E15" s="76">
        <v>9984</v>
      </c>
      <c r="F15" s="76">
        <v>3100</v>
      </c>
      <c r="G15" s="76" t="s">
        <v>21</v>
      </c>
      <c r="H15" s="76" t="s">
        <v>146</v>
      </c>
      <c r="I15" s="76">
        <v>150</v>
      </c>
      <c r="J15" s="76">
        <v>217</v>
      </c>
      <c r="K15" s="76" t="s">
        <v>158</v>
      </c>
    </row>
    <row r="16" spans="1:11" ht="20.100000000000001" customHeight="1" x14ac:dyDescent="0.25">
      <c r="A16" s="75">
        <v>45682</v>
      </c>
      <c r="B16" s="76" t="s">
        <v>159</v>
      </c>
      <c r="C16" s="76" t="s">
        <v>150</v>
      </c>
      <c r="D16" s="76" t="s">
        <v>145</v>
      </c>
      <c r="E16" s="76">
        <v>98892</v>
      </c>
      <c r="F16" s="76">
        <v>3100</v>
      </c>
      <c r="G16" s="76" t="s">
        <v>21</v>
      </c>
      <c r="H16" s="76" t="s">
        <v>146</v>
      </c>
      <c r="I16" s="76">
        <v>500</v>
      </c>
      <c r="J16" s="76">
        <v>117</v>
      </c>
      <c r="K16" s="76" t="s">
        <v>156</v>
      </c>
    </row>
    <row r="17" spans="1:11" ht="20.100000000000001" customHeight="1" x14ac:dyDescent="0.25">
      <c r="A17" s="75">
        <v>45682</v>
      </c>
      <c r="B17" s="76" t="s">
        <v>160</v>
      </c>
      <c r="C17" s="76" t="s">
        <v>150</v>
      </c>
      <c r="D17" s="76" t="s">
        <v>145</v>
      </c>
      <c r="E17" s="76">
        <v>98892</v>
      </c>
      <c r="F17" s="76">
        <v>3100</v>
      </c>
      <c r="G17" s="76" t="s">
        <v>21</v>
      </c>
      <c r="H17" s="76" t="s">
        <v>146</v>
      </c>
      <c r="I17" s="76">
        <v>200</v>
      </c>
      <c r="J17" s="76">
        <v>78</v>
      </c>
      <c r="K17" s="76" t="s">
        <v>156</v>
      </c>
    </row>
    <row r="18" spans="1:11" ht="20.100000000000001" customHeight="1" x14ac:dyDescent="0.25">
      <c r="A18" s="75">
        <v>45684</v>
      </c>
      <c r="B18" s="76" t="s">
        <v>161</v>
      </c>
      <c r="C18" s="76" t="s">
        <v>144</v>
      </c>
      <c r="D18" s="76" t="s">
        <v>145</v>
      </c>
      <c r="E18" s="76">
        <v>5871</v>
      </c>
      <c r="F18" s="76">
        <v>3100</v>
      </c>
      <c r="G18" s="76" t="s">
        <v>21</v>
      </c>
      <c r="H18" s="76" t="s">
        <v>146</v>
      </c>
      <c r="I18" s="76">
        <v>200</v>
      </c>
      <c r="J18" s="76">
        <v>479</v>
      </c>
      <c r="K18" s="76" t="s">
        <v>147</v>
      </c>
    </row>
    <row r="19" spans="1:11" ht="20.100000000000001" customHeight="1" x14ac:dyDescent="0.25">
      <c r="A19" s="75">
        <v>45692</v>
      </c>
      <c r="B19" s="76" t="s">
        <v>162</v>
      </c>
      <c r="C19" s="76" t="s">
        <v>144</v>
      </c>
      <c r="D19" s="76" t="s">
        <v>145</v>
      </c>
      <c r="E19" s="76">
        <v>5871</v>
      </c>
      <c r="F19" s="76">
        <v>3100</v>
      </c>
      <c r="G19" s="76" t="s">
        <v>21</v>
      </c>
      <c r="H19" s="76" t="s">
        <v>146</v>
      </c>
      <c r="I19" s="76">
        <v>500</v>
      </c>
      <c r="J19" s="76">
        <v>1198</v>
      </c>
      <c r="K19" s="76" t="s">
        <v>163</v>
      </c>
    </row>
    <row r="20" spans="1:11" ht="20.100000000000001" customHeight="1" x14ac:dyDescent="0.25">
      <c r="A20" s="75">
        <v>45692</v>
      </c>
      <c r="B20" s="76" t="s">
        <v>164</v>
      </c>
      <c r="C20" s="76" t="s">
        <v>144</v>
      </c>
      <c r="D20" s="76" t="s">
        <v>145</v>
      </c>
      <c r="E20" s="76">
        <v>5871</v>
      </c>
      <c r="F20" s="76">
        <v>3100</v>
      </c>
      <c r="G20" s="76" t="s">
        <v>21</v>
      </c>
      <c r="H20" s="76" t="s">
        <v>146</v>
      </c>
      <c r="I20" s="76">
        <v>600</v>
      </c>
      <c r="J20" s="76">
        <v>1438</v>
      </c>
      <c r="K20" s="76" t="s">
        <v>153</v>
      </c>
    </row>
    <row r="21" spans="1:11" ht="20.100000000000001" customHeight="1" x14ac:dyDescent="0.25">
      <c r="A21" s="75">
        <v>45692</v>
      </c>
      <c r="B21" s="76" t="s">
        <v>165</v>
      </c>
      <c r="C21" s="76" t="s">
        <v>150</v>
      </c>
      <c r="D21" s="76" t="s">
        <v>145</v>
      </c>
      <c r="E21" s="76">
        <v>5874</v>
      </c>
      <c r="F21" s="76">
        <v>3100</v>
      </c>
      <c r="G21" s="76" t="s">
        <v>21</v>
      </c>
      <c r="H21" s="76" t="s">
        <v>146</v>
      </c>
      <c r="I21" s="76">
        <v>600</v>
      </c>
      <c r="J21" s="76">
        <v>329</v>
      </c>
      <c r="K21" s="76" t="s">
        <v>163</v>
      </c>
    </row>
    <row r="22" spans="1:11" ht="20.100000000000001" customHeight="1" x14ac:dyDescent="0.25">
      <c r="A22" s="75">
        <v>45692</v>
      </c>
      <c r="B22" s="76" t="s">
        <v>165</v>
      </c>
      <c r="C22" s="76" t="s">
        <v>144</v>
      </c>
      <c r="D22" s="76" t="s">
        <v>145</v>
      </c>
      <c r="E22" s="76">
        <v>9984</v>
      </c>
      <c r="F22" s="76">
        <v>3100</v>
      </c>
      <c r="G22" s="76" t="s">
        <v>21</v>
      </c>
      <c r="H22" s="76" t="s">
        <v>146</v>
      </c>
      <c r="I22" s="76">
        <v>400</v>
      </c>
      <c r="J22" s="76">
        <v>1550</v>
      </c>
      <c r="K22" s="76" t="s">
        <v>156</v>
      </c>
    </row>
    <row r="23" spans="1:11" ht="20.100000000000001" customHeight="1" x14ac:dyDescent="0.25">
      <c r="A23" s="75">
        <v>45692</v>
      </c>
      <c r="B23" s="76" t="s">
        <v>165</v>
      </c>
      <c r="C23" s="76" t="s">
        <v>150</v>
      </c>
      <c r="D23" s="76" t="s">
        <v>145</v>
      </c>
      <c r="E23" s="76">
        <v>98142</v>
      </c>
      <c r="F23" s="76">
        <v>3100</v>
      </c>
      <c r="G23" s="76" t="s">
        <v>21</v>
      </c>
      <c r="H23" s="76" t="s">
        <v>146</v>
      </c>
      <c r="I23" s="76">
        <v>400</v>
      </c>
      <c r="J23" s="76">
        <v>138</v>
      </c>
      <c r="K23" s="76" t="s">
        <v>151</v>
      </c>
    </row>
    <row r="24" spans="1:11" ht="20.100000000000001" customHeight="1" x14ac:dyDescent="0.25">
      <c r="A24" s="75">
        <v>45692</v>
      </c>
      <c r="B24" s="76" t="s">
        <v>165</v>
      </c>
      <c r="C24" s="76" t="s">
        <v>150</v>
      </c>
      <c r="D24" s="76" t="s">
        <v>145</v>
      </c>
      <c r="E24" s="76">
        <v>98892</v>
      </c>
      <c r="F24" s="76">
        <v>3100</v>
      </c>
      <c r="G24" s="76" t="s">
        <v>21</v>
      </c>
      <c r="H24" s="76" t="s">
        <v>146</v>
      </c>
      <c r="I24" s="76">
        <v>250</v>
      </c>
      <c r="J24" s="76">
        <v>98</v>
      </c>
      <c r="K24" s="76" t="s">
        <v>156</v>
      </c>
    </row>
    <row r="25" spans="1:11" ht="20.100000000000001" customHeight="1" x14ac:dyDescent="0.25">
      <c r="A25" s="75">
        <v>45692</v>
      </c>
      <c r="B25" s="76" t="s">
        <v>166</v>
      </c>
      <c r="C25" s="76" t="s">
        <v>150</v>
      </c>
      <c r="D25" s="76" t="s">
        <v>145</v>
      </c>
      <c r="E25" s="76">
        <v>5874</v>
      </c>
      <c r="F25" s="76">
        <v>3100</v>
      </c>
      <c r="G25" s="76" t="s">
        <v>21</v>
      </c>
      <c r="H25" s="76" t="s">
        <v>146</v>
      </c>
      <c r="I25" s="76">
        <v>515</v>
      </c>
      <c r="J25" s="76">
        <v>283</v>
      </c>
      <c r="K25" s="76" t="s">
        <v>163</v>
      </c>
    </row>
    <row r="26" spans="1:11" ht="20.100000000000001" customHeight="1" x14ac:dyDescent="0.25">
      <c r="A26" s="75">
        <v>45692</v>
      </c>
      <c r="B26" s="76" t="s">
        <v>166</v>
      </c>
      <c r="C26" s="76" t="s">
        <v>150</v>
      </c>
      <c r="D26" s="76" t="s">
        <v>145</v>
      </c>
      <c r="E26" s="76">
        <v>98142</v>
      </c>
      <c r="F26" s="76">
        <v>3100</v>
      </c>
      <c r="G26" s="76" t="s">
        <v>21</v>
      </c>
      <c r="H26" s="76" t="s">
        <v>146</v>
      </c>
      <c r="I26" s="76">
        <v>200</v>
      </c>
      <c r="J26" s="76">
        <v>69</v>
      </c>
      <c r="K26" s="76" t="s">
        <v>151</v>
      </c>
    </row>
    <row r="27" spans="1:11" ht="20.100000000000001" customHeight="1" x14ac:dyDescent="0.25">
      <c r="A27" s="75">
        <v>45692</v>
      </c>
      <c r="B27" s="76" t="s">
        <v>166</v>
      </c>
      <c r="C27" s="76" t="s">
        <v>150</v>
      </c>
      <c r="D27" s="76" t="s">
        <v>145</v>
      </c>
      <c r="E27" s="76">
        <v>98892</v>
      </c>
      <c r="F27" s="76">
        <v>3100</v>
      </c>
      <c r="G27" s="76" t="s">
        <v>21</v>
      </c>
      <c r="H27" s="76" t="s">
        <v>146</v>
      </c>
      <c r="I27" s="76">
        <v>600</v>
      </c>
      <c r="J27" s="76">
        <v>234</v>
      </c>
      <c r="K27" s="76" t="s">
        <v>156</v>
      </c>
    </row>
    <row r="28" spans="1:11" x14ac:dyDescent="0.25">
      <c r="F28" s="62" t="s">
        <v>167</v>
      </c>
      <c r="G28" s="77"/>
      <c r="H28" s="77"/>
      <c r="I28" s="77">
        <f>SUM(I9:I27)</f>
        <v>6385</v>
      </c>
      <c r="J28" s="77">
        <f>SUM(J9:J27)</f>
        <v>7907</v>
      </c>
    </row>
  </sheetData>
  <pageMargins left="0.7" right="0.7" top="0.75" bottom="0.75" header="0.3" footer="0.3"/>
  <pageSetup paperSize="9" scale="94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E20"/>
  <sheetViews>
    <sheetView topLeftCell="A4" workbookViewId="0">
      <selection activeCell="G22" sqref="G22"/>
    </sheetView>
  </sheetViews>
  <sheetFormatPr defaultRowHeight="13.2" x14ac:dyDescent="0.25"/>
  <cols>
    <col min="2" max="2" width="12" customWidth="1"/>
    <col min="5" max="5" width="9.6640625" bestFit="1" customWidth="1"/>
  </cols>
  <sheetData>
    <row r="2" spans="1:5" x14ac:dyDescent="0.25">
      <c r="A2" s="40" t="s">
        <v>69</v>
      </c>
      <c r="B2" s="40" t="s">
        <v>21</v>
      </c>
      <c r="C2" s="40" t="s">
        <v>22</v>
      </c>
      <c r="D2" s="40" t="s">
        <v>23</v>
      </c>
      <c r="E2" s="40" t="s">
        <v>68</v>
      </c>
    </row>
    <row r="3" spans="1:5" x14ac:dyDescent="0.25">
      <c r="A3" s="40" t="s">
        <v>73</v>
      </c>
      <c r="B3" s="41">
        <v>1</v>
      </c>
      <c r="C3" s="42">
        <v>0.81</v>
      </c>
      <c r="D3" s="42">
        <v>0.99</v>
      </c>
      <c r="E3" s="43">
        <f>B3*C3*D3</f>
        <v>0.80190000000000006</v>
      </c>
    </row>
    <row r="4" spans="1:5" x14ac:dyDescent="0.25">
      <c r="A4" s="40" t="s">
        <v>70</v>
      </c>
      <c r="B4" s="42">
        <v>1</v>
      </c>
      <c r="C4" s="42">
        <v>0.79</v>
      </c>
      <c r="D4" s="42">
        <v>0.98</v>
      </c>
      <c r="E4" s="43">
        <f t="shared" ref="E4:E20" si="0">B4*C4*D4</f>
        <v>0.7742</v>
      </c>
    </row>
    <row r="5" spans="1:5" x14ac:dyDescent="0.25">
      <c r="A5" s="46" t="s">
        <v>72</v>
      </c>
      <c r="B5" s="42">
        <v>0.99</v>
      </c>
      <c r="C5" s="42">
        <v>0.77</v>
      </c>
      <c r="D5" s="42">
        <v>0.98</v>
      </c>
      <c r="E5" s="43">
        <f>B5*C5*D5</f>
        <v>0.747054</v>
      </c>
    </row>
    <row r="6" spans="1:5" x14ac:dyDescent="0.25">
      <c r="A6" s="46" t="s">
        <v>80</v>
      </c>
      <c r="B6" s="42">
        <v>1</v>
      </c>
      <c r="C6" s="42">
        <v>0.8</v>
      </c>
      <c r="D6" s="42">
        <v>0.99</v>
      </c>
      <c r="E6" s="43">
        <f>B6*C6*D6</f>
        <v>0.79200000000000004</v>
      </c>
    </row>
    <row r="7" spans="1:5" x14ac:dyDescent="0.25">
      <c r="A7" s="46" t="s">
        <v>81</v>
      </c>
      <c r="B7" s="42">
        <v>0.99</v>
      </c>
      <c r="C7" s="42">
        <v>0.82</v>
      </c>
      <c r="D7" s="42">
        <v>0.99</v>
      </c>
      <c r="E7" s="43">
        <f>B7*C7*D7</f>
        <v>0.80368200000000001</v>
      </c>
    </row>
    <row r="8" spans="1:5" x14ac:dyDescent="0.25">
      <c r="A8" s="46" t="s">
        <v>82</v>
      </c>
      <c r="B8" s="42">
        <v>1</v>
      </c>
      <c r="C8" s="42">
        <v>0.8</v>
      </c>
      <c r="D8" s="42">
        <v>0.99</v>
      </c>
      <c r="E8" s="43">
        <f>B8*C8*D8</f>
        <v>0.79200000000000004</v>
      </c>
    </row>
    <row r="9" spans="1:5" x14ac:dyDescent="0.25">
      <c r="A9" s="46" t="s">
        <v>83</v>
      </c>
      <c r="B9" s="42">
        <v>0.99</v>
      </c>
      <c r="C9" s="42">
        <v>0.76</v>
      </c>
      <c r="D9" s="42">
        <v>0.99</v>
      </c>
      <c r="E9" s="43">
        <f>B9*C9*D9</f>
        <v>0.74487599999999998</v>
      </c>
    </row>
    <row r="10" spans="1:5" x14ac:dyDescent="0.25">
      <c r="A10" t="s">
        <v>79</v>
      </c>
      <c r="B10" s="42">
        <v>0.99</v>
      </c>
      <c r="C10" s="42">
        <v>0.78</v>
      </c>
      <c r="D10" s="42">
        <v>0.99</v>
      </c>
      <c r="E10" s="43">
        <f t="shared" si="0"/>
        <v>0.76447799999999999</v>
      </c>
    </row>
    <row r="11" spans="1:5" x14ac:dyDescent="0.25">
      <c r="E11" s="43">
        <f t="shared" si="0"/>
        <v>0</v>
      </c>
    </row>
    <row r="12" spans="1:5" x14ac:dyDescent="0.25">
      <c r="E12" s="43">
        <f t="shared" si="0"/>
        <v>0</v>
      </c>
    </row>
    <row r="13" spans="1:5" x14ac:dyDescent="0.25">
      <c r="E13" s="43">
        <f t="shared" si="0"/>
        <v>0</v>
      </c>
    </row>
    <row r="14" spans="1:5" x14ac:dyDescent="0.25">
      <c r="E14" s="43">
        <f>B15*C14*D14</f>
        <v>0</v>
      </c>
    </row>
    <row r="15" spans="1:5" x14ac:dyDescent="0.25">
      <c r="E15" s="43" t="e">
        <f>#REF!*C15*D15</f>
        <v>#REF!</v>
      </c>
    </row>
    <row r="16" spans="1:5" x14ac:dyDescent="0.25">
      <c r="E16" s="43">
        <f t="shared" si="0"/>
        <v>0</v>
      </c>
    </row>
    <row r="17" spans="5:5" x14ac:dyDescent="0.25">
      <c r="E17" s="43">
        <f t="shared" si="0"/>
        <v>0</v>
      </c>
    </row>
    <row r="18" spans="5:5" x14ac:dyDescent="0.25">
      <c r="E18" s="43">
        <f t="shared" si="0"/>
        <v>0</v>
      </c>
    </row>
    <row r="19" spans="5:5" x14ac:dyDescent="0.25">
      <c r="E19" s="43">
        <f t="shared" si="0"/>
        <v>0</v>
      </c>
    </row>
    <row r="20" spans="5:5" x14ac:dyDescent="0.25">
      <c r="E20" s="43">
        <f t="shared" si="0"/>
        <v>0</v>
      </c>
    </row>
  </sheetData>
  <phoneticPr fontId="17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Sheet2</vt:lpstr>
      <vt:lpstr>pareto </vt:lpstr>
      <vt:lpstr>JAN-26 (8hrs OEE)</vt:lpstr>
      <vt:lpstr>Copy</vt:lpstr>
      <vt:lpstr>Sheet3</vt:lpstr>
      <vt:lpstr>Sheet12</vt:lpstr>
      <vt:lpstr>Sheet11</vt:lpstr>
      <vt:lpstr>Sheet9</vt:lpstr>
      <vt:lpstr>Sheet10</vt:lpstr>
      <vt:lpstr>Sheet8</vt:lpstr>
      <vt:lpstr>Sheet7</vt:lpstr>
      <vt:lpstr>Sheet6</vt:lpstr>
      <vt:lpstr>Sheet5</vt:lpstr>
      <vt:lpstr>Sheet1</vt:lpstr>
      <vt:lpstr>Copy!Print_Area</vt:lpstr>
      <vt:lpstr>'JAN-26 (8hrs OEE)'!Print_Area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MTE Jobs New 2019</dc:title>
  <dc:creator>user</dc:creator>
  <cp:lastModifiedBy>Manish</cp:lastModifiedBy>
  <cp:lastPrinted>2026-02-19T04:27:53Z</cp:lastPrinted>
  <dcterms:created xsi:type="dcterms:W3CDTF">2020-11-03T10:02:48Z</dcterms:created>
  <dcterms:modified xsi:type="dcterms:W3CDTF">2026-03-02T07:50:09Z</dcterms:modified>
</cp:coreProperties>
</file>